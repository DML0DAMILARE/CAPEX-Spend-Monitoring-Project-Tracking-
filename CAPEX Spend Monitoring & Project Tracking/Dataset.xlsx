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hidePivotFieldList="1"/>
  <mc:AlternateContent xmlns:mc="http://schemas.openxmlformats.org/markup-compatibility/2006">
    <mc:Choice Requires="x15">
      <x15ac:absPath xmlns:x15ac="http://schemas.microsoft.com/office/spreadsheetml/2010/11/ac" url="/Users/mac/Documents/FA Project /Project 1/"/>
    </mc:Choice>
  </mc:AlternateContent>
  <xr:revisionPtr revIDLastSave="0" documentId="13_ncr:1_{FA12A07D-FEE6-414E-AFA9-4388F6378BD6}" xr6:coauthVersionLast="47" xr6:coauthVersionMax="47" xr10:uidLastSave="{00000000-0000-0000-0000-000000000000}"/>
  <bookViews>
    <workbookView xWindow="960" yWindow="4260" windowWidth="14400" windowHeight="9660" firstSheet="3" activeTab="3" xr2:uid="{25658194-8A50-452C-B93C-4FBF2FCE18F2}"/>
  </bookViews>
  <sheets>
    <sheet name="RACI_Chart" sheetId="7" r:id="rId1"/>
    <sheet name="Variance_Analysis" sheetId="8" r:id="rId2"/>
    <sheet name="Vendor_Analysis" sheetId="10" r:id="rId3"/>
    <sheet name="Scenario_Modelling" sheetId="9" r:id="rId4"/>
    <sheet name="Sheet4" sheetId="14" r:id="rId5"/>
    <sheet name="Capex_Actuals" sheetId="1" r:id="rId6"/>
    <sheet name="Capex_Budgets" sheetId="2" r:id="rId7"/>
    <sheet name="Capex_Forecast" sheetId="3" r:id="rId8"/>
    <sheet name="Departments" sheetId="4" r:id="rId9"/>
    <sheet name="Project_Master" sheetId="5" r:id="rId10"/>
    <sheet name="Vendors" sheetId="6" r:id="rId11"/>
  </sheets>
  <definedNames>
    <definedName name="_xlnm._FilterDatabase" localSheetId="5" hidden="1">Capex_Actuals!$A$1:$E$1935</definedName>
    <definedName name="_xlnm._FilterDatabase" localSheetId="6" hidden="1">Capex_Budgets!$A$1:$G$47</definedName>
    <definedName name="_xlnm._FilterDatabase" localSheetId="2" hidden="1">Vendor_Analysis!$A$1:$H$1935</definedName>
    <definedName name="_xlnm._FilterDatabase" localSheetId="10" hidden="1">Vendors!$A$1:$E$26</definedName>
    <definedName name="NativeTimeline_Transaction_Date">#N/A</definedName>
  </definedNames>
  <calcPr calcId="191029"/>
  <pivotCaches>
    <pivotCache cacheId="1" r:id="rId12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3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3" i="9" l="1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3" i="9"/>
  <c r="N5" i="9"/>
  <c r="P5" i="9" s="1"/>
  <c r="Q5" i="9" s="1"/>
  <c r="N6" i="9"/>
  <c r="P6" i="9" s="1"/>
  <c r="Q6" i="9" s="1"/>
  <c r="N7" i="9"/>
  <c r="P7" i="9" s="1"/>
  <c r="Q7" i="9" s="1"/>
  <c r="N9" i="9"/>
  <c r="P9" i="9" s="1"/>
  <c r="Q9" i="9" s="1"/>
  <c r="N10" i="9"/>
  <c r="P10" i="9" s="1"/>
  <c r="Q10" i="9" s="1"/>
  <c r="N11" i="9"/>
  <c r="P11" i="9" s="1"/>
  <c r="Q11" i="9" s="1"/>
  <c r="N13" i="9"/>
  <c r="P13" i="9" s="1"/>
  <c r="Q13" i="9" s="1"/>
  <c r="N14" i="9"/>
  <c r="P14" i="9" s="1"/>
  <c r="Q14" i="9" s="1"/>
  <c r="N15" i="9"/>
  <c r="P15" i="9" s="1"/>
  <c r="Q15" i="9" s="1"/>
  <c r="N17" i="9"/>
  <c r="P17" i="9" s="1"/>
  <c r="Q17" i="9" s="1"/>
  <c r="N18" i="9"/>
  <c r="P18" i="9" s="1"/>
  <c r="Q18" i="9" s="1"/>
  <c r="N19" i="9"/>
  <c r="P19" i="9" s="1"/>
  <c r="Q19" i="9" s="1"/>
  <c r="N21" i="9"/>
  <c r="P21" i="9" s="1"/>
  <c r="Q21" i="9" s="1"/>
  <c r="N22" i="9"/>
  <c r="P22" i="9" s="1"/>
  <c r="Q22" i="9" s="1"/>
  <c r="N23" i="9"/>
  <c r="P23" i="9" s="1"/>
  <c r="Q23" i="9" s="1"/>
  <c r="N25" i="9"/>
  <c r="P25" i="9" s="1"/>
  <c r="Q25" i="9" s="1"/>
  <c r="N26" i="9"/>
  <c r="P26" i="9" s="1"/>
  <c r="Q26" i="9" s="1"/>
  <c r="N27" i="9"/>
  <c r="P27" i="9" s="1"/>
  <c r="Q27" i="9" s="1"/>
  <c r="N29" i="9"/>
  <c r="P29" i="9" s="1"/>
  <c r="Q29" i="9" s="1"/>
  <c r="N31" i="9"/>
  <c r="P31" i="9" s="1"/>
  <c r="Q31" i="9" s="1"/>
  <c r="N46" i="9"/>
  <c r="P46" i="9" s="1"/>
  <c r="Q46" i="9" s="1"/>
  <c r="I3" i="9" a="1"/>
  <c r="I3" i="9" s="1"/>
  <c r="N3" i="9" s="1"/>
  <c r="Q3" i="9" s="1"/>
  <c r="I4" i="9" a="1"/>
  <c r="I4" i="9"/>
  <c r="N4" i="9" s="1"/>
  <c r="P4" i="9" s="1"/>
  <c r="Q4" i="9" s="1"/>
  <c r="I5" i="9" a="1"/>
  <c r="I5" i="9"/>
  <c r="I6" i="9" a="1"/>
  <c r="I6" i="9"/>
  <c r="I7" i="9" a="1"/>
  <c r="I7" i="9"/>
  <c r="I8" i="9" a="1"/>
  <c r="I8" i="9"/>
  <c r="N8" i="9" s="1"/>
  <c r="P8" i="9" s="1"/>
  <c r="Q8" i="9" s="1"/>
  <c r="I9" i="9" a="1"/>
  <c r="I9" i="9"/>
  <c r="I10" i="9" a="1"/>
  <c r="I10" i="9"/>
  <c r="I11" i="9" a="1"/>
  <c r="I11" i="9"/>
  <c r="I12" i="9" a="1"/>
  <c r="I12" i="9"/>
  <c r="N12" i="9" s="1"/>
  <c r="P12" i="9" s="1"/>
  <c r="Q12" i="9" s="1"/>
  <c r="I13" i="9" a="1"/>
  <c r="I13" i="9"/>
  <c r="I14" i="9" a="1"/>
  <c r="I14" i="9"/>
  <c r="I15" i="9" a="1"/>
  <c r="I15" i="9"/>
  <c r="I16" i="9" a="1"/>
  <c r="I16" i="9"/>
  <c r="N16" i="9" s="1"/>
  <c r="P16" i="9" s="1"/>
  <c r="Q16" i="9" s="1"/>
  <c r="I17" i="9" a="1"/>
  <c r="I17" i="9"/>
  <c r="I18" i="9" a="1"/>
  <c r="I18" i="9"/>
  <c r="I19" i="9" a="1"/>
  <c r="I19" i="9"/>
  <c r="I20" i="9" a="1"/>
  <c r="I20" i="9"/>
  <c r="N20" i="9" s="1"/>
  <c r="P20" i="9" s="1"/>
  <c r="Q20" i="9" s="1"/>
  <c r="I21" i="9" a="1"/>
  <c r="I21" i="9"/>
  <c r="I22" i="9" a="1"/>
  <c r="I22" i="9"/>
  <c r="I23" i="9" a="1"/>
  <c r="I23" i="9"/>
  <c r="I24" i="9" a="1"/>
  <c r="I24" i="9"/>
  <c r="N24" i="9" s="1"/>
  <c r="P24" i="9" s="1"/>
  <c r="Q24" i="9" s="1"/>
  <c r="I25" i="9" a="1"/>
  <c r="I25" i="9"/>
  <c r="I26" i="9" a="1"/>
  <c r="I26" i="9"/>
  <c r="I27" i="9" a="1"/>
  <c r="I27" i="9"/>
  <c r="I28" i="9" a="1"/>
  <c r="I28" i="9" s="1"/>
  <c r="N28" i="9" s="1"/>
  <c r="P28" i="9" s="1"/>
  <c r="Q28" i="9" s="1"/>
  <c r="I29" i="9" a="1"/>
  <c r="I29" i="9"/>
  <c r="I30" i="9" a="1"/>
  <c r="I30" i="9" s="1"/>
  <c r="N30" i="9" s="1"/>
  <c r="P30" i="9" s="1"/>
  <c r="Q30" i="9" s="1"/>
  <c r="I31" i="9" a="1"/>
  <c r="I31" i="9"/>
  <c r="I32" i="9" a="1"/>
  <c r="I32" i="9" s="1"/>
  <c r="N32" i="9" s="1"/>
  <c r="P32" i="9" s="1"/>
  <c r="Q32" i="9" s="1"/>
  <c r="I33" i="9" a="1"/>
  <c r="I33" i="9" s="1"/>
  <c r="N33" i="9" s="1"/>
  <c r="P33" i="9" s="1"/>
  <c r="Q33" i="9" s="1"/>
  <c r="I34" i="9" a="1"/>
  <c r="I34" i="9" s="1"/>
  <c r="N34" i="9" s="1"/>
  <c r="P34" i="9" s="1"/>
  <c r="Q34" i="9" s="1"/>
  <c r="I35" i="9" a="1"/>
  <c r="I35" i="9" s="1"/>
  <c r="N35" i="9" s="1"/>
  <c r="P35" i="9" s="1"/>
  <c r="Q35" i="9" s="1"/>
  <c r="I36" i="9" a="1"/>
  <c r="I36" i="9" s="1"/>
  <c r="N36" i="9" s="1"/>
  <c r="P36" i="9" s="1"/>
  <c r="Q36" i="9" s="1"/>
  <c r="I37" i="9" a="1"/>
  <c r="I37" i="9" s="1"/>
  <c r="N37" i="9" s="1"/>
  <c r="P37" i="9" s="1"/>
  <c r="Q37" i="9" s="1"/>
  <c r="I38" i="9" a="1"/>
  <c r="I38" i="9" s="1"/>
  <c r="N38" i="9" s="1"/>
  <c r="P38" i="9" s="1"/>
  <c r="Q38" i="9" s="1"/>
  <c r="I39" i="9" a="1"/>
  <c r="I39" i="9" s="1"/>
  <c r="N39" i="9" s="1"/>
  <c r="P39" i="9" s="1"/>
  <c r="Q39" i="9" s="1"/>
  <c r="I40" i="9" a="1"/>
  <c r="I40" i="9" s="1"/>
  <c r="N40" i="9" s="1"/>
  <c r="P40" i="9" s="1"/>
  <c r="Q40" i="9" s="1"/>
  <c r="I41" i="9" a="1"/>
  <c r="I41" i="9" s="1"/>
  <c r="N41" i="9" s="1"/>
  <c r="P41" i="9" s="1"/>
  <c r="Q41" i="9" s="1"/>
  <c r="I42" i="9" a="1"/>
  <c r="I42" i="9" s="1"/>
  <c r="N42" i="9" s="1"/>
  <c r="P42" i="9" s="1"/>
  <c r="Q42" i="9" s="1"/>
  <c r="I43" i="9" a="1"/>
  <c r="I43" i="9" s="1"/>
  <c r="N43" i="9" s="1"/>
  <c r="P43" i="9" s="1"/>
  <c r="Q43" i="9" s="1"/>
  <c r="I44" i="9" a="1"/>
  <c r="I44" i="9" s="1"/>
  <c r="N44" i="9" s="1"/>
  <c r="P44" i="9" s="1"/>
  <c r="Q44" i="9" s="1"/>
  <c r="I45" i="9" a="1"/>
  <c r="I45" i="9" s="1"/>
  <c r="N45" i="9" s="1"/>
  <c r="P45" i="9" s="1"/>
  <c r="Q45" i="9" s="1"/>
  <c r="I46" i="9" a="1"/>
  <c r="I46" i="9" s="1"/>
  <c r="I47" i="9" a="1"/>
  <c r="I47" i="9" s="1"/>
  <c r="N47" i="9" s="1"/>
  <c r="P47" i="9" s="1"/>
  <c r="Q47" i="9" s="1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3" i="9"/>
  <c r="E4" i="9" l="1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3" i="9"/>
  <c r="F3" i="10"/>
  <c r="H3" i="10" s="1"/>
  <c r="F4" i="10"/>
  <c r="H4" i="10" s="1"/>
  <c r="F5" i="10"/>
  <c r="H5" i="10" s="1"/>
  <c r="F6" i="10"/>
  <c r="H6" i="10" s="1"/>
  <c r="F7" i="10"/>
  <c r="H7" i="10" s="1"/>
  <c r="F8" i="10"/>
  <c r="H8" i="10" s="1"/>
  <c r="F9" i="10"/>
  <c r="H9" i="10" s="1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837" i="10"/>
  <c r="F838" i="10"/>
  <c r="F839" i="10"/>
  <c r="F840" i="10"/>
  <c r="F841" i="10"/>
  <c r="F842" i="10"/>
  <c r="F843" i="10"/>
  <c r="F844" i="10"/>
  <c r="F845" i="10"/>
  <c r="F846" i="10"/>
  <c r="F847" i="10"/>
  <c r="F848" i="10"/>
  <c r="F849" i="10"/>
  <c r="F850" i="10"/>
  <c r="F851" i="10"/>
  <c r="F852" i="10"/>
  <c r="F853" i="10"/>
  <c r="F854" i="10"/>
  <c r="F855" i="10"/>
  <c r="F856" i="10"/>
  <c r="F857" i="10"/>
  <c r="F858" i="10"/>
  <c r="F859" i="10"/>
  <c r="F860" i="10"/>
  <c r="F861" i="10"/>
  <c r="F862" i="10"/>
  <c r="F863" i="10"/>
  <c r="F864" i="10"/>
  <c r="F865" i="10"/>
  <c r="F866" i="10"/>
  <c r="F867" i="10"/>
  <c r="F868" i="10"/>
  <c r="F869" i="10"/>
  <c r="F870" i="10"/>
  <c r="F871" i="10"/>
  <c r="F872" i="10"/>
  <c r="F873" i="10"/>
  <c r="F874" i="10"/>
  <c r="F875" i="10"/>
  <c r="F876" i="10"/>
  <c r="F877" i="10"/>
  <c r="F878" i="10"/>
  <c r="F879" i="10"/>
  <c r="F880" i="10"/>
  <c r="F881" i="10"/>
  <c r="F882" i="10"/>
  <c r="F883" i="10"/>
  <c r="F884" i="10"/>
  <c r="F885" i="10"/>
  <c r="F886" i="10"/>
  <c r="F887" i="10"/>
  <c r="F888" i="10"/>
  <c r="F889" i="10"/>
  <c r="F890" i="10"/>
  <c r="F891" i="10"/>
  <c r="F892" i="10"/>
  <c r="F893" i="10"/>
  <c r="F894" i="10"/>
  <c r="F895" i="10"/>
  <c r="F896" i="10"/>
  <c r="F897" i="10"/>
  <c r="F898" i="10"/>
  <c r="F899" i="10"/>
  <c r="F900" i="10"/>
  <c r="F901" i="10"/>
  <c r="F902" i="10"/>
  <c r="F903" i="10"/>
  <c r="F904" i="10"/>
  <c r="F905" i="10"/>
  <c r="F906" i="10"/>
  <c r="F907" i="10"/>
  <c r="F908" i="10"/>
  <c r="F909" i="10"/>
  <c r="F910" i="10"/>
  <c r="F911" i="10"/>
  <c r="F912" i="10"/>
  <c r="F913" i="10"/>
  <c r="F914" i="10"/>
  <c r="F915" i="10"/>
  <c r="F916" i="10"/>
  <c r="F917" i="10"/>
  <c r="F918" i="10"/>
  <c r="F919" i="10"/>
  <c r="F920" i="10"/>
  <c r="F921" i="10"/>
  <c r="F922" i="10"/>
  <c r="F923" i="10"/>
  <c r="F924" i="10"/>
  <c r="F925" i="10"/>
  <c r="F926" i="10"/>
  <c r="F927" i="10"/>
  <c r="F928" i="10"/>
  <c r="F929" i="10"/>
  <c r="F930" i="10"/>
  <c r="F931" i="10"/>
  <c r="F932" i="10"/>
  <c r="F933" i="10"/>
  <c r="F934" i="10"/>
  <c r="F935" i="10"/>
  <c r="F936" i="10"/>
  <c r="F937" i="10"/>
  <c r="F938" i="10"/>
  <c r="F939" i="10"/>
  <c r="F940" i="10"/>
  <c r="F941" i="10"/>
  <c r="F942" i="10"/>
  <c r="F943" i="10"/>
  <c r="F944" i="10"/>
  <c r="F945" i="10"/>
  <c r="F946" i="10"/>
  <c r="F947" i="10"/>
  <c r="F948" i="10"/>
  <c r="F949" i="10"/>
  <c r="F950" i="10"/>
  <c r="F951" i="10"/>
  <c r="F952" i="10"/>
  <c r="F953" i="10"/>
  <c r="F954" i="10"/>
  <c r="F955" i="10"/>
  <c r="F956" i="10"/>
  <c r="F957" i="10"/>
  <c r="F958" i="10"/>
  <c r="F959" i="10"/>
  <c r="F960" i="10"/>
  <c r="F961" i="10"/>
  <c r="F962" i="10"/>
  <c r="F963" i="10"/>
  <c r="F964" i="10"/>
  <c r="F965" i="10"/>
  <c r="F966" i="10"/>
  <c r="F967" i="10"/>
  <c r="F968" i="10"/>
  <c r="F969" i="10"/>
  <c r="F970" i="10"/>
  <c r="F971" i="10"/>
  <c r="F972" i="10"/>
  <c r="F973" i="10"/>
  <c r="F974" i="10"/>
  <c r="F975" i="10"/>
  <c r="F976" i="10"/>
  <c r="F977" i="10"/>
  <c r="F978" i="10"/>
  <c r="F979" i="10"/>
  <c r="F980" i="10"/>
  <c r="F981" i="10"/>
  <c r="F982" i="10"/>
  <c r="F983" i="10"/>
  <c r="F984" i="10"/>
  <c r="F985" i="10"/>
  <c r="F986" i="10"/>
  <c r="F987" i="10"/>
  <c r="F988" i="10"/>
  <c r="F989" i="10"/>
  <c r="F990" i="10"/>
  <c r="F991" i="10"/>
  <c r="F992" i="10"/>
  <c r="F993" i="10"/>
  <c r="F994" i="10"/>
  <c r="F995" i="10"/>
  <c r="F996" i="10"/>
  <c r="F997" i="10"/>
  <c r="F998" i="10"/>
  <c r="F999" i="10"/>
  <c r="F1000" i="10"/>
  <c r="F1001" i="10"/>
  <c r="F1002" i="10"/>
  <c r="F1003" i="10"/>
  <c r="F1004" i="10"/>
  <c r="F1005" i="10"/>
  <c r="F1006" i="10"/>
  <c r="F1007" i="10"/>
  <c r="F1008" i="10"/>
  <c r="F1009" i="10"/>
  <c r="F1010" i="10"/>
  <c r="F1011" i="10"/>
  <c r="F1012" i="10"/>
  <c r="F1013" i="10"/>
  <c r="F1014" i="10"/>
  <c r="F1015" i="10"/>
  <c r="F1016" i="10"/>
  <c r="F1017" i="10"/>
  <c r="F1018" i="10"/>
  <c r="F1019" i="10"/>
  <c r="F1020" i="10"/>
  <c r="F1021" i="10"/>
  <c r="F1022" i="10"/>
  <c r="F1023" i="10"/>
  <c r="F1024" i="10"/>
  <c r="F1025" i="10"/>
  <c r="F1026" i="10"/>
  <c r="F1027" i="10"/>
  <c r="F1028" i="10"/>
  <c r="F1029" i="10"/>
  <c r="F1030" i="10"/>
  <c r="F1031" i="10"/>
  <c r="F1032" i="10"/>
  <c r="F1033" i="10"/>
  <c r="F1034" i="10"/>
  <c r="F1035" i="10"/>
  <c r="F1036" i="10"/>
  <c r="F1037" i="10"/>
  <c r="F1038" i="10"/>
  <c r="F1039" i="10"/>
  <c r="F1040" i="10"/>
  <c r="F1041" i="10"/>
  <c r="F1042" i="10"/>
  <c r="F1043" i="10"/>
  <c r="F1044" i="10"/>
  <c r="F1045" i="10"/>
  <c r="F1046" i="10"/>
  <c r="F1047" i="10"/>
  <c r="F1048" i="10"/>
  <c r="F1049" i="10"/>
  <c r="F1050" i="10"/>
  <c r="F1051" i="10"/>
  <c r="F1052" i="10"/>
  <c r="F1053" i="10"/>
  <c r="F1054" i="10"/>
  <c r="F1055" i="10"/>
  <c r="F1056" i="10"/>
  <c r="F1057" i="10"/>
  <c r="F1058" i="10"/>
  <c r="F1059" i="10"/>
  <c r="F1060" i="10"/>
  <c r="F1061" i="10"/>
  <c r="F1062" i="10"/>
  <c r="F1063" i="10"/>
  <c r="F1064" i="10"/>
  <c r="F1065" i="10"/>
  <c r="F1066" i="10"/>
  <c r="F1067" i="10"/>
  <c r="F1068" i="10"/>
  <c r="F1069" i="10"/>
  <c r="F1070" i="10"/>
  <c r="F1071" i="10"/>
  <c r="F1072" i="10"/>
  <c r="F1073" i="10"/>
  <c r="F1074" i="10"/>
  <c r="F1075" i="10"/>
  <c r="F1076" i="10"/>
  <c r="F1077" i="10"/>
  <c r="F1078" i="10"/>
  <c r="F1079" i="10"/>
  <c r="F1080" i="10"/>
  <c r="F1081" i="10"/>
  <c r="F1082" i="10"/>
  <c r="F1083" i="10"/>
  <c r="F1084" i="10"/>
  <c r="F1085" i="10"/>
  <c r="F1086" i="10"/>
  <c r="F1087" i="10"/>
  <c r="F1088" i="10"/>
  <c r="F1089" i="10"/>
  <c r="F1090" i="10"/>
  <c r="F1091" i="10"/>
  <c r="F1092" i="10"/>
  <c r="F1093" i="10"/>
  <c r="F1094" i="10"/>
  <c r="F1095" i="10"/>
  <c r="F1096" i="10"/>
  <c r="F1097" i="10"/>
  <c r="F1098" i="10"/>
  <c r="F1099" i="10"/>
  <c r="F1100" i="10"/>
  <c r="F1101" i="10"/>
  <c r="F1102" i="10"/>
  <c r="F1103" i="10"/>
  <c r="F1104" i="10"/>
  <c r="F1105" i="10"/>
  <c r="F1106" i="10"/>
  <c r="F1107" i="10"/>
  <c r="F1108" i="10"/>
  <c r="F1109" i="10"/>
  <c r="F1110" i="10"/>
  <c r="F1111" i="10"/>
  <c r="F1112" i="10"/>
  <c r="F1113" i="10"/>
  <c r="F1114" i="10"/>
  <c r="F1115" i="10"/>
  <c r="F1116" i="10"/>
  <c r="F1117" i="10"/>
  <c r="F1118" i="10"/>
  <c r="F1119" i="10"/>
  <c r="F1120" i="10"/>
  <c r="F1121" i="10"/>
  <c r="F1122" i="10"/>
  <c r="F1123" i="10"/>
  <c r="F1124" i="10"/>
  <c r="F1125" i="10"/>
  <c r="F1126" i="10"/>
  <c r="F1127" i="10"/>
  <c r="F1128" i="10"/>
  <c r="F1129" i="10"/>
  <c r="F1130" i="10"/>
  <c r="F1131" i="10"/>
  <c r="F1132" i="10"/>
  <c r="F1133" i="10"/>
  <c r="F1134" i="10"/>
  <c r="F1135" i="10"/>
  <c r="F1136" i="10"/>
  <c r="F1137" i="10"/>
  <c r="F1138" i="10"/>
  <c r="F1139" i="10"/>
  <c r="F1140" i="10"/>
  <c r="F1141" i="10"/>
  <c r="F1142" i="10"/>
  <c r="F1143" i="10"/>
  <c r="F1144" i="10"/>
  <c r="F1145" i="10"/>
  <c r="F1146" i="10"/>
  <c r="F1147" i="10"/>
  <c r="F1148" i="10"/>
  <c r="F1149" i="10"/>
  <c r="F1150" i="10"/>
  <c r="F1151" i="10"/>
  <c r="F1152" i="10"/>
  <c r="F1153" i="10"/>
  <c r="F1154" i="10"/>
  <c r="F1155" i="10"/>
  <c r="F1156" i="10"/>
  <c r="F1157" i="10"/>
  <c r="F1158" i="10"/>
  <c r="F1159" i="10"/>
  <c r="F1160" i="10"/>
  <c r="F1161" i="10"/>
  <c r="F1162" i="10"/>
  <c r="F1163" i="10"/>
  <c r="F1164" i="10"/>
  <c r="F1165" i="10"/>
  <c r="F1166" i="10"/>
  <c r="F1167" i="10"/>
  <c r="F1168" i="10"/>
  <c r="F1169" i="10"/>
  <c r="F1170" i="10"/>
  <c r="F1171" i="10"/>
  <c r="F1172" i="10"/>
  <c r="F1173" i="10"/>
  <c r="F1174" i="10"/>
  <c r="F1175" i="10"/>
  <c r="F1176" i="10"/>
  <c r="F1177" i="10"/>
  <c r="F1178" i="10"/>
  <c r="F1179" i="10"/>
  <c r="F1180" i="10"/>
  <c r="F1181" i="10"/>
  <c r="F1182" i="10"/>
  <c r="F1183" i="10"/>
  <c r="F1184" i="10"/>
  <c r="F1185" i="10"/>
  <c r="F1186" i="10"/>
  <c r="F1187" i="10"/>
  <c r="F1188" i="10"/>
  <c r="F1189" i="10"/>
  <c r="F1190" i="10"/>
  <c r="F1191" i="10"/>
  <c r="F1192" i="10"/>
  <c r="F1193" i="10"/>
  <c r="F1194" i="10"/>
  <c r="F1195" i="10"/>
  <c r="F1196" i="10"/>
  <c r="F1197" i="10"/>
  <c r="F1198" i="10"/>
  <c r="F1199" i="10"/>
  <c r="F1200" i="10"/>
  <c r="F1201" i="10"/>
  <c r="F1202" i="10"/>
  <c r="F1203" i="10"/>
  <c r="F1204" i="10"/>
  <c r="F1205" i="10"/>
  <c r="F1206" i="10"/>
  <c r="F1207" i="10"/>
  <c r="F1208" i="10"/>
  <c r="F1209" i="10"/>
  <c r="F1210" i="10"/>
  <c r="F1211" i="10"/>
  <c r="F1212" i="10"/>
  <c r="F1213" i="10"/>
  <c r="F1214" i="10"/>
  <c r="F1215" i="10"/>
  <c r="F1216" i="10"/>
  <c r="F1217" i="10"/>
  <c r="F1218" i="10"/>
  <c r="F1219" i="10"/>
  <c r="F1220" i="10"/>
  <c r="F1221" i="10"/>
  <c r="F1222" i="10"/>
  <c r="F1223" i="10"/>
  <c r="F1224" i="10"/>
  <c r="F1225" i="10"/>
  <c r="F1226" i="10"/>
  <c r="F1227" i="10"/>
  <c r="F1228" i="10"/>
  <c r="F1229" i="10"/>
  <c r="F1230" i="10"/>
  <c r="F1231" i="10"/>
  <c r="F1232" i="10"/>
  <c r="F1233" i="10"/>
  <c r="F1234" i="10"/>
  <c r="F1235" i="10"/>
  <c r="F1236" i="10"/>
  <c r="F1237" i="10"/>
  <c r="F1238" i="10"/>
  <c r="F1239" i="10"/>
  <c r="F1240" i="10"/>
  <c r="F1241" i="10"/>
  <c r="F1242" i="10"/>
  <c r="F1243" i="10"/>
  <c r="F1244" i="10"/>
  <c r="F1245" i="10"/>
  <c r="F1246" i="10"/>
  <c r="F1247" i="10"/>
  <c r="F1248" i="10"/>
  <c r="F1249" i="10"/>
  <c r="F1250" i="10"/>
  <c r="F1251" i="10"/>
  <c r="F1252" i="10"/>
  <c r="F1253" i="10"/>
  <c r="F1254" i="10"/>
  <c r="F1255" i="10"/>
  <c r="F1256" i="10"/>
  <c r="F1257" i="10"/>
  <c r="F1258" i="10"/>
  <c r="F1259" i="10"/>
  <c r="F1260" i="10"/>
  <c r="F1261" i="10"/>
  <c r="F1262" i="10"/>
  <c r="F1263" i="10"/>
  <c r="F1264" i="10"/>
  <c r="F1265" i="10"/>
  <c r="F1266" i="10"/>
  <c r="F1267" i="10"/>
  <c r="F1268" i="10"/>
  <c r="F1269" i="10"/>
  <c r="F1270" i="10"/>
  <c r="F1271" i="10"/>
  <c r="F1272" i="10"/>
  <c r="F1273" i="10"/>
  <c r="F1274" i="10"/>
  <c r="F1275" i="10"/>
  <c r="F1276" i="10"/>
  <c r="F1277" i="10"/>
  <c r="F1278" i="10"/>
  <c r="F1279" i="10"/>
  <c r="F1280" i="10"/>
  <c r="F1281" i="10"/>
  <c r="F1282" i="10"/>
  <c r="F1283" i="10"/>
  <c r="F1284" i="10"/>
  <c r="F1285" i="10"/>
  <c r="F1286" i="10"/>
  <c r="F1287" i="10"/>
  <c r="F1288" i="10"/>
  <c r="F1289" i="10"/>
  <c r="F1290" i="10"/>
  <c r="F1291" i="10"/>
  <c r="F1292" i="10"/>
  <c r="F1293" i="10"/>
  <c r="F1294" i="10"/>
  <c r="F1295" i="10"/>
  <c r="F1296" i="10"/>
  <c r="F1297" i="10"/>
  <c r="F1298" i="10"/>
  <c r="F1299" i="10"/>
  <c r="F1300" i="10"/>
  <c r="F1301" i="10"/>
  <c r="F1302" i="10"/>
  <c r="F1303" i="10"/>
  <c r="F1304" i="10"/>
  <c r="F1305" i="10"/>
  <c r="F1306" i="10"/>
  <c r="F1307" i="10"/>
  <c r="F1308" i="10"/>
  <c r="F1309" i="10"/>
  <c r="F1310" i="10"/>
  <c r="F1311" i="10"/>
  <c r="F1312" i="10"/>
  <c r="F1313" i="10"/>
  <c r="F1314" i="10"/>
  <c r="F1315" i="10"/>
  <c r="F1316" i="10"/>
  <c r="F1317" i="10"/>
  <c r="F1318" i="10"/>
  <c r="F1319" i="10"/>
  <c r="F1320" i="10"/>
  <c r="F1321" i="10"/>
  <c r="F1322" i="10"/>
  <c r="F1323" i="10"/>
  <c r="F1324" i="10"/>
  <c r="F1325" i="10"/>
  <c r="F1326" i="10"/>
  <c r="F1327" i="10"/>
  <c r="F1328" i="10"/>
  <c r="F1329" i="10"/>
  <c r="F1330" i="10"/>
  <c r="F1331" i="10"/>
  <c r="F1332" i="10"/>
  <c r="F1333" i="10"/>
  <c r="F1334" i="10"/>
  <c r="F1335" i="10"/>
  <c r="F1336" i="10"/>
  <c r="F1337" i="10"/>
  <c r="F1338" i="10"/>
  <c r="F1339" i="10"/>
  <c r="F1340" i="10"/>
  <c r="F1341" i="10"/>
  <c r="F1342" i="10"/>
  <c r="F1343" i="10"/>
  <c r="F1344" i="10"/>
  <c r="F1345" i="10"/>
  <c r="F1346" i="10"/>
  <c r="F1347" i="10"/>
  <c r="F1348" i="10"/>
  <c r="F1349" i="10"/>
  <c r="F1350" i="10"/>
  <c r="F1351" i="10"/>
  <c r="F1352" i="10"/>
  <c r="F1353" i="10"/>
  <c r="F1354" i="10"/>
  <c r="F1355" i="10"/>
  <c r="F1356" i="10"/>
  <c r="F1357" i="10"/>
  <c r="F1358" i="10"/>
  <c r="F1359" i="10"/>
  <c r="F1360" i="10"/>
  <c r="F1361" i="10"/>
  <c r="F1362" i="10"/>
  <c r="F1363" i="10"/>
  <c r="F1364" i="10"/>
  <c r="F1365" i="10"/>
  <c r="F1366" i="10"/>
  <c r="F1367" i="10"/>
  <c r="F1368" i="10"/>
  <c r="F1369" i="10"/>
  <c r="F1370" i="10"/>
  <c r="F1371" i="10"/>
  <c r="F1372" i="10"/>
  <c r="F1373" i="10"/>
  <c r="F1374" i="10"/>
  <c r="F1375" i="10"/>
  <c r="F1376" i="10"/>
  <c r="F1377" i="10"/>
  <c r="F1378" i="10"/>
  <c r="F1379" i="10"/>
  <c r="F1380" i="10"/>
  <c r="F1381" i="10"/>
  <c r="F1382" i="10"/>
  <c r="F1383" i="10"/>
  <c r="F1384" i="10"/>
  <c r="F1385" i="10"/>
  <c r="F1386" i="10"/>
  <c r="F1387" i="10"/>
  <c r="F1388" i="10"/>
  <c r="F1389" i="10"/>
  <c r="F1390" i="10"/>
  <c r="F1391" i="10"/>
  <c r="F1392" i="10"/>
  <c r="F1393" i="10"/>
  <c r="F1394" i="10"/>
  <c r="F1395" i="10"/>
  <c r="F1396" i="10"/>
  <c r="F1397" i="10"/>
  <c r="F1398" i="10"/>
  <c r="F1399" i="10"/>
  <c r="F1400" i="10"/>
  <c r="F1401" i="10"/>
  <c r="F1402" i="10"/>
  <c r="F1403" i="10"/>
  <c r="F1404" i="10"/>
  <c r="F1405" i="10"/>
  <c r="F1406" i="10"/>
  <c r="F1407" i="10"/>
  <c r="F1408" i="10"/>
  <c r="F1409" i="10"/>
  <c r="F1410" i="10"/>
  <c r="F1411" i="10"/>
  <c r="F1412" i="10"/>
  <c r="F1413" i="10"/>
  <c r="F1414" i="10"/>
  <c r="F1415" i="10"/>
  <c r="F1416" i="10"/>
  <c r="F1417" i="10"/>
  <c r="F1418" i="10"/>
  <c r="F1419" i="10"/>
  <c r="F1420" i="10"/>
  <c r="F1421" i="10"/>
  <c r="F1422" i="10"/>
  <c r="F1423" i="10"/>
  <c r="F1424" i="10"/>
  <c r="F1425" i="10"/>
  <c r="F1426" i="10"/>
  <c r="F1427" i="10"/>
  <c r="F1428" i="10"/>
  <c r="F1429" i="10"/>
  <c r="F1430" i="10"/>
  <c r="F1431" i="10"/>
  <c r="F1432" i="10"/>
  <c r="F1433" i="10"/>
  <c r="F1434" i="10"/>
  <c r="F1435" i="10"/>
  <c r="F1436" i="10"/>
  <c r="F1437" i="10"/>
  <c r="F1438" i="10"/>
  <c r="F1439" i="10"/>
  <c r="F1440" i="10"/>
  <c r="F1441" i="10"/>
  <c r="F1442" i="10"/>
  <c r="F1443" i="10"/>
  <c r="F1444" i="10"/>
  <c r="F1445" i="10"/>
  <c r="F1446" i="10"/>
  <c r="F1447" i="10"/>
  <c r="F1448" i="10"/>
  <c r="F1449" i="10"/>
  <c r="F1450" i="10"/>
  <c r="F1451" i="10"/>
  <c r="F1452" i="10"/>
  <c r="F1453" i="10"/>
  <c r="F1454" i="10"/>
  <c r="F1455" i="10"/>
  <c r="F1456" i="10"/>
  <c r="F1457" i="10"/>
  <c r="F1458" i="10"/>
  <c r="F1459" i="10"/>
  <c r="F1460" i="10"/>
  <c r="F1461" i="10"/>
  <c r="F1462" i="10"/>
  <c r="F1463" i="10"/>
  <c r="F1464" i="10"/>
  <c r="F1465" i="10"/>
  <c r="F1466" i="10"/>
  <c r="F1467" i="10"/>
  <c r="F1468" i="10"/>
  <c r="F1469" i="10"/>
  <c r="F1470" i="10"/>
  <c r="F1471" i="10"/>
  <c r="F1472" i="10"/>
  <c r="F1473" i="10"/>
  <c r="F1474" i="10"/>
  <c r="F1475" i="10"/>
  <c r="F1476" i="10"/>
  <c r="F1477" i="10"/>
  <c r="F1478" i="10"/>
  <c r="F1479" i="10"/>
  <c r="F1480" i="10"/>
  <c r="F1481" i="10"/>
  <c r="F1482" i="10"/>
  <c r="F1483" i="10"/>
  <c r="F1484" i="10"/>
  <c r="F1485" i="10"/>
  <c r="F1486" i="10"/>
  <c r="F1487" i="10"/>
  <c r="F1488" i="10"/>
  <c r="F1489" i="10"/>
  <c r="F1490" i="10"/>
  <c r="F1491" i="10"/>
  <c r="F1492" i="10"/>
  <c r="F1493" i="10"/>
  <c r="F1494" i="10"/>
  <c r="F1495" i="10"/>
  <c r="F1496" i="10"/>
  <c r="F1497" i="10"/>
  <c r="F1498" i="10"/>
  <c r="F1499" i="10"/>
  <c r="F1500" i="10"/>
  <c r="F1501" i="10"/>
  <c r="F1502" i="10"/>
  <c r="F1503" i="10"/>
  <c r="F1504" i="10"/>
  <c r="F1505" i="10"/>
  <c r="F1506" i="10"/>
  <c r="F1507" i="10"/>
  <c r="F1508" i="10"/>
  <c r="F1509" i="10"/>
  <c r="F1510" i="10"/>
  <c r="F1511" i="10"/>
  <c r="F1512" i="10"/>
  <c r="F1513" i="10"/>
  <c r="F1514" i="10"/>
  <c r="F1515" i="10"/>
  <c r="F1516" i="10"/>
  <c r="F1517" i="10"/>
  <c r="F1518" i="10"/>
  <c r="F1519" i="10"/>
  <c r="F1520" i="10"/>
  <c r="F1521" i="10"/>
  <c r="F1522" i="10"/>
  <c r="F1523" i="10"/>
  <c r="F1524" i="10"/>
  <c r="F1525" i="10"/>
  <c r="F1526" i="10"/>
  <c r="F1527" i="10"/>
  <c r="F1528" i="10"/>
  <c r="F1529" i="10"/>
  <c r="F1530" i="10"/>
  <c r="F1531" i="10"/>
  <c r="F1532" i="10"/>
  <c r="F1533" i="10"/>
  <c r="F1534" i="10"/>
  <c r="F1535" i="10"/>
  <c r="F1536" i="10"/>
  <c r="F1537" i="10"/>
  <c r="F1538" i="10"/>
  <c r="F1539" i="10"/>
  <c r="F1540" i="10"/>
  <c r="F1541" i="10"/>
  <c r="F1542" i="10"/>
  <c r="F1543" i="10"/>
  <c r="F1544" i="10"/>
  <c r="F1545" i="10"/>
  <c r="F1546" i="10"/>
  <c r="F1547" i="10"/>
  <c r="F1548" i="10"/>
  <c r="F1549" i="10"/>
  <c r="F1550" i="10"/>
  <c r="F1551" i="10"/>
  <c r="F1552" i="10"/>
  <c r="F1553" i="10"/>
  <c r="F1554" i="10"/>
  <c r="F1555" i="10"/>
  <c r="F1556" i="10"/>
  <c r="F1557" i="10"/>
  <c r="F1558" i="10"/>
  <c r="F1559" i="10"/>
  <c r="F1560" i="10"/>
  <c r="F1561" i="10"/>
  <c r="F1562" i="10"/>
  <c r="F1563" i="10"/>
  <c r="F1564" i="10"/>
  <c r="F1565" i="10"/>
  <c r="F1566" i="10"/>
  <c r="F1567" i="10"/>
  <c r="F1568" i="10"/>
  <c r="F1569" i="10"/>
  <c r="F1570" i="10"/>
  <c r="F1571" i="10"/>
  <c r="F1572" i="10"/>
  <c r="F1573" i="10"/>
  <c r="F1574" i="10"/>
  <c r="F1575" i="10"/>
  <c r="F1576" i="10"/>
  <c r="F1577" i="10"/>
  <c r="F1578" i="10"/>
  <c r="F1579" i="10"/>
  <c r="F1580" i="10"/>
  <c r="F1581" i="10"/>
  <c r="F1582" i="10"/>
  <c r="F1583" i="10"/>
  <c r="F1584" i="10"/>
  <c r="F1585" i="10"/>
  <c r="F1586" i="10"/>
  <c r="F1587" i="10"/>
  <c r="F1588" i="10"/>
  <c r="F1589" i="10"/>
  <c r="F1590" i="10"/>
  <c r="F1591" i="10"/>
  <c r="F1592" i="10"/>
  <c r="F1593" i="10"/>
  <c r="F1594" i="10"/>
  <c r="F1595" i="10"/>
  <c r="F1596" i="10"/>
  <c r="F1597" i="10"/>
  <c r="F1598" i="10"/>
  <c r="F1599" i="10"/>
  <c r="F1600" i="10"/>
  <c r="F1601" i="10"/>
  <c r="F1602" i="10"/>
  <c r="F1603" i="10"/>
  <c r="F1604" i="10"/>
  <c r="F1605" i="10"/>
  <c r="F1606" i="10"/>
  <c r="F1607" i="10"/>
  <c r="F1608" i="10"/>
  <c r="F1609" i="10"/>
  <c r="F1610" i="10"/>
  <c r="F1611" i="10"/>
  <c r="F1612" i="10"/>
  <c r="F1613" i="10"/>
  <c r="F1614" i="10"/>
  <c r="F1615" i="10"/>
  <c r="F1616" i="10"/>
  <c r="F1617" i="10"/>
  <c r="F1618" i="10"/>
  <c r="F1619" i="10"/>
  <c r="F1620" i="10"/>
  <c r="F1621" i="10"/>
  <c r="F1622" i="10"/>
  <c r="F1623" i="10"/>
  <c r="F1624" i="10"/>
  <c r="F1625" i="10"/>
  <c r="F1626" i="10"/>
  <c r="F1627" i="10"/>
  <c r="F1628" i="10"/>
  <c r="F1629" i="10"/>
  <c r="F1630" i="10"/>
  <c r="F1631" i="10"/>
  <c r="F1632" i="10"/>
  <c r="F1633" i="10"/>
  <c r="F1634" i="10"/>
  <c r="F1635" i="10"/>
  <c r="F1636" i="10"/>
  <c r="F1637" i="10"/>
  <c r="F1638" i="10"/>
  <c r="F1639" i="10"/>
  <c r="F1640" i="10"/>
  <c r="F1641" i="10"/>
  <c r="F1642" i="10"/>
  <c r="F1643" i="10"/>
  <c r="F1644" i="10"/>
  <c r="F1645" i="10"/>
  <c r="F1646" i="10"/>
  <c r="F1647" i="10"/>
  <c r="F1648" i="10"/>
  <c r="F1649" i="10"/>
  <c r="F1650" i="10"/>
  <c r="F1651" i="10"/>
  <c r="F1652" i="10"/>
  <c r="F1653" i="10"/>
  <c r="F1654" i="10"/>
  <c r="F1655" i="10"/>
  <c r="F1656" i="10"/>
  <c r="F1657" i="10"/>
  <c r="F1658" i="10"/>
  <c r="F1659" i="10"/>
  <c r="F1660" i="10"/>
  <c r="F1661" i="10"/>
  <c r="F1662" i="10"/>
  <c r="F1663" i="10"/>
  <c r="F1664" i="10"/>
  <c r="F1665" i="10"/>
  <c r="F1666" i="10"/>
  <c r="F1667" i="10"/>
  <c r="F1668" i="10"/>
  <c r="F1669" i="10"/>
  <c r="F1670" i="10"/>
  <c r="F1671" i="10"/>
  <c r="F1672" i="10"/>
  <c r="F1673" i="10"/>
  <c r="F1674" i="10"/>
  <c r="F1675" i="10"/>
  <c r="F1676" i="10"/>
  <c r="F1677" i="10"/>
  <c r="F1678" i="10"/>
  <c r="F1679" i="10"/>
  <c r="F1680" i="10"/>
  <c r="F1681" i="10"/>
  <c r="F1682" i="10"/>
  <c r="F1683" i="10"/>
  <c r="F1684" i="10"/>
  <c r="F1685" i="10"/>
  <c r="F1686" i="10"/>
  <c r="F1687" i="10"/>
  <c r="F1688" i="10"/>
  <c r="F1689" i="10"/>
  <c r="F1690" i="10"/>
  <c r="F1691" i="10"/>
  <c r="F1692" i="10"/>
  <c r="F1693" i="10"/>
  <c r="F1694" i="10"/>
  <c r="F1695" i="10"/>
  <c r="F1696" i="10"/>
  <c r="F1697" i="10"/>
  <c r="F1698" i="10"/>
  <c r="F1699" i="10"/>
  <c r="F1700" i="10"/>
  <c r="F1701" i="10"/>
  <c r="F1702" i="10"/>
  <c r="F1703" i="10"/>
  <c r="F1704" i="10"/>
  <c r="F1705" i="10"/>
  <c r="F1706" i="10"/>
  <c r="F1707" i="10"/>
  <c r="F1708" i="10"/>
  <c r="F1709" i="10"/>
  <c r="F1710" i="10"/>
  <c r="F1711" i="10"/>
  <c r="F1712" i="10"/>
  <c r="F1713" i="10"/>
  <c r="F1714" i="10"/>
  <c r="F1715" i="10"/>
  <c r="F1716" i="10"/>
  <c r="F1717" i="10"/>
  <c r="F1718" i="10"/>
  <c r="F1719" i="10"/>
  <c r="F1720" i="10"/>
  <c r="F1721" i="10"/>
  <c r="F1722" i="10"/>
  <c r="F1723" i="10"/>
  <c r="F1724" i="10"/>
  <c r="F1725" i="10"/>
  <c r="F1726" i="10"/>
  <c r="F1727" i="10"/>
  <c r="F1728" i="10"/>
  <c r="F1729" i="10"/>
  <c r="F1730" i="10"/>
  <c r="F1731" i="10"/>
  <c r="F1732" i="10"/>
  <c r="F1733" i="10"/>
  <c r="F1734" i="10"/>
  <c r="F1735" i="10"/>
  <c r="F1736" i="10"/>
  <c r="F1737" i="10"/>
  <c r="F1738" i="10"/>
  <c r="F1739" i="10"/>
  <c r="F1740" i="10"/>
  <c r="F1741" i="10"/>
  <c r="F1742" i="10"/>
  <c r="F1743" i="10"/>
  <c r="F1744" i="10"/>
  <c r="F1745" i="10"/>
  <c r="F1746" i="10"/>
  <c r="F1747" i="10"/>
  <c r="F1748" i="10"/>
  <c r="F1749" i="10"/>
  <c r="F1750" i="10"/>
  <c r="F1751" i="10"/>
  <c r="F1752" i="10"/>
  <c r="F1753" i="10"/>
  <c r="F1754" i="10"/>
  <c r="F1755" i="10"/>
  <c r="F1756" i="10"/>
  <c r="F1757" i="10"/>
  <c r="F1758" i="10"/>
  <c r="F1759" i="10"/>
  <c r="F1760" i="10"/>
  <c r="F1761" i="10"/>
  <c r="F1762" i="10"/>
  <c r="F1763" i="10"/>
  <c r="F1764" i="10"/>
  <c r="F1765" i="10"/>
  <c r="F1766" i="10"/>
  <c r="F1767" i="10"/>
  <c r="F1768" i="10"/>
  <c r="F1769" i="10"/>
  <c r="F1770" i="10"/>
  <c r="F1771" i="10"/>
  <c r="F1772" i="10"/>
  <c r="F1773" i="10"/>
  <c r="F1774" i="10"/>
  <c r="F1775" i="10"/>
  <c r="F1776" i="10"/>
  <c r="F1777" i="10"/>
  <c r="F1778" i="10"/>
  <c r="F1779" i="10"/>
  <c r="F1780" i="10"/>
  <c r="F1781" i="10"/>
  <c r="F1782" i="10"/>
  <c r="F1783" i="10"/>
  <c r="F1784" i="10"/>
  <c r="F1785" i="10"/>
  <c r="F1786" i="10"/>
  <c r="F1787" i="10"/>
  <c r="F1788" i="10"/>
  <c r="F1789" i="10"/>
  <c r="F1790" i="10"/>
  <c r="F1791" i="10"/>
  <c r="F1792" i="10"/>
  <c r="F1793" i="10"/>
  <c r="F1794" i="10"/>
  <c r="F1795" i="10"/>
  <c r="F1796" i="10"/>
  <c r="F1797" i="10"/>
  <c r="F1798" i="10"/>
  <c r="F1799" i="10"/>
  <c r="F1800" i="10"/>
  <c r="F1801" i="10"/>
  <c r="F1802" i="10"/>
  <c r="F1803" i="10"/>
  <c r="F1804" i="10"/>
  <c r="F1805" i="10"/>
  <c r="F1806" i="10"/>
  <c r="F1807" i="10"/>
  <c r="F1808" i="10"/>
  <c r="F1809" i="10"/>
  <c r="F1810" i="10"/>
  <c r="F1811" i="10"/>
  <c r="F1812" i="10"/>
  <c r="F1813" i="10"/>
  <c r="F1814" i="10"/>
  <c r="F1815" i="10"/>
  <c r="F1816" i="10"/>
  <c r="F1817" i="10"/>
  <c r="F1818" i="10"/>
  <c r="F1819" i="10"/>
  <c r="F1820" i="10"/>
  <c r="F1821" i="10"/>
  <c r="F1822" i="10"/>
  <c r="F1823" i="10"/>
  <c r="F1824" i="10"/>
  <c r="F1825" i="10"/>
  <c r="F1826" i="10"/>
  <c r="F1827" i="10"/>
  <c r="F1828" i="10"/>
  <c r="F1829" i="10"/>
  <c r="F1830" i="10"/>
  <c r="F1831" i="10"/>
  <c r="F1832" i="10"/>
  <c r="F1833" i="10"/>
  <c r="F1834" i="10"/>
  <c r="F1835" i="10"/>
  <c r="F1836" i="10"/>
  <c r="F1837" i="10"/>
  <c r="F1838" i="10"/>
  <c r="F1839" i="10"/>
  <c r="F1840" i="10"/>
  <c r="F1841" i="10"/>
  <c r="F1842" i="10"/>
  <c r="F1843" i="10"/>
  <c r="F1844" i="10"/>
  <c r="F1845" i="10"/>
  <c r="F1846" i="10"/>
  <c r="F1847" i="10"/>
  <c r="F1848" i="10"/>
  <c r="F1849" i="10"/>
  <c r="F1850" i="10"/>
  <c r="F1851" i="10"/>
  <c r="F1852" i="10"/>
  <c r="F1853" i="10"/>
  <c r="F1854" i="10"/>
  <c r="F1855" i="10"/>
  <c r="F1856" i="10"/>
  <c r="F1857" i="10"/>
  <c r="F1858" i="10"/>
  <c r="F1859" i="10"/>
  <c r="F1860" i="10"/>
  <c r="F1861" i="10"/>
  <c r="F1862" i="10"/>
  <c r="F1863" i="10"/>
  <c r="F1864" i="10"/>
  <c r="F1865" i="10"/>
  <c r="F1866" i="10"/>
  <c r="F1867" i="10"/>
  <c r="F1868" i="10"/>
  <c r="F1869" i="10"/>
  <c r="F1870" i="10"/>
  <c r="F1871" i="10"/>
  <c r="F1872" i="10"/>
  <c r="F1873" i="10"/>
  <c r="F1874" i="10"/>
  <c r="F1875" i="10"/>
  <c r="F1876" i="10"/>
  <c r="F1877" i="10"/>
  <c r="F1878" i="10"/>
  <c r="F1879" i="10"/>
  <c r="F1880" i="10"/>
  <c r="F1881" i="10"/>
  <c r="F1882" i="10"/>
  <c r="F1883" i="10"/>
  <c r="F1884" i="10"/>
  <c r="F1885" i="10"/>
  <c r="F1886" i="10"/>
  <c r="F1887" i="10"/>
  <c r="F1888" i="10"/>
  <c r="F1889" i="10"/>
  <c r="F1890" i="10"/>
  <c r="F1891" i="10"/>
  <c r="F1892" i="10"/>
  <c r="F1893" i="10"/>
  <c r="F1894" i="10"/>
  <c r="F1895" i="10"/>
  <c r="F1896" i="10"/>
  <c r="F1897" i="10"/>
  <c r="F1898" i="10"/>
  <c r="F1899" i="10"/>
  <c r="F1900" i="10"/>
  <c r="F1901" i="10"/>
  <c r="F1902" i="10"/>
  <c r="F1903" i="10"/>
  <c r="F1904" i="10"/>
  <c r="F1905" i="10"/>
  <c r="F1906" i="10"/>
  <c r="F1907" i="10"/>
  <c r="F1908" i="10"/>
  <c r="F1909" i="10"/>
  <c r="F1910" i="10"/>
  <c r="F1911" i="10"/>
  <c r="F1912" i="10"/>
  <c r="F1913" i="10"/>
  <c r="F1914" i="10"/>
  <c r="F1915" i="10"/>
  <c r="F1916" i="10"/>
  <c r="F1917" i="10"/>
  <c r="F1918" i="10"/>
  <c r="F1919" i="10"/>
  <c r="F1920" i="10"/>
  <c r="F1921" i="10"/>
  <c r="F1922" i="10"/>
  <c r="F1923" i="10"/>
  <c r="F1924" i="10"/>
  <c r="F1925" i="10"/>
  <c r="F1926" i="10"/>
  <c r="F1927" i="10"/>
  <c r="F1928" i="10"/>
  <c r="F1929" i="10"/>
  <c r="F1930" i="10"/>
  <c r="F1931" i="10"/>
  <c r="F1932" i="10"/>
  <c r="F1933" i="10"/>
  <c r="F1934" i="10"/>
  <c r="F1935" i="10"/>
  <c r="F2" i="10"/>
  <c r="E23" i="6"/>
  <c r="E20" i="6"/>
  <c r="E16" i="6"/>
  <c r="E13" i="6"/>
  <c r="E12" i="6"/>
  <c r="E7" i="6"/>
  <c r="E3" i="6"/>
  <c r="E4" i="6"/>
  <c r="E5" i="6"/>
  <c r="E6" i="6"/>
  <c r="E8" i="6"/>
  <c r="E9" i="6"/>
  <c r="E10" i="6"/>
  <c r="E11" i="6"/>
  <c r="E14" i="6"/>
  <c r="E15" i="6"/>
  <c r="E17" i="6"/>
  <c r="E18" i="6"/>
  <c r="E19" i="6"/>
  <c r="E21" i="6"/>
  <c r="E22" i="6"/>
  <c r="E24" i="6"/>
  <c r="E25" i="6"/>
  <c r="E26" i="6"/>
  <c r="E2" i="6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2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2" i="8"/>
  <c r="S45" i="9" l="1"/>
  <c r="T45" i="9" s="1"/>
  <c r="H45" i="9"/>
  <c r="L45" i="9" s="1"/>
  <c r="S41" i="9"/>
  <c r="T41" i="9" s="1"/>
  <c r="H41" i="9"/>
  <c r="L41" i="9" s="1"/>
  <c r="S37" i="9"/>
  <c r="T37" i="9" s="1"/>
  <c r="H37" i="9"/>
  <c r="L37" i="9" s="1"/>
  <c r="S33" i="9"/>
  <c r="T33" i="9" s="1"/>
  <c r="H33" i="9"/>
  <c r="L33" i="9" s="1"/>
  <c r="S29" i="9"/>
  <c r="T29" i="9" s="1"/>
  <c r="H29" i="9"/>
  <c r="L29" i="9" s="1"/>
  <c r="S25" i="9"/>
  <c r="T25" i="9" s="1"/>
  <c r="H25" i="9"/>
  <c r="L25" i="9" s="1"/>
  <c r="S21" i="9"/>
  <c r="T21" i="9" s="1"/>
  <c r="H21" i="9"/>
  <c r="L21" i="9" s="1"/>
  <c r="S17" i="9"/>
  <c r="T17" i="9" s="1"/>
  <c r="H17" i="9"/>
  <c r="L17" i="9" s="1"/>
  <c r="S13" i="9"/>
  <c r="T13" i="9" s="1"/>
  <c r="H13" i="9"/>
  <c r="L13" i="9" s="1"/>
  <c r="S9" i="9"/>
  <c r="T9" i="9" s="1"/>
  <c r="H9" i="9"/>
  <c r="L9" i="9" s="1"/>
  <c r="S5" i="9"/>
  <c r="T5" i="9" s="1"/>
  <c r="H5" i="9"/>
  <c r="L5" i="9" s="1"/>
  <c r="S3" i="9"/>
  <c r="T3" i="9" s="1"/>
  <c r="H3" i="9"/>
  <c r="L3" i="9" s="1"/>
  <c r="S44" i="9"/>
  <c r="T44" i="9" s="1"/>
  <c r="H44" i="9"/>
  <c r="L44" i="9" s="1"/>
  <c r="S40" i="9"/>
  <c r="T40" i="9" s="1"/>
  <c r="H40" i="9"/>
  <c r="L40" i="9" s="1"/>
  <c r="S36" i="9"/>
  <c r="T36" i="9" s="1"/>
  <c r="H36" i="9"/>
  <c r="L36" i="9" s="1"/>
  <c r="S32" i="9"/>
  <c r="T32" i="9" s="1"/>
  <c r="H32" i="9"/>
  <c r="L32" i="9" s="1"/>
  <c r="S28" i="9"/>
  <c r="T28" i="9" s="1"/>
  <c r="H28" i="9"/>
  <c r="L28" i="9" s="1"/>
  <c r="S24" i="9"/>
  <c r="T24" i="9" s="1"/>
  <c r="H24" i="9"/>
  <c r="L24" i="9" s="1"/>
  <c r="S20" i="9"/>
  <c r="T20" i="9" s="1"/>
  <c r="H20" i="9"/>
  <c r="L20" i="9" s="1"/>
  <c r="S16" i="9"/>
  <c r="T16" i="9" s="1"/>
  <c r="H16" i="9"/>
  <c r="L16" i="9" s="1"/>
  <c r="S12" i="9"/>
  <c r="T12" i="9" s="1"/>
  <c r="H12" i="9"/>
  <c r="L12" i="9" s="1"/>
  <c r="S8" i="9"/>
  <c r="T8" i="9" s="1"/>
  <c r="H8" i="9"/>
  <c r="L8" i="9" s="1"/>
  <c r="S4" i="9"/>
  <c r="T4" i="9" s="1"/>
  <c r="H4" i="9"/>
  <c r="L4" i="9" s="1"/>
  <c r="S47" i="9"/>
  <c r="T47" i="9" s="1"/>
  <c r="H47" i="9"/>
  <c r="L47" i="9" s="1"/>
  <c r="S43" i="9"/>
  <c r="T43" i="9" s="1"/>
  <c r="H43" i="9"/>
  <c r="L43" i="9" s="1"/>
  <c r="S39" i="9"/>
  <c r="T39" i="9" s="1"/>
  <c r="H39" i="9"/>
  <c r="L39" i="9" s="1"/>
  <c r="S35" i="9"/>
  <c r="T35" i="9" s="1"/>
  <c r="H35" i="9"/>
  <c r="L35" i="9" s="1"/>
  <c r="S31" i="9"/>
  <c r="T31" i="9" s="1"/>
  <c r="H31" i="9"/>
  <c r="L31" i="9" s="1"/>
  <c r="S27" i="9"/>
  <c r="T27" i="9" s="1"/>
  <c r="H27" i="9"/>
  <c r="L27" i="9" s="1"/>
  <c r="S23" i="9"/>
  <c r="T23" i="9" s="1"/>
  <c r="H23" i="9"/>
  <c r="L23" i="9" s="1"/>
  <c r="S19" i="9"/>
  <c r="T19" i="9" s="1"/>
  <c r="H19" i="9"/>
  <c r="L19" i="9" s="1"/>
  <c r="S15" i="9"/>
  <c r="T15" i="9" s="1"/>
  <c r="H15" i="9"/>
  <c r="L15" i="9" s="1"/>
  <c r="S11" i="9"/>
  <c r="T11" i="9" s="1"/>
  <c r="H11" i="9"/>
  <c r="L11" i="9" s="1"/>
  <c r="S7" i="9"/>
  <c r="T7" i="9" s="1"/>
  <c r="H7" i="9"/>
  <c r="L7" i="9" s="1"/>
  <c r="S46" i="9"/>
  <c r="T46" i="9" s="1"/>
  <c r="H46" i="9"/>
  <c r="L46" i="9" s="1"/>
  <c r="S42" i="9"/>
  <c r="T42" i="9" s="1"/>
  <c r="H42" i="9"/>
  <c r="L42" i="9" s="1"/>
  <c r="S38" i="9"/>
  <c r="T38" i="9" s="1"/>
  <c r="H38" i="9"/>
  <c r="L38" i="9" s="1"/>
  <c r="S34" i="9"/>
  <c r="T34" i="9" s="1"/>
  <c r="H34" i="9"/>
  <c r="L34" i="9" s="1"/>
  <c r="S30" i="9"/>
  <c r="T30" i="9" s="1"/>
  <c r="H30" i="9"/>
  <c r="L30" i="9" s="1"/>
  <c r="S26" i="9"/>
  <c r="T26" i="9" s="1"/>
  <c r="H26" i="9"/>
  <c r="L26" i="9" s="1"/>
  <c r="S22" i="9"/>
  <c r="T22" i="9" s="1"/>
  <c r="H22" i="9"/>
  <c r="L22" i="9" s="1"/>
  <c r="S18" i="9"/>
  <c r="T18" i="9" s="1"/>
  <c r="H18" i="9"/>
  <c r="L18" i="9" s="1"/>
  <c r="S14" i="9"/>
  <c r="T14" i="9" s="1"/>
  <c r="H14" i="9"/>
  <c r="L14" i="9" s="1"/>
  <c r="S10" i="9"/>
  <c r="T10" i="9" s="1"/>
  <c r="H10" i="9"/>
  <c r="L10" i="9" s="1"/>
  <c r="S6" i="9"/>
  <c r="T6" i="9" s="1"/>
  <c r="H6" i="9"/>
  <c r="L6" i="9" s="1"/>
  <c r="H1927" i="10"/>
  <c r="H1919" i="10"/>
  <c r="H1911" i="10"/>
  <c r="H1899" i="10"/>
  <c r="H1887" i="10"/>
  <c r="H1867" i="10"/>
  <c r="H1855" i="10"/>
  <c r="H1843" i="10"/>
  <c r="H1835" i="10"/>
  <c r="H1827" i="10"/>
  <c r="H1807" i="10"/>
  <c r="H1799" i="10"/>
  <c r="H1787" i="10"/>
  <c r="H1775" i="10"/>
  <c r="H1767" i="10"/>
  <c r="H1759" i="10"/>
  <c r="H1751" i="10"/>
  <c r="H1739" i="10"/>
  <c r="H1731" i="10"/>
  <c r="H1723" i="10"/>
  <c r="H1719" i="10"/>
  <c r="H1711" i="10"/>
  <c r="H1703" i="10"/>
  <c r="H1699" i="10"/>
  <c r="H1691" i="10"/>
  <c r="H1687" i="10"/>
  <c r="H1683" i="10"/>
  <c r="H1679" i="10"/>
  <c r="H1675" i="10"/>
  <c r="H1671" i="10"/>
  <c r="H1667" i="10"/>
  <c r="H1663" i="10"/>
  <c r="H1659" i="10"/>
  <c r="H1655" i="10"/>
  <c r="H1651" i="10"/>
  <c r="H1647" i="10"/>
  <c r="H1643" i="10"/>
  <c r="H1639" i="10"/>
  <c r="H1635" i="10"/>
  <c r="H1631" i="10"/>
  <c r="H1627" i="10"/>
  <c r="H1623" i="10"/>
  <c r="H1619" i="10"/>
  <c r="H1615" i="10"/>
  <c r="H1611" i="10"/>
  <c r="H1607" i="10"/>
  <c r="H1603" i="10"/>
  <c r="H1599" i="10"/>
  <c r="H1595" i="10"/>
  <c r="H1591" i="10"/>
  <c r="H1587" i="10"/>
  <c r="H1583" i="10"/>
  <c r="H1579" i="10"/>
  <c r="H1575" i="10"/>
  <c r="H1571" i="10"/>
  <c r="H1567" i="10"/>
  <c r="H1563" i="10"/>
  <c r="H1559" i="10"/>
  <c r="H1555" i="10"/>
  <c r="H1551" i="10"/>
  <c r="H1547" i="10"/>
  <c r="H1543" i="10"/>
  <c r="H1539" i="10"/>
  <c r="H1535" i="10"/>
  <c r="H1531" i="10"/>
  <c r="H1523" i="10"/>
  <c r="H1515" i="10"/>
  <c r="H1507" i="10"/>
  <c r="H1499" i="10"/>
  <c r="H1495" i="10"/>
  <c r="H1487" i="10"/>
  <c r="H1483" i="10"/>
  <c r="H1475" i="10"/>
  <c r="H1471" i="10"/>
  <c r="H1459" i="10"/>
  <c r="H1451" i="10"/>
  <c r="H1443" i="10"/>
  <c r="H1435" i="10"/>
  <c r="H1431" i="10"/>
  <c r="H1423" i="10"/>
  <c r="H1415" i="10"/>
  <c r="H1407" i="10"/>
  <c r="H1399" i="10"/>
  <c r="H1391" i="10"/>
  <c r="H1383" i="10"/>
  <c r="H1375" i="10"/>
  <c r="H1371" i="10"/>
  <c r="H1363" i="10"/>
  <c r="H1355" i="10"/>
  <c r="H1347" i="10"/>
  <c r="H1335" i="10"/>
  <c r="H1327" i="10"/>
  <c r="H1319" i="10"/>
  <c r="H1311" i="10"/>
  <c r="H1303" i="10"/>
  <c r="H1295" i="10"/>
  <c r="H1287" i="10"/>
  <c r="H1279" i="10"/>
  <c r="H1267" i="10"/>
  <c r="H1259" i="10"/>
  <c r="H1247" i="10"/>
  <c r="H1231" i="10"/>
  <c r="H1223" i="10"/>
  <c r="H1211" i="10"/>
  <c r="H1195" i="10"/>
  <c r="H1187" i="10"/>
  <c r="H1175" i="10"/>
  <c r="H1167" i="10"/>
  <c r="H1155" i="10"/>
  <c r="H1143" i="10"/>
  <c r="H1131" i="10"/>
  <c r="H1119" i="10"/>
  <c r="H1111" i="10"/>
  <c r="H1099" i="10"/>
  <c r="H1087" i="10"/>
  <c r="H1075" i="10"/>
  <c r="H1067" i="10"/>
  <c r="H1055" i="10"/>
  <c r="H1043" i="10"/>
  <c r="H1031" i="10"/>
  <c r="H1023" i="10"/>
  <c r="H1011" i="10"/>
  <c r="H1003" i="10"/>
  <c r="H991" i="10"/>
  <c r="H979" i="10"/>
  <c r="H971" i="10"/>
  <c r="H963" i="10"/>
  <c r="H955" i="10"/>
  <c r="H943" i="10"/>
  <c r="H931" i="10"/>
  <c r="H919" i="10"/>
  <c r="H907" i="10"/>
  <c r="H895" i="10"/>
  <c r="H883" i="10"/>
  <c r="H867" i="10"/>
  <c r="H855" i="10"/>
  <c r="H843" i="10"/>
  <c r="H831" i="10"/>
  <c r="H827" i="10"/>
  <c r="H815" i="10"/>
  <c r="H803" i="10"/>
  <c r="H791" i="10"/>
  <c r="H779" i="10"/>
  <c r="H763" i="10"/>
  <c r="H755" i="10"/>
  <c r="H743" i="10"/>
  <c r="H727" i="10"/>
  <c r="H719" i="10"/>
  <c r="H711" i="10"/>
  <c r="H699" i="10"/>
  <c r="H687" i="10"/>
  <c r="H671" i="10"/>
  <c r="H663" i="10"/>
  <c r="H651" i="10"/>
  <c r="H643" i="10"/>
  <c r="H631" i="10"/>
  <c r="H615" i="10"/>
  <c r="H603" i="10"/>
  <c r="H595" i="10"/>
  <c r="H579" i="10"/>
  <c r="H571" i="10"/>
  <c r="H563" i="10"/>
  <c r="H551" i="10"/>
  <c r="H539" i="10"/>
  <c r="H531" i="10"/>
  <c r="H515" i="10"/>
  <c r="H503" i="10"/>
  <c r="H491" i="10"/>
  <c r="H479" i="10"/>
  <c r="H467" i="10"/>
  <c r="H455" i="10"/>
  <c r="H447" i="10"/>
  <c r="H435" i="10"/>
  <c r="H423" i="10"/>
  <c r="H411" i="10"/>
  <c r="H399" i="10"/>
  <c r="H391" i="10"/>
  <c r="H379" i="10"/>
  <c r="H367" i="10"/>
  <c r="H359" i="10"/>
  <c r="H351" i="10"/>
  <c r="H339" i="10"/>
  <c r="H327" i="10"/>
  <c r="H315" i="10"/>
  <c r="H307" i="10"/>
  <c r="H295" i="10"/>
  <c r="H283" i="10"/>
  <c r="H271" i="10"/>
  <c r="H259" i="10"/>
  <c r="H255" i="10"/>
  <c r="H243" i="10"/>
  <c r="H231" i="10"/>
  <c r="H223" i="10"/>
  <c r="H211" i="10"/>
  <c r="H199" i="10"/>
  <c r="H187" i="10"/>
  <c r="H175" i="10"/>
  <c r="H163" i="10"/>
  <c r="H147" i="10"/>
  <c r="H135" i="10"/>
  <c r="H123" i="10"/>
  <c r="H119" i="10"/>
  <c r="H103" i="10"/>
  <c r="H91" i="10"/>
  <c r="H79" i="10"/>
  <c r="H67" i="10"/>
  <c r="H59" i="10"/>
  <c r="H47" i="10"/>
  <c r="H39" i="10"/>
  <c r="H31" i="10"/>
  <c r="H19" i="10"/>
  <c r="H15" i="10"/>
  <c r="H11" i="10"/>
  <c r="H1934" i="10"/>
  <c r="H1922" i="10"/>
  <c r="H1906" i="10"/>
  <c r="H1898" i="10"/>
  <c r="H1886" i="10"/>
  <c r="H1874" i="10"/>
  <c r="H1862" i="10"/>
  <c r="H1854" i="10"/>
  <c r="H1842" i="10"/>
  <c r="H1830" i="10"/>
  <c r="H1818" i="10"/>
  <c r="H1810" i="10"/>
  <c r="H1802" i="10"/>
  <c r="H1790" i="10"/>
  <c r="H1782" i="10"/>
  <c r="H1770" i="10"/>
  <c r="H1758" i="10"/>
  <c r="H1746" i="10"/>
  <c r="H1734" i="10"/>
  <c r="H1722" i="10"/>
  <c r="H1710" i="10"/>
  <c r="H1698" i="10"/>
  <c r="H1690" i="10"/>
  <c r="H1678" i="10"/>
  <c r="H1666" i="10"/>
  <c r="H1654" i="10"/>
  <c r="H1642" i="10"/>
  <c r="H1630" i="10"/>
  <c r="H1618" i="10"/>
  <c r="H1606" i="10"/>
  <c r="H1594" i="10"/>
  <c r="H1582" i="10"/>
  <c r="H1570" i="10"/>
  <c r="H1558" i="10"/>
  <c r="H1546" i="10"/>
  <c r="H1538" i="10"/>
  <c r="H1534" i="10"/>
  <c r="H1522" i="10"/>
  <c r="H1518" i="10"/>
  <c r="H1514" i="10"/>
  <c r="H1510" i="10"/>
  <c r="H1506" i="10"/>
  <c r="H1502" i="10"/>
  <c r="H1498" i="10"/>
  <c r="H1494" i="10"/>
  <c r="H1490" i="10"/>
  <c r="H1486" i="10"/>
  <c r="H1482" i="10"/>
  <c r="H1478" i="10"/>
  <c r="H1474" i="10"/>
  <c r="H1470" i="10"/>
  <c r="H1466" i="10"/>
  <c r="H1462" i="10"/>
  <c r="H1458" i="10"/>
  <c r="H1454" i="10"/>
  <c r="H1450" i="10"/>
  <c r="H1446" i="10"/>
  <c r="H1442" i="10"/>
  <c r="H1438" i="10"/>
  <c r="H1434" i="10"/>
  <c r="H1430" i="10"/>
  <c r="H1426" i="10"/>
  <c r="H1422" i="10"/>
  <c r="H1418" i="10"/>
  <c r="H1414" i="10"/>
  <c r="H1410" i="10"/>
  <c r="H1406" i="10"/>
  <c r="H1402" i="10"/>
  <c r="H1398" i="10"/>
  <c r="H1394" i="10"/>
  <c r="H1390" i="10"/>
  <c r="H1386" i="10"/>
  <c r="H1382" i="10"/>
  <c r="H1378" i="10"/>
  <c r="H1374" i="10"/>
  <c r="H1370" i="10"/>
  <c r="H1366" i="10"/>
  <c r="H1362" i="10"/>
  <c r="H1358" i="10"/>
  <c r="H1354" i="10"/>
  <c r="H1350" i="10"/>
  <c r="H1346" i="10"/>
  <c r="H1342" i="10"/>
  <c r="H1338" i="10"/>
  <c r="H1334" i="10"/>
  <c r="H1330" i="10"/>
  <c r="H1326" i="10"/>
  <c r="H1322" i="10"/>
  <c r="H1318" i="10"/>
  <c r="H1314" i="10"/>
  <c r="H1310" i="10"/>
  <c r="H1306" i="10"/>
  <c r="H1302" i="10"/>
  <c r="H1298" i="10"/>
  <c r="H1294" i="10"/>
  <c r="H1290" i="10"/>
  <c r="H1286" i="10"/>
  <c r="H1282" i="10"/>
  <c r="H1278" i="10"/>
  <c r="H1274" i="10"/>
  <c r="H1270" i="10"/>
  <c r="H1266" i="10"/>
  <c r="H1262" i="10"/>
  <c r="H1258" i="10"/>
  <c r="H1254" i="10"/>
  <c r="H1250" i="10"/>
  <c r="H1246" i="10"/>
  <c r="H1242" i="10"/>
  <c r="H1238" i="10"/>
  <c r="H1234" i="10"/>
  <c r="H1230" i="10"/>
  <c r="H1226" i="10"/>
  <c r="H1222" i="10"/>
  <c r="H1218" i="10"/>
  <c r="H1214" i="10"/>
  <c r="H1210" i="10"/>
  <c r="H1206" i="10"/>
  <c r="H1202" i="10"/>
  <c r="H1198" i="10"/>
  <c r="H1194" i="10"/>
  <c r="H1190" i="10"/>
  <c r="H1186" i="10"/>
  <c r="H1182" i="10"/>
  <c r="H1178" i="10"/>
  <c r="H1174" i="10"/>
  <c r="H1170" i="10"/>
  <c r="H1166" i="10"/>
  <c r="H1162" i="10"/>
  <c r="H1158" i="10"/>
  <c r="H1154" i="10"/>
  <c r="H1150" i="10"/>
  <c r="H1146" i="10"/>
  <c r="H1142" i="10"/>
  <c r="H1138" i="10"/>
  <c r="H1134" i="10"/>
  <c r="H1130" i="10"/>
  <c r="H1126" i="10"/>
  <c r="H1122" i="10"/>
  <c r="H1118" i="10"/>
  <c r="H1114" i="10"/>
  <c r="H1110" i="10"/>
  <c r="H1106" i="10"/>
  <c r="H1102" i="10"/>
  <c r="H1098" i="10"/>
  <c r="H1094" i="10"/>
  <c r="H1090" i="10"/>
  <c r="H1086" i="10"/>
  <c r="H1082" i="10"/>
  <c r="H1078" i="10"/>
  <c r="H1074" i="10"/>
  <c r="H1070" i="10"/>
  <c r="H1066" i="10"/>
  <c r="H1062" i="10"/>
  <c r="H1058" i="10"/>
  <c r="H1054" i="10"/>
  <c r="H1050" i="10"/>
  <c r="H1046" i="10"/>
  <c r="H1042" i="10"/>
  <c r="H1038" i="10"/>
  <c r="H1034" i="10"/>
  <c r="H1030" i="10"/>
  <c r="H1026" i="10"/>
  <c r="H1022" i="10"/>
  <c r="H1018" i="10"/>
  <c r="H1014" i="10"/>
  <c r="H1010" i="10"/>
  <c r="H1006" i="10"/>
  <c r="H1002" i="10"/>
  <c r="H998" i="10"/>
  <c r="H994" i="10"/>
  <c r="H990" i="10"/>
  <c r="H986" i="10"/>
  <c r="H982" i="10"/>
  <c r="H978" i="10"/>
  <c r="H974" i="10"/>
  <c r="H970" i="10"/>
  <c r="H966" i="10"/>
  <c r="H962" i="10"/>
  <c r="H958" i="10"/>
  <c r="H954" i="10"/>
  <c r="H950" i="10"/>
  <c r="H946" i="10"/>
  <c r="H942" i="10"/>
  <c r="H938" i="10"/>
  <c r="H934" i="10"/>
  <c r="H930" i="10"/>
  <c r="H926" i="10"/>
  <c r="H922" i="10"/>
  <c r="H918" i="10"/>
  <c r="H914" i="10"/>
  <c r="H910" i="10"/>
  <c r="H906" i="10"/>
  <c r="H902" i="10"/>
  <c r="H898" i="10"/>
  <c r="H894" i="10"/>
  <c r="H890" i="10"/>
  <c r="H886" i="10"/>
  <c r="H882" i="10"/>
  <c r="H878" i="10"/>
  <c r="H874" i="10"/>
  <c r="H870" i="10"/>
  <c r="H866" i="10"/>
  <c r="H862" i="10"/>
  <c r="H858" i="10"/>
  <c r="H854" i="10"/>
  <c r="H850" i="10"/>
  <c r="H846" i="10"/>
  <c r="H842" i="10"/>
  <c r="H838" i="10"/>
  <c r="H834" i="10"/>
  <c r="H830" i="10"/>
  <c r="H826" i="10"/>
  <c r="H822" i="10"/>
  <c r="H818" i="10"/>
  <c r="H814" i="10"/>
  <c r="H810" i="10"/>
  <c r="H806" i="10"/>
  <c r="H802" i="10"/>
  <c r="H798" i="10"/>
  <c r="H794" i="10"/>
  <c r="H790" i="10"/>
  <c r="H786" i="10"/>
  <c r="H782" i="10"/>
  <c r="H778" i="10"/>
  <c r="H774" i="10"/>
  <c r="H770" i="10"/>
  <c r="H766" i="10"/>
  <c r="H762" i="10"/>
  <c r="H758" i="10"/>
  <c r="H754" i="10"/>
  <c r="H750" i="10"/>
  <c r="H746" i="10"/>
  <c r="H742" i="10"/>
  <c r="H738" i="10"/>
  <c r="H734" i="10"/>
  <c r="H730" i="10"/>
  <c r="H726" i="10"/>
  <c r="H722" i="10"/>
  <c r="H718" i="10"/>
  <c r="H714" i="10"/>
  <c r="H710" i="10"/>
  <c r="H706" i="10"/>
  <c r="H702" i="10"/>
  <c r="H698" i="10"/>
  <c r="H694" i="10"/>
  <c r="H690" i="10"/>
  <c r="H686" i="10"/>
  <c r="H682" i="10"/>
  <c r="H678" i="10"/>
  <c r="H674" i="10"/>
  <c r="H670" i="10"/>
  <c r="H666" i="10"/>
  <c r="H662" i="10"/>
  <c r="H658" i="10"/>
  <c r="H654" i="10"/>
  <c r="H650" i="10"/>
  <c r="H646" i="10"/>
  <c r="H642" i="10"/>
  <c r="H638" i="10"/>
  <c r="H634" i="10"/>
  <c r="H630" i="10"/>
  <c r="H626" i="10"/>
  <c r="H622" i="10"/>
  <c r="H618" i="10"/>
  <c r="H614" i="10"/>
  <c r="H610" i="10"/>
  <c r="H606" i="10"/>
  <c r="H602" i="10"/>
  <c r="H598" i="10"/>
  <c r="H594" i="10"/>
  <c r="H590" i="10"/>
  <c r="H586" i="10"/>
  <c r="H582" i="10"/>
  <c r="H578" i="10"/>
  <c r="H574" i="10"/>
  <c r="H570" i="10"/>
  <c r="H566" i="10"/>
  <c r="H562" i="10"/>
  <c r="H558" i="10"/>
  <c r="H554" i="10"/>
  <c r="H550" i="10"/>
  <c r="H546" i="10"/>
  <c r="H542" i="10"/>
  <c r="H538" i="10"/>
  <c r="H534" i="10"/>
  <c r="H530" i="10"/>
  <c r="H526" i="10"/>
  <c r="H522" i="10"/>
  <c r="H518" i="10"/>
  <c r="H514" i="10"/>
  <c r="H510" i="10"/>
  <c r="H506" i="10"/>
  <c r="H502" i="10"/>
  <c r="H498" i="10"/>
  <c r="H494" i="10"/>
  <c r="H490" i="10"/>
  <c r="H486" i="10"/>
  <c r="H482" i="10"/>
  <c r="H478" i="10"/>
  <c r="H474" i="10"/>
  <c r="H470" i="10"/>
  <c r="H466" i="10"/>
  <c r="H462" i="10"/>
  <c r="H458" i="10"/>
  <c r="H454" i="10"/>
  <c r="H450" i="10"/>
  <c r="H446" i="10"/>
  <c r="H442" i="10"/>
  <c r="H438" i="10"/>
  <c r="H434" i="10"/>
  <c r="H430" i="10"/>
  <c r="H426" i="10"/>
  <c r="H422" i="10"/>
  <c r="H418" i="10"/>
  <c r="H414" i="10"/>
  <c r="H410" i="10"/>
  <c r="H406" i="10"/>
  <c r="H402" i="10"/>
  <c r="H398" i="10"/>
  <c r="H394" i="10"/>
  <c r="H390" i="10"/>
  <c r="H386" i="10"/>
  <c r="H382" i="10"/>
  <c r="H378" i="10"/>
  <c r="H374" i="10"/>
  <c r="H370" i="10"/>
  <c r="H366" i="10"/>
  <c r="H362" i="10"/>
  <c r="H358" i="10"/>
  <c r="H354" i="10"/>
  <c r="H350" i="10"/>
  <c r="H346" i="10"/>
  <c r="H342" i="10"/>
  <c r="H338" i="10"/>
  <c r="H334" i="10"/>
  <c r="H330" i="10"/>
  <c r="H326" i="10"/>
  <c r="H322" i="10"/>
  <c r="H318" i="10"/>
  <c r="H314" i="10"/>
  <c r="H310" i="10"/>
  <c r="H306" i="10"/>
  <c r="H302" i="10"/>
  <c r="H298" i="10"/>
  <c r="H294" i="10"/>
  <c r="H290" i="10"/>
  <c r="H286" i="10"/>
  <c r="H282" i="10"/>
  <c r="H278" i="10"/>
  <c r="H274" i="10"/>
  <c r="H270" i="10"/>
  <c r="H266" i="10"/>
  <c r="H262" i="10"/>
  <c r="H258" i="10"/>
  <c r="H254" i="10"/>
  <c r="H250" i="10"/>
  <c r="H246" i="10"/>
  <c r="H242" i="10"/>
  <c r="H238" i="10"/>
  <c r="H234" i="10"/>
  <c r="H230" i="10"/>
  <c r="H226" i="10"/>
  <c r="H222" i="10"/>
  <c r="H218" i="10"/>
  <c r="H214" i="10"/>
  <c r="H210" i="10"/>
  <c r="H206" i="10"/>
  <c r="H202" i="10"/>
  <c r="H198" i="10"/>
  <c r="H194" i="10"/>
  <c r="H190" i="10"/>
  <c r="H186" i="10"/>
  <c r="H182" i="10"/>
  <c r="H178" i="10"/>
  <c r="H174" i="10"/>
  <c r="H170" i="10"/>
  <c r="H166" i="10"/>
  <c r="H162" i="10"/>
  <c r="H158" i="10"/>
  <c r="H154" i="10"/>
  <c r="H150" i="10"/>
  <c r="H146" i="10"/>
  <c r="H142" i="10"/>
  <c r="H138" i="10"/>
  <c r="H134" i="10"/>
  <c r="H130" i="10"/>
  <c r="H126" i="10"/>
  <c r="H122" i="10"/>
  <c r="H118" i="10"/>
  <c r="H114" i="10"/>
  <c r="H110" i="10"/>
  <c r="H106" i="10"/>
  <c r="H102" i="10"/>
  <c r="H98" i="10"/>
  <c r="H94" i="10"/>
  <c r="H90" i="10"/>
  <c r="H86" i="10"/>
  <c r="H82" i="10"/>
  <c r="H78" i="10"/>
  <c r="H74" i="10"/>
  <c r="H70" i="10"/>
  <c r="H66" i="10"/>
  <c r="H62" i="10"/>
  <c r="H58" i="10"/>
  <c r="H54" i="10"/>
  <c r="H50" i="10"/>
  <c r="H46" i="10"/>
  <c r="H42" i="10"/>
  <c r="H38" i="10"/>
  <c r="H34" i="10"/>
  <c r="H30" i="10"/>
  <c r="H26" i="10"/>
  <c r="H22" i="10"/>
  <c r="H18" i="10"/>
  <c r="H14" i="10"/>
  <c r="H10" i="10"/>
  <c r="H1931" i="10"/>
  <c r="H1915" i="10"/>
  <c r="H1907" i="10"/>
  <c r="H1891" i="10"/>
  <c r="H1883" i="10"/>
  <c r="H1875" i="10"/>
  <c r="H1859" i="10"/>
  <c r="H1851" i="10"/>
  <c r="H1839" i="10"/>
  <c r="H1823" i="10"/>
  <c r="H1815" i="10"/>
  <c r="H1803" i="10"/>
  <c r="H1791" i="10"/>
  <c r="H1779" i="10"/>
  <c r="H1771" i="10"/>
  <c r="H1763" i="10"/>
  <c r="H1755" i="10"/>
  <c r="H1747" i="10"/>
  <c r="H1735" i="10"/>
  <c r="H1727" i="10"/>
  <c r="H1715" i="10"/>
  <c r="H1707" i="10"/>
  <c r="H1695" i="10"/>
  <c r="H1527" i="10"/>
  <c r="H1519" i="10"/>
  <c r="H1511" i="10"/>
  <c r="H1503" i="10"/>
  <c r="H1491" i="10"/>
  <c r="H1479" i="10"/>
  <c r="H1467" i="10"/>
  <c r="H1463" i="10"/>
  <c r="H1455" i="10"/>
  <c r="H1447" i="10"/>
  <c r="H1439" i="10"/>
  <c r="H1427" i="10"/>
  <c r="H1419" i="10"/>
  <c r="H1411" i="10"/>
  <c r="H1403" i="10"/>
  <c r="H1395" i="10"/>
  <c r="H1387" i="10"/>
  <c r="H1379" i="10"/>
  <c r="H1367" i="10"/>
  <c r="H1359" i="10"/>
  <c r="H1351" i="10"/>
  <c r="H1343" i="10"/>
  <c r="H1339" i="10"/>
  <c r="H1331" i="10"/>
  <c r="H1323" i="10"/>
  <c r="H1315" i="10"/>
  <c r="H1307" i="10"/>
  <c r="H1299" i="10"/>
  <c r="H1291" i="10"/>
  <c r="H1283" i="10"/>
  <c r="H1275" i="10"/>
  <c r="H1271" i="10"/>
  <c r="H1263" i="10"/>
  <c r="H1255" i="10"/>
  <c r="H1243" i="10"/>
  <c r="H1235" i="10"/>
  <c r="H1219" i="10"/>
  <c r="H1207" i="10"/>
  <c r="H1199" i="10"/>
  <c r="H1179" i="10"/>
  <c r="H1159" i="10"/>
  <c r="H1151" i="10"/>
  <c r="H1139" i="10"/>
  <c r="H1123" i="10"/>
  <c r="H1107" i="10"/>
  <c r="H1095" i="10"/>
  <c r="H1079" i="10"/>
  <c r="H1063" i="10"/>
  <c r="H1051" i="10"/>
  <c r="H1039" i="10"/>
  <c r="H1019" i="10"/>
  <c r="H1007" i="10"/>
  <c r="H995" i="10"/>
  <c r="H983" i="10"/>
  <c r="H967" i="10"/>
  <c r="H951" i="10"/>
  <c r="H935" i="10"/>
  <c r="H923" i="10"/>
  <c r="H911" i="10"/>
  <c r="H899" i="10"/>
  <c r="H887" i="10"/>
  <c r="H875" i="10"/>
  <c r="H863" i="10"/>
  <c r="H851" i="10"/>
  <c r="H839" i="10"/>
  <c r="H823" i="10"/>
  <c r="H807" i="10"/>
  <c r="H799" i="10"/>
  <c r="H787" i="10"/>
  <c r="H771" i="10"/>
  <c r="H759" i="10"/>
  <c r="H747" i="10"/>
  <c r="H735" i="10"/>
  <c r="H715" i="10"/>
  <c r="H703" i="10"/>
  <c r="H691" i="10"/>
  <c r="H679" i="10"/>
  <c r="H667" i="10"/>
  <c r="H655" i="10"/>
  <c r="H639" i="10"/>
  <c r="H623" i="10"/>
  <c r="H611" i="10"/>
  <c r="H599" i="10"/>
  <c r="H587" i="10"/>
  <c r="H575" i="10"/>
  <c r="H559" i="10"/>
  <c r="H547" i="10"/>
  <c r="H535" i="10"/>
  <c r="H523" i="10"/>
  <c r="H511" i="10"/>
  <c r="H499" i="10"/>
  <c r="H487" i="10"/>
  <c r="H471" i="10"/>
  <c r="H459" i="10"/>
  <c r="H443" i="10"/>
  <c r="H431" i="10"/>
  <c r="H419" i="10"/>
  <c r="H403" i="10"/>
  <c r="H387" i="10"/>
  <c r="H371" i="10"/>
  <c r="H355" i="10"/>
  <c r="H343" i="10"/>
  <c r="H331" i="10"/>
  <c r="H319" i="10"/>
  <c r="H303" i="10"/>
  <c r="H291" i="10"/>
  <c r="H279" i="10"/>
  <c r="H267" i="10"/>
  <c r="H251" i="10"/>
  <c r="H235" i="10"/>
  <c r="H219" i="10"/>
  <c r="H203" i="10"/>
  <c r="H191" i="10"/>
  <c r="H183" i="10"/>
  <c r="H167" i="10"/>
  <c r="H155" i="10"/>
  <c r="H143" i="10"/>
  <c r="H131" i="10"/>
  <c r="H111" i="10"/>
  <c r="H99" i="10"/>
  <c r="H87" i="10"/>
  <c r="H71" i="10"/>
  <c r="H55" i="10"/>
  <c r="H43" i="10"/>
  <c r="H27" i="10"/>
  <c r="H1930" i="10"/>
  <c r="H1918" i="10"/>
  <c r="H1910" i="10"/>
  <c r="H1894" i="10"/>
  <c r="H1882" i="10"/>
  <c r="H1866" i="10"/>
  <c r="H1850" i="10"/>
  <c r="H1838" i="10"/>
  <c r="H1826" i="10"/>
  <c r="H1814" i="10"/>
  <c r="H1798" i="10"/>
  <c r="H1786" i="10"/>
  <c r="H1774" i="10"/>
  <c r="H1762" i="10"/>
  <c r="H1750" i="10"/>
  <c r="H1738" i="10"/>
  <c r="H1726" i="10"/>
  <c r="H1714" i="10"/>
  <c r="H1702" i="10"/>
  <c r="H1686" i="10"/>
  <c r="H1674" i="10"/>
  <c r="H1662" i="10"/>
  <c r="H1650" i="10"/>
  <c r="H1638" i="10"/>
  <c r="H1626" i="10"/>
  <c r="H1610" i="10"/>
  <c r="H1598" i="10"/>
  <c r="H1586" i="10"/>
  <c r="H1574" i="10"/>
  <c r="H1562" i="10"/>
  <c r="H1554" i="10"/>
  <c r="H1530" i="10"/>
  <c r="H1933" i="10"/>
  <c r="H1929" i="10"/>
  <c r="H1925" i="10"/>
  <c r="H1921" i="10"/>
  <c r="H1917" i="10"/>
  <c r="H1913" i="10"/>
  <c r="H1909" i="10"/>
  <c r="H1905" i="10"/>
  <c r="H1901" i="10"/>
  <c r="H1897" i="10"/>
  <c r="H1893" i="10"/>
  <c r="H1889" i="10"/>
  <c r="H1885" i="10"/>
  <c r="H1881" i="10"/>
  <c r="H1877" i="10"/>
  <c r="H1873" i="10"/>
  <c r="H1869" i="10"/>
  <c r="H1865" i="10"/>
  <c r="H1861" i="10"/>
  <c r="H1857" i="10"/>
  <c r="H1853" i="10"/>
  <c r="H1849" i="10"/>
  <c r="H1845" i="10"/>
  <c r="H1841" i="10"/>
  <c r="H1837" i="10"/>
  <c r="H1833" i="10"/>
  <c r="H1825" i="10"/>
  <c r="H1817" i="10"/>
  <c r="H1809" i="10"/>
  <c r="H1801" i="10"/>
  <c r="H1793" i="10"/>
  <c r="H1785" i="10"/>
  <c r="H1777" i="10"/>
  <c r="H1769" i="10"/>
  <c r="H1761" i="10"/>
  <c r="H1753" i="10"/>
  <c r="H1745" i="10"/>
  <c r="H1733" i="10"/>
  <c r="H1725" i="10"/>
  <c r="H1717" i="10"/>
  <c r="H1709" i="10"/>
  <c r="H1701" i="10"/>
  <c r="H1693" i="10"/>
  <c r="H1689" i="10"/>
  <c r="H1681" i="10"/>
  <c r="H1677" i="10"/>
  <c r="H1673" i="10"/>
  <c r="H1669" i="10"/>
  <c r="H1665" i="10"/>
  <c r="H1661" i="10"/>
  <c r="H1657" i="10"/>
  <c r="H1653" i="10"/>
  <c r="H1649" i="10"/>
  <c r="H1645" i="10"/>
  <c r="H1641" i="10"/>
  <c r="H1637" i="10"/>
  <c r="H1633" i="10"/>
  <c r="H1629" i="10"/>
  <c r="H1625" i="10"/>
  <c r="H1621" i="10"/>
  <c r="H1617" i="10"/>
  <c r="H1613" i="10"/>
  <c r="H1609" i="10"/>
  <c r="H1605" i="10"/>
  <c r="H1601" i="10"/>
  <c r="H1597" i="10"/>
  <c r="H1593" i="10"/>
  <c r="H1589" i="10"/>
  <c r="H1585" i="10"/>
  <c r="H1581" i="10"/>
  <c r="H1577" i="10"/>
  <c r="H1573" i="10"/>
  <c r="H1569" i="10"/>
  <c r="H1565" i="10"/>
  <c r="H1561" i="10"/>
  <c r="H1557" i="10"/>
  <c r="H1553" i="10"/>
  <c r="H1549" i="10"/>
  <c r="H1545" i="10"/>
  <c r="H1541" i="10"/>
  <c r="H1537" i="10"/>
  <c r="H1533" i="10"/>
  <c r="H1529" i="10"/>
  <c r="H1525" i="10"/>
  <c r="H1521" i="10"/>
  <c r="H1517" i="10"/>
  <c r="H1513" i="10"/>
  <c r="H1509" i="10"/>
  <c r="H1505" i="10"/>
  <c r="H1501" i="10"/>
  <c r="H1497" i="10"/>
  <c r="H1493" i="10"/>
  <c r="H1489" i="10"/>
  <c r="H1485" i="10"/>
  <c r="H1481" i="10"/>
  <c r="H1477" i="10"/>
  <c r="H1473" i="10"/>
  <c r="H1469" i="10"/>
  <c r="H1465" i="10"/>
  <c r="H1461" i="10"/>
  <c r="H1457" i="10"/>
  <c r="H1453" i="10"/>
  <c r="H1449" i="10"/>
  <c r="H1445" i="10"/>
  <c r="H1441" i="10"/>
  <c r="H1437" i="10"/>
  <c r="H1433" i="10"/>
  <c r="H1429" i="10"/>
  <c r="H1425" i="10"/>
  <c r="H1421" i="10"/>
  <c r="H1417" i="10"/>
  <c r="H1413" i="10"/>
  <c r="H1409" i="10"/>
  <c r="H1405" i="10"/>
  <c r="H1401" i="10"/>
  <c r="H1397" i="10"/>
  <c r="H1393" i="10"/>
  <c r="H1389" i="10"/>
  <c r="H1385" i="10"/>
  <c r="H1381" i="10"/>
  <c r="H1377" i="10"/>
  <c r="H1373" i="10"/>
  <c r="H1369" i="10"/>
  <c r="H1365" i="10"/>
  <c r="H1361" i="10"/>
  <c r="H1357" i="10"/>
  <c r="H1353" i="10"/>
  <c r="H1349" i="10"/>
  <c r="H1345" i="10"/>
  <c r="H1341" i="10"/>
  <c r="H1337" i="10"/>
  <c r="H1333" i="10"/>
  <c r="H1329" i="10"/>
  <c r="H1325" i="10"/>
  <c r="H1321" i="10"/>
  <c r="H1317" i="10"/>
  <c r="H1313" i="10"/>
  <c r="H1309" i="10"/>
  <c r="H1305" i="10"/>
  <c r="H1301" i="10"/>
  <c r="H1297" i="10"/>
  <c r="H1293" i="10"/>
  <c r="H1289" i="10"/>
  <c r="H1285" i="10"/>
  <c r="H1281" i="10"/>
  <c r="H1277" i="10"/>
  <c r="H1273" i="10"/>
  <c r="H1269" i="10"/>
  <c r="H1265" i="10"/>
  <c r="H1261" i="10"/>
  <c r="H1257" i="10"/>
  <c r="H1253" i="10"/>
  <c r="H1249" i="10"/>
  <c r="H1245" i="10"/>
  <c r="H1241" i="10"/>
  <c r="H1237" i="10"/>
  <c r="H1233" i="10"/>
  <c r="H1229" i="10"/>
  <c r="H1225" i="10"/>
  <c r="H1221" i="10"/>
  <c r="H1217" i="10"/>
  <c r="H1213" i="10"/>
  <c r="H1209" i="10"/>
  <c r="H1205" i="10"/>
  <c r="H1201" i="10"/>
  <c r="H1197" i="10"/>
  <c r="H1193" i="10"/>
  <c r="H1189" i="10"/>
  <c r="H1185" i="10"/>
  <c r="H1181" i="10"/>
  <c r="H1177" i="10"/>
  <c r="H1173" i="10"/>
  <c r="H1169" i="10"/>
  <c r="H1165" i="10"/>
  <c r="H1161" i="10"/>
  <c r="H1157" i="10"/>
  <c r="H1153" i="10"/>
  <c r="H1149" i="10"/>
  <c r="H1145" i="10"/>
  <c r="H1141" i="10"/>
  <c r="H1137" i="10"/>
  <c r="H1133" i="10"/>
  <c r="H1129" i="10"/>
  <c r="H1125" i="10"/>
  <c r="H1121" i="10"/>
  <c r="H1117" i="10"/>
  <c r="H1113" i="10"/>
  <c r="H1109" i="10"/>
  <c r="H1105" i="10"/>
  <c r="H1101" i="10"/>
  <c r="H1097" i="10"/>
  <c r="H1093" i="10"/>
  <c r="H1089" i="10"/>
  <c r="H1085" i="10"/>
  <c r="H1081" i="10"/>
  <c r="H1077" i="10"/>
  <c r="H1073" i="10"/>
  <c r="H1069" i="10"/>
  <c r="H1065" i="10"/>
  <c r="H1061" i="10"/>
  <c r="H1057" i="10"/>
  <c r="H1053" i="10"/>
  <c r="H1049" i="10"/>
  <c r="H1045" i="10"/>
  <c r="H1041" i="10"/>
  <c r="H1037" i="10"/>
  <c r="H1033" i="10"/>
  <c r="H1029" i="10"/>
  <c r="H1025" i="10"/>
  <c r="H1021" i="10"/>
  <c r="H1017" i="10"/>
  <c r="H1013" i="10"/>
  <c r="H1009" i="10"/>
  <c r="H1005" i="10"/>
  <c r="H1001" i="10"/>
  <c r="H997" i="10"/>
  <c r="H993" i="10"/>
  <c r="H989" i="10"/>
  <c r="H985" i="10"/>
  <c r="H981" i="10"/>
  <c r="H977" i="10"/>
  <c r="H973" i="10"/>
  <c r="H969" i="10"/>
  <c r="H965" i="10"/>
  <c r="H961" i="10"/>
  <c r="H957" i="10"/>
  <c r="H953" i="10"/>
  <c r="H949" i="10"/>
  <c r="H945" i="10"/>
  <c r="H941" i="10"/>
  <c r="H937" i="10"/>
  <c r="H933" i="10"/>
  <c r="H929" i="10"/>
  <c r="H925" i="10"/>
  <c r="H921" i="10"/>
  <c r="H917" i="10"/>
  <c r="H913" i="10"/>
  <c r="H909" i="10"/>
  <c r="H905" i="10"/>
  <c r="H901" i="10"/>
  <c r="H897" i="10"/>
  <c r="H893" i="10"/>
  <c r="H889" i="10"/>
  <c r="H885" i="10"/>
  <c r="H881" i="10"/>
  <c r="H877" i="10"/>
  <c r="H873" i="10"/>
  <c r="H869" i="10"/>
  <c r="H865" i="10"/>
  <c r="H861" i="10"/>
  <c r="H857" i="10"/>
  <c r="H853" i="10"/>
  <c r="H849" i="10"/>
  <c r="H845" i="10"/>
  <c r="H841" i="10"/>
  <c r="H837" i="10"/>
  <c r="H833" i="10"/>
  <c r="H829" i="10"/>
  <c r="H825" i="10"/>
  <c r="H821" i="10"/>
  <c r="H817" i="10"/>
  <c r="H813" i="10"/>
  <c r="H809" i="10"/>
  <c r="H805" i="10"/>
  <c r="H801" i="10"/>
  <c r="H797" i="10"/>
  <c r="H793" i="10"/>
  <c r="H789" i="10"/>
  <c r="H785" i="10"/>
  <c r="H781" i="10"/>
  <c r="H777" i="10"/>
  <c r="H773" i="10"/>
  <c r="H769" i="10"/>
  <c r="H765" i="10"/>
  <c r="H761" i="10"/>
  <c r="H757" i="10"/>
  <c r="H753" i="10"/>
  <c r="H749" i="10"/>
  <c r="H745" i="10"/>
  <c r="H741" i="10"/>
  <c r="H737" i="10"/>
  <c r="H733" i="10"/>
  <c r="H729" i="10"/>
  <c r="H725" i="10"/>
  <c r="H721" i="10"/>
  <c r="H717" i="10"/>
  <c r="H713" i="10"/>
  <c r="H709" i="10"/>
  <c r="H705" i="10"/>
  <c r="H701" i="10"/>
  <c r="H697" i="10"/>
  <c r="H693" i="10"/>
  <c r="H689" i="10"/>
  <c r="H685" i="10"/>
  <c r="H681" i="10"/>
  <c r="H677" i="10"/>
  <c r="H673" i="10"/>
  <c r="H669" i="10"/>
  <c r="H665" i="10"/>
  <c r="H661" i="10"/>
  <c r="H657" i="10"/>
  <c r="H653" i="10"/>
  <c r="H649" i="10"/>
  <c r="H645" i="10"/>
  <c r="H641" i="10"/>
  <c r="H637" i="10"/>
  <c r="H633" i="10"/>
  <c r="H629" i="10"/>
  <c r="H625" i="10"/>
  <c r="H621" i="10"/>
  <c r="H617" i="10"/>
  <c r="H613" i="10"/>
  <c r="H609" i="10"/>
  <c r="H605" i="10"/>
  <c r="H601" i="10"/>
  <c r="H597" i="10"/>
  <c r="H593" i="10"/>
  <c r="H589" i="10"/>
  <c r="H585" i="10"/>
  <c r="H581" i="10"/>
  <c r="H577" i="10"/>
  <c r="H573" i="10"/>
  <c r="H569" i="10"/>
  <c r="H565" i="10"/>
  <c r="H561" i="10"/>
  <c r="H557" i="10"/>
  <c r="H553" i="10"/>
  <c r="H549" i="10"/>
  <c r="H545" i="10"/>
  <c r="H541" i="10"/>
  <c r="H537" i="10"/>
  <c r="H533" i="10"/>
  <c r="H529" i="10"/>
  <c r="H525" i="10"/>
  <c r="H521" i="10"/>
  <c r="H517" i="10"/>
  <c r="H513" i="10"/>
  <c r="H509" i="10"/>
  <c r="H505" i="10"/>
  <c r="H501" i="10"/>
  <c r="H497" i="10"/>
  <c r="H493" i="10"/>
  <c r="H489" i="10"/>
  <c r="H485" i="10"/>
  <c r="H481" i="10"/>
  <c r="H477" i="10"/>
  <c r="H473" i="10"/>
  <c r="H469" i="10"/>
  <c r="H465" i="10"/>
  <c r="H461" i="10"/>
  <c r="H457" i="10"/>
  <c r="H453" i="10"/>
  <c r="H449" i="10"/>
  <c r="H445" i="10"/>
  <c r="H441" i="10"/>
  <c r="H437" i="10"/>
  <c r="H433" i="10"/>
  <c r="H429" i="10"/>
  <c r="H425" i="10"/>
  <c r="H421" i="10"/>
  <c r="H417" i="10"/>
  <c r="H413" i="10"/>
  <c r="H409" i="10"/>
  <c r="H405" i="10"/>
  <c r="H401" i="10"/>
  <c r="H397" i="10"/>
  <c r="H393" i="10"/>
  <c r="H389" i="10"/>
  <c r="H385" i="10"/>
  <c r="H381" i="10"/>
  <c r="H377" i="10"/>
  <c r="H373" i="10"/>
  <c r="H369" i="10"/>
  <c r="H365" i="10"/>
  <c r="H361" i="10"/>
  <c r="H357" i="10"/>
  <c r="H353" i="10"/>
  <c r="H349" i="10"/>
  <c r="H345" i="10"/>
  <c r="H341" i="10"/>
  <c r="H337" i="10"/>
  <c r="H333" i="10"/>
  <c r="H329" i="10"/>
  <c r="H325" i="10"/>
  <c r="H321" i="10"/>
  <c r="H317" i="10"/>
  <c r="H313" i="10"/>
  <c r="H309" i="10"/>
  <c r="H305" i="10"/>
  <c r="H301" i="10"/>
  <c r="H297" i="10"/>
  <c r="H293" i="10"/>
  <c r="H289" i="10"/>
  <c r="H285" i="10"/>
  <c r="H281" i="10"/>
  <c r="H277" i="10"/>
  <c r="H273" i="10"/>
  <c r="H269" i="10"/>
  <c r="H265" i="10"/>
  <c r="H261" i="10"/>
  <c r="H257" i="10"/>
  <c r="H253" i="10"/>
  <c r="H249" i="10"/>
  <c r="H245" i="10"/>
  <c r="H241" i="10"/>
  <c r="H237" i="10"/>
  <c r="H233" i="10"/>
  <c r="H229" i="10"/>
  <c r="H225" i="10"/>
  <c r="H221" i="10"/>
  <c r="H217" i="10"/>
  <c r="H213" i="10"/>
  <c r="H209" i="10"/>
  <c r="H205" i="10"/>
  <c r="H201" i="10"/>
  <c r="H197" i="10"/>
  <c r="H193" i="10"/>
  <c r="H189" i="10"/>
  <c r="H185" i="10"/>
  <c r="H181" i="10"/>
  <c r="H177" i="10"/>
  <c r="H173" i="10"/>
  <c r="H169" i="10"/>
  <c r="H165" i="10"/>
  <c r="H161" i="10"/>
  <c r="H157" i="10"/>
  <c r="H153" i="10"/>
  <c r="H149" i="10"/>
  <c r="H145" i="10"/>
  <c r="H141" i="10"/>
  <c r="H137" i="10"/>
  <c r="H133" i="10"/>
  <c r="H129" i="10"/>
  <c r="H125" i="10"/>
  <c r="H121" i="10"/>
  <c r="H117" i="10"/>
  <c r="H113" i="10"/>
  <c r="H109" i="10"/>
  <c r="H105" i="10"/>
  <c r="H101" i="10"/>
  <c r="H97" i="10"/>
  <c r="H93" i="10"/>
  <c r="H89" i="10"/>
  <c r="H85" i="10"/>
  <c r="H81" i="10"/>
  <c r="H77" i="10"/>
  <c r="H73" i="10"/>
  <c r="H69" i="10"/>
  <c r="H65" i="10"/>
  <c r="H61" i="10"/>
  <c r="H57" i="10"/>
  <c r="H53" i="10"/>
  <c r="H49" i="10"/>
  <c r="H45" i="10"/>
  <c r="H41" i="10"/>
  <c r="H37" i="10"/>
  <c r="H33" i="10"/>
  <c r="H29" i="10"/>
  <c r="H25" i="10"/>
  <c r="H21" i="10"/>
  <c r="H17" i="10"/>
  <c r="H13" i="10"/>
  <c r="H1935" i="10"/>
  <c r="H1923" i="10"/>
  <c r="H1903" i="10"/>
  <c r="H1895" i="10"/>
  <c r="H1879" i="10"/>
  <c r="H1871" i="10"/>
  <c r="H1863" i="10"/>
  <c r="H1847" i="10"/>
  <c r="H1831" i="10"/>
  <c r="H1819" i="10"/>
  <c r="H1811" i="10"/>
  <c r="H1795" i="10"/>
  <c r="H1783" i="10"/>
  <c r="H1743" i="10"/>
  <c r="H1251" i="10"/>
  <c r="H1239" i="10"/>
  <c r="H1227" i="10"/>
  <c r="H1215" i="10"/>
  <c r="H1203" i="10"/>
  <c r="H1191" i="10"/>
  <c r="H1183" i="10"/>
  <c r="H1171" i="10"/>
  <c r="H1163" i="10"/>
  <c r="H1147" i="10"/>
  <c r="H1135" i="10"/>
  <c r="H1127" i="10"/>
  <c r="H1115" i="10"/>
  <c r="H1103" i="10"/>
  <c r="H1091" i="10"/>
  <c r="H1083" i="10"/>
  <c r="H1071" i="10"/>
  <c r="H1059" i="10"/>
  <c r="H1047" i="10"/>
  <c r="H1035" i="10"/>
  <c r="H1027" i="10"/>
  <c r="H1015" i="10"/>
  <c r="H999" i="10"/>
  <c r="H987" i="10"/>
  <c r="H975" i="10"/>
  <c r="H959" i="10"/>
  <c r="H947" i="10"/>
  <c r="H939" i="10"/>
  <c r="H927" i="10"/>
  <c r="H915" i="10"/>
  <c r="H903" i="10"/>
  <c r="H891" i="10"/>
  <c r="H879" i="10"/>
  <c r="H871" i="10"/>
  <c r="H859" i="10"/>
  <c r="H847" i="10"/>
  <c r="H835" i="10"/>
  <c r="H819" i="10"/>
  <c r="H811" i="10"/>
  <c r="H795" i="10"/>
  <c r="H783" i="10"/>
  <c r="H775" i="10"/>
  <c r="H767" i="10"/>
  <c r="H751" i="10"/>
  <c r="H739" i="10"/>
  <c r="H731" i="10"/>
  <c r="H723" i="10"/>
  <c r="H707" i="10"/>
  <c r="H695" i="10"/>
  <c r="H683" i="10"/>
  <c r="H675" i="10"/>
  <c r="H659" i="10"/>
  <c r="H647" i="10"/>
  <c r="H635" i="10"/>
  <c r="H627" i="10"/>
  <c r="H619" i="10"/>
  <c r="H607" i="10"/>
  <c r="H591" i="10"/>
  <c r="H583" i="10"/>
  <c r="H567" i="10"/>
  <c r="H555" i="10"/>
  <c r="H543" i="10"/>
  <c r="H527" i="10"/>
  <c r="H519" i="10"/>
  <c r="H507" i="10"/>
  <c r="H495" i="10"/>
  <c r="H483" i="10"/>
  <c r="H475" i="10"/>
  <c r="H463" i="10"/>
  <c r="H451" i="10"/>
  <c r="H439" i="10"/>
  <c r="H427" i="10"/>
  <c r="H415" i="10"/>
  <c r="H407" i="10"/>
  <c r="H395" i="10"/>
  <c r="H383" i="10"/>
  <c r="H375" i="10"/>
  <c r="H363" i="10"/>
  <c r="H347" i="10"/>
  <c r="H335" i="10"/>
  <c r="H323" i="10"/>
  <c r="H311" i="10"/>
  <c r="H299" i="10"/>
  <c r="H287" i="10"/>
  <c r="H275" i="10"/>
  <c r="H263" i="10"/>
  <c r="H247" i="10"/>
  <c r="H239" i="10"/>
  <c r="H227" i="10"/>
  <c r="H215" i="10"/>
  <c r="H207" i="10"/>
  <c r="H195" i="10"/>
  <c r="H179" i="10"/>
  <c r="H171" i="10"/>
  <c r="H159" i="10"/>
  <c r="H151" i="10"/>
  <c r="H139" i="10"/>
  <c r="H127" i="10"/>
  <c r="H115" i="10"/>
  <c r="H107" i="10"/>
  <c r="H95" i="10"/>
  <c r="H83" i="10"/>
  <c r="H75" i="10"/>
  <c r="H63" i="10"/>
  <c r="H51" i="10"/>
  <c r="H35" i="10"/>
  <c r="H23" i="10"/>
  <c r="H1926" i="10"/>
  <c r="H1914" i="10"/>
  <c r="H1902" i="10"/>
  <c r="H1890" i="10"/>
  <c r="H1878" i="10"/>
  <c r="H1870" i="10"/>
  <c r="H1858" i="10"/>
  <c r="H1846" i="10"/>
  <c r="H1834" i="10"/>
  <c r="H1822" i="10"/>
  <c r="H1806" i="10"/>
  <c r="H1794" i="10"/>
  <c r="H1778" i="10"/>
  <c r="H1766" i="10"/>
  <c r="H1754" i="10"/>
  <c r="H1742" i="10"/>
  <c r="H1730" i="10"/>
  <c r="H1718" i="10"/>
  <c r="H1706" i="10"/>
  <c r="H1694" i="10"/>
  <c r="H1682" i="10"/>
  <c r="H1670" i="10"/>
  <c r="H1658" i="10"/>
  <c r="H1646" i="10"/>
  <c r="H1634" i="10"/>
  <c r="H1622" i="10"/>
  <c r="H1614" i="10"/>
  <c r="H1602" i="10"/>
  <c r="H1590" i="10"/>
  <c r="H1578" i="10"/>
  <c r="H1566" i="10"/>
  <c r="H1550" i="10"/>
  <c r="H1542" i="10"/>
  <c r="H1526" i="10"/>
  <c r="H1829" i="10"/>
  <c r="H1821" i="10"/>
  <c r="H1813" i="10"/>
  <c r="H1805" i="10"/>
  <c r="H1797" i="10"/>
  <c r="H1789" i="10"/>
  <c r="H1781" i="10"/>
  <c r="H1773" i="10"/>
  <c r="H1765" i="10"/>
  <c r="H1757" i="10"/>
  <c r="H1749" i="10"/>
  <c r="H1741" i="10"/>
  <c r="H1737" i="10"/>
  <c r="H1729" i="10"/>
  <c r="H1721" i="10"/>
  <c r="H1713" i="10"/>
  <c r="H1705" i="10"/>
  <c r="H1697" i="10"/>
  <c r="H1685" i="10"/>
  <c r="H1932" i="10"/>
  <c r="H1928" i="10"/>
  <c r="H1924" i="10"/>
  <c r="H1920" i="10"/>
  <c r="H1916" i="10"/>
  <c r="H1912" i="10"/>
  <c r="H1908" i="10"/>
  <c r="H1904" i="10"/>
  <c r="H1900" i="10"/>
  <c r="H1896" i="10"/>
  <c r="H1892" i="10"/>
  <c r="H1888" i="10"/>
  <c r="H1884" i="10"/>
  <c r="H1880" i="10"/>
  <c r="H1876" i="10"/>
  <c r="H1872" i="10"/>
  <c r="H1868" i="10"/>
  <c r="H1864" i="10"/>
  <c r="H1860" i="10"/>
  <c r="H1856" i="10"/>
  <c r="H1852" i="10"/>
  <c r="H1848" i="10"/>
  <c r="H1844" i="10"/>
  <c r="H1840" i="10"/>
  <c r="H1836" i="10"/>
  <c r="H1832" i="10"/>
  <c r="H1828" i="10"/>
  <c r="H1824" i="10"/>
  <c r="H1820" i="10"/>
  <c r="H1816" i="10"/>
  <c r="H1812" i="10"/>
  <c r="H1808" i="10"/>
  <c r="H1804" i="10"/>
  <c r="H1800" i="10"/>
  <c r="H1796" i="10"/>
  <c r="H1792" i="10"/>
  <c r="H1788" i="10"/>
  <c r="H1784" i="10"/>
  <c r="H1780" i="10"/>
  <c r="H1776" i="10"/>
  <c r="H1772" i="10"/>
  <c r="H1768" i="10"/>
  <c r="H1764" i="10"/>
  <c r="H1760" i="10"/>
  <c r="H1756" i="10"/>
  <c r="H1752" i="10"/>
  <c r="H1748" i="10"/>
  <c r="H1744" i="10"/>
  <c r="H1740" i="10"/>
  <c r="H1736" i="10"/>
  <c r="H1732" i="10"/>
  <c r="H1728" i="10"/>
  <c r="H1724" i="10"/>
  <c r="H1720" i="10"/>
  <c r="H1716" i="10"/>
  <c r="H1712" i="10"/>
  <c r="H1708" i="10"/>
  <c r="H1704" i="10"/>
  <c r="H1700" i="10"/>
  <c r="H1696" i="10"/>
  <c r="H1692" i="10"/>
  <c r="H1688" i="10"/>
  <c r="H1684" i="10"/>
  <c r="H1680" i="10"/>
  <c r="H1676" i="10"/>
  <c r="H1672" i="10"/>
  <c r="H1668" i="10"/>
  <c r="H1664" i="10"/>
  <c r="H1660" i="10"/>
  <c r="H1656" i="10"/>
  <c r="H1652" i="10"/>
  <c r="H1648" i="10"/>
  <c r="H1644" i="10"/>
  <c r="H1640" i="10"/>
  <c r="H1636" i="10"/>
  <c r="H1632" i="10"/>
  <c r="H1628" i="10"/>
  <c r="H1624" i="10"/>
  <c r="H1620" i="10"/>
  <c r="H1616" i="10"/>
  <c r="H1612" i="10"/>
  <c r="H1608" i="10"/>
  <c r="H1604" i="10"/>
  <c r="H1600" i="10"/>
  <c r="H1596" i="10"/>
  <c r="H1592" i="10"/>
  <c r="H1588" i="10"/>
  <c r="H1584" i="10"/>
  <c r="H1580" i="10"/>
  <c r="H1576" i="10"/>
  <c r="H1572" i="10"/>
  <c r="H1568" i="10"/>
  <c r="H1564" i="10"/>
  <c r="H1560" i="10"/>
  <c r="H1556" i="10"/>
  <c r="H1552" i="10"/>
  <c r="H1548" i="10"/>
  <c r="H1544" i="10"/>
  <c r="H1540" i="10"/>
  <c r="H1536" i="10"/>
  <c r="H1532" i="10"/>
  <c r="H1528" i="10"/>
  <c r="H1524" i="10"/>
  <c r="H1520" i="10"/>
  <c r="H1516" i="10"/>
  <c r="H1512" i="10"/>
  <c r="H1508" i="10"/>
  <c r="H1504" i="10"/>
  <c r="H1500" i="10"/>
  <c r="H1496" i="10"/>
  <c r="H1492" i="10"/>
  <c r="H1488" i="10"/>
  <c r="H1484" i="10"/>
  <c r="H1480" i="10"/>
  <c r="H1476" i="10"/>
  <c r="H1472" i="10"/>
  <c r="H1468" i="10"/>
  <c r="H1464" i="10"/>
  <c r="H1460" i="10"/>
  <c r="H1456" i="10"/>
  <c r="H1452" i="10"/>
  <c r="H1448" i="10"/>
  <c r="H1444" i="10"/>
  <c r="H1440" i="10"/>
  <c r="H1436" i="10"/>
  <c r="H1432" i="10"/>
  <c r="H1428" i="10"/>
  <c r="H1424" i="10"/>
  <c r="H1420" i="10"/>
  <c r="H1416" i="10"/>
  <c r="H1412" i="10"/>
  <c r="H1408" i="10"/>
  <c r="H1404" i="10"/>
  <c r="H1400" i="10"/>
  <c r="H1396" i="10"/>
  <c r="H1392" i="10"/>
  <c r="H1388" i="10"/>
  <c r="H1384" i="10"/>
  <c r="H1380" i="10"/>
  <c r="H1376" i="10"/>
  <c r="H1372" i="10"/>
  <c r="H1368" i="10"/>
  <c r="H1364" i="10"/>
  <c r="H1360" i="10"/>
  <c r="H1356" i="10"/>
  <c r="H1352" i="10"/>
  <c r="H1348" i="10"/>
  <c r="H1344" i="10"/>
  <c r="H1340" i="10"/>
  <c r="H1336" i="10"/>
  <c r="H1332" i="10"/>
  <c r="H1328" i="10"/>
  <c r="H1324" i="10"/>
  <c r="H1320" i="10"/>
  <c r="H1316" i="10"/>
  <c r="H1312" i="10"/>
  <c r="H1308" i="10"/>
  <c r="H1304" i="10"/>
  <c r="H1300" i="10"/>
  <c r="H1296" i="10"/>
  <c r="H1292" i="10"/>
  <c r="H1288" i="10"/>
  <c r="H1284" i="10"/>
  <c r="H1280" i="10"/>
  <c r="H1276" i="10"/>
  <c r="H1272" i="10"/>
  <c r="H1268" i="10"/>
  <c r="H1264" i="10"/>
  <c r="H1260" i="10"/>
  <c r="H1256" i="10"/>
  <c r="H1252" i="10"/>
  <c r="H1248" i="10"/>
  <c r="H1244" i="10"/>
  <c r="H1240" i="10"/>
  <c r="H1236" i="10"/>
  <c r="H1232" i="10"/>
  <c r="H1228" i="10"/>
  <c r="H1224" i="10"/>
  <c r="H1220" i="10"/>
  <c r="H1216" i="10"/>
  <c r="H1212" i="10"/>
  <c r="H1208" i="10"/>
  <c r="H1204" i="10"/>
  <c r="H1200" i="10"/>
  <c r="H1196" i="10"/>
  <c r="H1192" i="10"/>
  <c r="H1188" i="10"/>
  <c r="H1184" i="10"/>
  <c r="H1180" i="10"/>
  <c r="H1176" i="10"/>
  <c r="H1172" i="10"/>
  <c r="H1168" i="10"/>
  <c r="H1164" i="10"/>
  <c r="H1160" i="10"/>
  <c r="H1156" i="10"/>
  <c r="H1152" i="10"/>
  <c r="H1148" i="10"/>
  <c r="H1144" i="10"/>
  <c r="H1140" i="10"/>
  <c r="H1136" i="10"/>
  <c r="H1132" i="10"/>
  <c r="H1128" i="10"/>
  <c r="H1124" i="10"/>
  <c r="H1120" i="10"/>
  <c r="H1116" i="10"/>
  <c r="H1112" i="10"/>
  <c r="H1108" i="10"/>
  <c r="H1104" i="10"/>
  <c r="H1100" i="10"/>
  <c r="H1096" i="10"/>
  <c r="H1092" i="10"/>
  <c r="H1088" i="10"/>
  <c r="H1084" i="10"/>
  <c r="H1080" i="10"/>
  <c r="H1076" i="10"/>
  <c r="H1072" i="10"/>
  <c r="H1068" i="10"/>
  <c r="H1064" i="10"/>
  <c r="H1060" i="10"/>
  <c r="H1056" i="10"/>
  <c r="H1052" i="10"/>
  <c r="H1048" i="10"/>
  <c r="H1044" i="10"/>
  <c r="H1040" i="10"/>
  <c r="H1036" i="10"/>
  <c r="H1032" i="10"/>
  <c r="H1028" i="10"/>
  <c r="H1024" i="10"/>
  <c r="H1020" i="10"/>
  <c r="H1016" i="10"/>
  <c r="H1012" i="10"/>
  <c r="H1008" i="10"/>
  <c r="H1004" i="10"/>
  <c r="H1000" i="10"/>
  <c r="H996" i="10"/>
  <c r="H992" i="10"/>
  <c r="H988" i="10"/>
  <c r="H984" i="10"/>
  <c r="H980" i="10"/>
  <c r="H976" i="10"/>
  <c r="H972" i="10"/>
  <c r="H968" i="10"/>
  <c r="H964" i="10"/>
  <c r="H960" i="10"/>
  <c r="H956" i="10"/>
  <c r="H952" i="10"/>
  <c r="H948" i="10"/>
  <c r="H944" i="10"/>
  <c r="H940" i="10"/>
  <c r="H936" i="10"/>
  <c r="H932" i="10"/>
  <c r="H928" i="10"/>
  <c r="H924" i="10"/>
  <c r="H920" i="10"/>
  <c r="H916" i="10"/>
  <c r="H912" i="10"/>
  <c r="H908" i="10"/>
  <c r="H904" i="10"/>
  <c r="H900" i="10"/>
  <c r="H896" i="10"/>
  <c r="H892" i="10"/>
  <c r="H888" i="10"/>
  <c r="H884" i="10"/>
  <c r="H880" i="10"/>
  <c r="H876" i="10"/>
  <c r="H872" i="10"/>
  <c r="H868" i="10"/>
  <c r="H864" i="10"/>
  <c r="H860" i="10"/>
  <c r="H856" i="10"/>
  <c r="H852" i="10"/>
  <c r="H848" i="10"/>
  <c r="H844" i="10"/>
  <c r="H840" i="10"/>
  <c r="H836" i="10"/>
  <c r="H832" i="10"/>
  <c r="H828" i="10"/>
  <c r="H824" i="10"/>
  <c r="H820" i="10"/>
  <c r="H816" i="10"/>
  <c r="H812" i="10"/>
  <c r="H808" i="10"/>
  <c r="H804" i="10"/>
  <c r="H800" i="10"/>
  <c r="H796" i="10"/>
  <c r="H792" i="10"/>
  <c r="H788" i="10"/>
  <c r="H784" i="10"/>
  <c r="H780" i="10"/>
  <c r="H776" i="10"/>
  <c r="H772" i="10"/>
  <c r="H768" i="10"/>
  <c r="H764" i="10"/>
  <c r="H760" i="10"/>
  <c r="H756" i="10"/>
  <c r="H752" i="10"/>
  <c r="H748" i="10"/>
  <c r="H744" i="10"/>
  <c r="H740" i="10"/>
  <c r="H736" i="10"/>
  <c r="H732" i="10"/>
  <c r="H728" i="10"/>
  <c r="H724" i="10"/>
  <c r="H720" i="10"/>
  <c r="H716" i="10"/>
  <c r="H712" i="10"/>
  <c r="H708" i="10"/>
  <c r="H704" i="10"/>
  <c r="H700" i="10"/>
  <c r="H696" i="10"/>
  <c r="H692" i="10"/>
  <c r="H688" i="10"/>
  <c r="H684" i="10"/>
  <c r="H680" i="10"/>
  <c r="H676" i="10"/>
  <c r="H672" i="10"/>
  <c r="H668" i="10"/>
  <c r="H664" i="10"/>
  <c r="H660" i="10"/>
  <c r="H656" i="10"/>
  <c r="H652" i="10"/>
  <c r="H648" i="10"/>
  <c r="H644" i="10"/>
  <c r="H640" i="10"/>
  <c r="H636" i="10"/>
  <c r="H632" i="10"/>
  <c r="H628" i="10"/>
  <c r="H624" i="10"/>
  <c r="H620" i="10"/>
  <c r="H616" i="10"/>
  <c r="H612" i="10"/>
  <c r="H608" i="10"/>
  <c r="H604" i="10"/>
  <c r="H600" i="10"/>
  <c r="H596" i="10"/>
  <c r="H592" i="10"/>
  <c r="H588" i="10"/>
  <c r="H584" i="10"/>
  <c r="H580" i="10"/>
  <c r="H576" i="10"/>
  <c r="H572" i="10"/>
  <c r="H568" i="10"/>
  <c r="H564" i="10"/>
  <c r="H560" i="10"/>
  <c r="H556" i="10"/>
  <c r="H552" i="10"/>
  <c r="H548" i="10"/>
  <c r="H544" i="10"/>
  <c r="H540" i="10"/>
  <c r="H536" i="10"/>
  <c r="H532" i="10"/>
  <c r="H528" i="10"/>
  <c r="H524" i="10"/>
  <c r="H520" i="10"/>
  <c r="H516" i="10"/>
  <c r="H512" i="10"/>
  <c r="H508" i="10"/>
  <c r="H504" i="10"/>
  <c r="H500" i="10"/>
  <c r="H496" i="10"/>
  <c r="H492" i="10"/>
  <c r="H488" i="10"/>
  <c r="H484" i="10"/>
  <c r="H480" i="10"/>
  <c r="H476" i="10"/>
  <c r="H472" i="10"/>
  <c r="H468" i="10"/>
  <c r="H464" i="10"/>
  <c r="H460" i="10"/>
  <c r="H456" i="10"/>
  <c r="H452" i="10"/>
  <c r="H448" i="10"/>
  <c r="H444" i="10"/>
  <c r="H440" i="10"/>
  <c r="H436" i="10"/>
  <c r="H432" i="10"/>
  <c r="H428" i="10"/>
  <c r="H424" i="10"/>
  <c r="H420" i="10"/>
  <c r="H416" i="10"/>
  <c r="H412" i="10"/>
  <c r="H408" i="10"/>
  <c r="H404" i="10"/>
  <c r="H400" i="10"/>
  <c r="H396" i="10"/>
  <c r="H392" i="10"/>
  <c r="H388" i="10"/>
  <c r="H384" i="10"/>
  <c r="H380" i="10"/>
  <c r="H376" i="10"/>
  <c r="H372" i="10"/>
  <c r="H368" i="10"/>
  <c r="H364" i="10"/>
  <c r="H360" i="10"/>
  <c r="H356" i="10"/>
  <c r="H352" i="10"/>
  <c r="H348" i="10"/>
  <c r="H344" i="10"/>
  <c r="H340" i="10"/>
  <c r="H336" i="10"/>
  <c r="H332" i="10"/>
  <c r="H328" i="10"/>
  <c r="H324" i="10"/>
  <c r="H320" i="10"/>
  <c r="H316" i="10"/>
  <c r="H312" i="10"/>
  <c r="H308" i="10"/>
  <c r="H304" i="10"/>
  <c r="H300" i="10"/>
  <c r="H296" i="10"/>
  <c r="H292" i="10"/>
  <c r="H288" i="10"/>
  <c r="H284" i="10"/>
  <c r="H280" i="10"/>
  <c r="H276" i="10"/>
  <c r="H272" i="10"/>
  <c r="H268" i="10"/>
  <c r="H264" i="10"/>
  <c r="H260" i="10"/>
  <c r="H256" i="10"/>
  <c r="H252" i="10"/>
  <c r="H248" i="10"/>
  <c r="H244" i="10"/>
  <c r="H240" i="10"/>
  <c r="H236" i="10"/>
  <c r="H232" i="10"/>
  <c r="H228" i="10"/>
  <c r="H224" i="10"/>
  <c r="H220" i="10"/>
  <c r="H216" i="10"/>
  <c r="H212" i="10"/>
  <c r="H208" i="10"/>
  <c r="H204" i="10"/>
  <c r="H200" i="10"/>
  <c r="H196" i="10"/>
  <c r="H192" i="10"/>
  <c r="H188" i="10"/>
  <c r="H184" i="10"/>
  <c r="H180" i="10"/>
  <c r="H176" i="10"/>
  <c r="H172" i="10"/>
  <c r="H168" i="10"/>
  <c r="H164" i="10"/>
  <c r="H160" i="10"/>
  <c r="H156" i="10"/>
  <c r="H152" i="10"/>
  <c r="H148" i="10"/>
  <c r="H144" i="10"/>
  <c r="H140" i="10"/>
  <c r="H136" i="10"/>
  <c r="H132" i="10"/>
  <c r="H128" i="10"/>
  <c r="H124" i="10"/>
  <c r="H120" i="10"/>
  <c r="H116" i="10"/>
  <c r="H112" i="10"/>
  <c r="H108" i="10"/>
  <c r="H104" i="10"/>
  <c r="H100" i="10"/>
  <c r="H96" i="10"/>
  <c r="H92" i="10"/>
  <c r="H88" i="10"/>
  <c r="H84" i="10"/>
  <c r="H80" i="10"/>
  <c r="H76" i="10"/>
  <c r="H72" i="10"/>
  <c r="H68" i="10"/>
  <c r="H64" i="10"/>
  <c r="H60" i="10"/>
  <c r="H56" i="10"/>
  <c r="H52" i="10"/>
  <c r="H48" i="10"/>
  <c r="H44" i="10"/>
  <c r="H40" i="10"/>
  <c r="H36" i="10"/>
  <c r="H32" i="10"/>
  <c r="H28" i="10"/>
  <c r="H24" i="10"/>
  <c r="H20" i="10"/>
  <c r="H16" i="10"/>
  <c r="H12" i="10"/>
  <c r="H2" i="10"/>
  <c r="R10" i="9" l="1"/>
  <c r="M10" i="9"/>
  <c r="R18" i="9"/>
  <c r="M18" i="9"/>
  <c r="R26" i="9"/>
  <c r="M26" i="9"/>
  <c r="R34" i="9"/>
  <c r="M34" i="9"/>
  <c r="R42" i="9"/>
  <c r="M42" i="9"/>
  <c r="R7" i="9"/>
  <c r="M7" i="9"/>
  <c r="R15" i="9"/>
  <c r="M15" i="9"/>
  <c r="R23" i="9"/>
  <c r="M23" i="9"/>
  <c r="R31" i="9"/>
  <c r="M31" i="9"/>
  <c r="R39" i="9"/>
  <c r="M39" i="9"/>
  <c r="R47" i="9"/>
  <c r="M47" i="9"/>
  <c r="R8" i="9"/>
  <c r="M8" i="9"/>
  <c r="R16" i="9"/>
  <c r="M16" i="9"/>
  <c r="R24" i="9"/>
  <c r="M24" i="9"/>
  <c r="R32" i="9"/>
  <c r="M32" i="9"/>
  <c r="R40" i="9"/>
  <c r="M40" i="9"/>
  <c r="R3" i="9"/>
  <c r="M3" i="9"/>
  <c r="R9" i="9"/>
  <c r="M9" i="9"/>
  <c r="R17" i="9"/>
  <c r="M17" i="9"/>
  <c r="R25" i="9"/>
  <c r="M25" i="9"/>
  <c r="R33" i="9"/>
  <c r="M33" i="9"/>
  <c r="R41" i="9"/>
  <c r="M41" i="9"/>
  <c r="R6" i="9"/>
  <c r="M6" i="9"/>
  <c r="R14" i="9"/>
  <c r="M14" i="9"/>
  <c r="R22" i="9"/>
  <c r="M22" i="9"/>
  <c r="R30" i="9"/>
  <c r="M30" i="9"/>
  <c r="R38" i="9"/>
  <c r="M38" i="9"/>
  <c r="R46" i="9"/>
  <c r="M46" i="9"/>
  <c r="R11" i="9"/>
  <c r="M11" i="9"/>
  <c r="R19" i="9"/>
  <c r="M19" i="9"/>
  <c r="R27" i="9"/>
  <c r="M27" i="9"/>
  <c r="R35" i="9"/>
  <c r="M35" i="9"/>
  <c r="R43" i="9"/>
  <c r="M43" i="9"/>
  <c r="R4" i="9"/>
  <c r="M4" i="9"/>
  <c r="R12" i="9"/>
  <c r="M12" i="9"/>
  <c r="R20" i="9"/>
  <c r="M20" i="9"/>
  <c r="R28" i="9"/>
  <c r="M28" i="9"/>
  <c r="R36" i="9"/>
  <c r="M36" i="9"/>
  <c r="R44" i="9"/>
  <c r="M44" i="9"/>
  <c r="R5" i="9"/>
  <c r="M5" i="9"/>
  <c r="R13" i="9"/>
  <c r="M13" i="9"/>
  <c r="R21" i="9"/>
  <c r="M21" i="9"/>
  <c r="R29" i="9"/>
  <c r="M29" i="9"/>
  <c r="R37" i="9"/>
  <c r="M37" i="9"/>
  <c r="R45" i="9"/>
  <c r="M45" i="9"/>
  <c r="U37" i="9" l="1"/>
  <c r="V37" i="9" s="1"/>
  <c r="W37" i="9"/>
  <c r="X37" i="9" s="1"/>
  <c r="U21" i="9"/>
  <c r="V21" i="9" s="1"/>
  <c r="W21" i="9"/>
  <c r="X21" i="9" s="1"/>
  <c r="W5" i="9"/>
  <c r="X5" i="9" s="1"/>
  <c r="U5" i="9"/>
  <c r="V5" i="9" s="1"/>
  <c r="W36" i="9"/>
  <c r="X36" i="9" s="1"/>
  <c r="U36" i="9"/>
  <c r="V36" i="9" s="1"/>
  <c r="W20" i="9"/>
  <c r="X20" i="9" s="1"/>
  <c r="U20" i="9"/>
  <c r="V20" i="9" s="1"/>
  <c r="W4" i="9"/>
  <c r="X4" i="9" s="1"/>
  <c r="U4" i="9"/>
  <c r="V4" i="9" s="1"/>
  <c r="U35" i="9"/>
  <c r="V35" i="9" s="1"/>
  <c r="W35" i="9"/>
  <c r="X35" i="9" s="1"/>
  <c r="U19" i="9"/>
  <c r="V19" i="9" s="1"/>
  <c r="W19" i="9"/>
  <c r="X19" i="9" s="1"/>
  <c r="U46" i="9"/>
  <c r="V46" i="9" s="1"/>
  <c r="W46" i="9"/>
  <c r="X46" i="9" s="1"/>
  <c r="U30" i="9"/>
  <c r="V30" i="9" s="1"/>
  <c r="W30" i="9"/>
  <c r="X30" i="9" s="1"/>
  <c r="U14" i="9"/>
  <c r="V14" i="9" s="1"/>
  <c r="W14" i="9"/>
  <c r="X14" i="9" s="1"/>
  <c r="U41" i="9"/>
  <c r="V41" i="9" s="1"/>
  <c r="W41" i="9"/>
  <c r="X41" i="9" s="1"/>
  <c r="U25" i="9"/>
  <c r="V25" i="9" s="1"/>
  <c r="W25" i="9"/>
  <c r="X25" i="9" s="1"/>
  <c r="W9" i="9"/>
  <c r="X9" i="9" s="1"/>
  <c r="U9" i="9"/>
  <c r="V9" i="9" s="1"/>
  <c r="W40" i="9"/>
  <c r="X40" i="9" s="1"/>
  <c r="U40" i="9"/>
  <c r="V40" i="9" s="1"/>
  <c r="W24" i="9"/>
  <c r="X24" i="9" s="1"/>
  <c r="U24" i="9"/>
  <c r="V24" i="9" s="1"/>
  <c r="U8" i="9"/>
  <c r="V8" i="9" s="1"/>
  <c r="W8" i="9"/>
  <c r="X8" i="9" s="1"/>
  <c r="U39" i="9"/>
  <c r="V39" i="9" s="1"/>
  <c r="W39" i="9"/>
  <c r="X39" i="9" s="1"/>
  <c r="U23" i="9"/>
  <c r="V23" i="9" s="1"/>
  <c r="W23" i="9"/>
  <c r="X23" i="9" s="1"/>
  <c r="U7" i="9"/>
  <c r="V7" i="9" s="1"/>
  <c r="W7" i="9"/>
  <c r="X7" i="9" s="1"/>
  <c r="U34" i="9"/>
  <c r="V34" i="9" s="1"/>
  <c r="W34" i="9"/>
  <c r="X34" i="9" s="1"/>
  <c r="U18" i="9"/>
  <c r="V18" i="9" s="1"/>
  <c r="W18" i="9"/>
  <c r="X18" i="9" s="1"/>
  <c r="W45" i="9"/>
  <c r="X45" i="9" s="1"/>
  <c r="U45" i="9"/>
  <c r="V45" i="9" s="1"/>
  <c r="W29" i="9"/>
  <c r="X29" i="9" s="1"/>
  <c r="U29" i="9"/>
  <c r="V29" i="9" s="1"/>
  <c r="W13" i="9"/>
  <c r="X13" i="9" s="1"/>
  <c r="U13" i="9"/>
  <c r="V13" i="9" s="1"/>
  <c r="W44" i="9"/>
  <c r="X44" i="9" s="1"/>
  <c r="U44" i="9"/>
  <c r="V44" i="9" s="1"/>
  <c r="W28" i="9"/>
  <c r="X28" i="9" s="1"/>
  <c r="U28" i="9"/>
  <c r="V28" i="9" s="1"/>
  <c r="W12" i="9"/>
  <c r="X12" i="9" s="1"/>
  <c r="U12" i="9"/>
  <c r="V12" i="9" s="1"/>
  <c r="U43" i="9"/>
  <c r="V43" i="9" s="1"/>
  <c r="W43" i="9"/>
  <c r="X43" i="9" s="1"/>
  <c r="U27" i="9"/>
  <c r="V27" i="9" s="1"/>
  <c r="W27" i="9"/>
  <c r="X27" i="9" s="1"/>
  <c r="W11" i="9"/>
  <c r="X11" i="9" s="1"/>
  <c r="U11" i="9"/>
  <c r="V11" i="9" s="1"/>
  <c r="U38" i="9"/>
  <c r="V38" i="9" s="1"/>
  <c r="W38" i="9"/>
  <c r="X38" i="9" s="1"/>
  <c r="U22" i="9"/>
  <c r="V22" i="9" s="1"/>
  <c r="W22" i="9"/>
  <c r="X22" i="9" s="1"/>
  <c r="U6" i="9"/>
  <c r="V6" i="9" s="1"/>
  <c r="W6" i="9"/>
  <c r="X6" i="9" s="1"/>
  <c r="U33" i="9"/>
  <c r="V33" i="9" s="1"/>
  <c r="W33" i="9"/>
  <c r="X33" i="9" s="1"/>
  <c r="U17" i="9"/>
  <c r="V17" i="9" s="1"/>
  <c r="W17" i="9"/>
  <c r="X17" i="9" s="1"/>
  <c r="W3" i="9"/>
  <c r="X3" i="9" s="1"/>
  <c r="U3" i="9"/>
  <c r="V3" i="9" s="1"/>
  <c r="W32" i="9"/>
  <c r="X32" i="9" s="1"/>
  <c r="U32" i="9"/>
  <c r="V32" i="9" s="1"/>
  <c r="W16" i="9"/>
  <c r="X16" i="9" s="1"/>
  <c r="U16" i="9"/>
  <c r="V16" i="9" s="1"/>
  <c r="U47" i="9"/>
  <c r="V47" i="9" s="1"/>
  <c r="W47" i="9"/>
  <c r="X47" i="9" s="1"/>
  <c r="U31" i="9"/>
  <c r="V31" i="9" s="1"/>
  <c r="W31" i="9"/>
  <c r="X31" i="9" s="1"/>
  <c r="U15" i="9"/>
  <c r="V15" i="9" s="1"/>
  <c r="W15" i="9"/>
  <c r="X15" i="9" s="1"/>
  <c r="U42" i="9"/>
  <c r="V42" i="9" s="1"/>
  <c r="W42" i="9"/>
  <c r="X42" i="9" s="1"/>
  <c r="U26" i="9"/>
  <c r="V26" i="9" s="1"/>
  <c r="W26" i="9"/>
  <c r="X26" i="9" s="1"/>
  <c r="W10" i="9"/>
  <c r="X10" i="9" s="1"/>
  <c r="U10" i="9"/>
  <c r="V10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<sst xmlns="http://schemas.openxmlformats.org/spreadsheetml/2006/main" count="14806" uniqueCount="2288">
  <si>
    <t>Transaction_ID</t>
  </si>
  <si>
    <t>Project_ID</t>
  </si>
  <si>
    <t>Vendor</t>
  </si>
  <si>
    <t>Transaction_Date</t>
  </si>
  <si>
    <t>TX0001-001</t>
  </si>
  <si>
    <t>PRJ0001</t>
  </si>
  <si>
    <t>VEND0016</t>
  </si>
  <si>
    <t>TX0001-002</t>
  </si>
  <si>
    <t>VEND0021</t>
  </si>
  <si>
    <t>TX0001-003</t>
  </si>
  <si>
    <t>VEND0025</t>
  </si>
  <si>
    <t>TX0001-004</t>
  </si>
  <si>
    <t>VEND0024</t>
  </si>
  <si>
    <t>TX0001-005</t>
  </si>
  <si>
    <t>VEND0006</t>
  </si>
  <si>
    <t>TX0001-006</t>
  </si>
  <si>
    <t>TX0001-007</t>
  </si>
  <si>
    <t>VEND0010</t>
  </si>
  <si>
    <t>TX0001-008</t>
  </si>
  <si>
    <t>VEND0008</t>
  </si>
  <si>
    <t>TX0001-009</t>
  </si>
  <si>
    <t>VEND0022</t>
  </si>
  <si>
    <t>TX0001-010</t>
  </si>
  <si>
    <t>VEND0011</t>
  </si>
  <si>
    <t>TX0001-011</t>
  </si>
  <si>
    <t>VEND0018</t>
  </si>
  <si>
    <t>TX0001-012</t>
  </si>
  <si>
    <t>VEND0017</t>
  </si>
  <si>
    <t>TX0001-013</t>
  </si>
  <si>
    <t>VEND0007</t>
  </si>
  <si>
    <t>TX0001-014</t>
  </si>
  <si>
    <t>TX0001-015</t>
  </si>
  <si>
    <t>TX0001-016</t>
  </si>
  <si>
    <t>VEND0001</t>
  </si>
  <si>
    <t>TX0001-017</t>
  </si>
  <si>
    <t>VEND0013</t>
  </si>
  <si>
    <t>TX0001-018</t>
  </si>
  <si>
    <t>VEND0009</t>
  </si>
  <si>
    <t>TX0001-019</t>
  </si>
  <si>
    <t>TX0001-020</t>
  </si>
  <si>
    <t>TX0001-021</t>
  </si>
  <si>
    <t>TX0001-022</t>
  </si>
  <si>
    <t>TX0001-023</t>
  </si>
  <si>
    <t>TX0001-024</t>
  </si>
  <si>
    <t>VEND0014</t>
  </si>
  <si>
    <t>TX0001-025</t>
  </si>
  <si>
    <t>TX0001-026</t>
  </si>
  <si>
    <t>TX0001-027</t>
  </si>
  <si>
    <t>VEND0012</t>
  </si>
  <si>
    <t>TX0001-028</t>
  </si>
  <si>
    <t>VEND0019</t>
  </si>
  <si>
    <t>TX0001-029</t>
  </si>
  <si>
    <t>TX0001-030</t>
  </si>
  <si>
    <t>TX0001-031</t>
  </si>
  <si>
    <t>TX0001-032</t>
  </si>
  <si>
    <t>VEND0023</t>
  </si>
  <si>
    <t>TX0001-033</t>
  </si>
  <si>
    <t>TX0001-034</t>
  </si>
  <si>
    <t>TX0001-035</t>
  </si>
  <si>
    <t>TX0001-036</t>
  </si>
  <si>
    <t>TX0001-037</t>
  </si>
  <si>
    <t>TX0001-038</t>
  </si>
  <si>
    <t>TX0001-039</t>
  </si>
  <si>
    <t>TX0001-040</t>
  </si>
  <si>
    <t>TX0001-041</t>
  </si>
  <si>
    <t>TX0001-042</t>
  </si>
  <si>
    <t>TX0001-043</t>
  </si>
  <si>
    <t>TX0001-044</t>
  </si>
  <si>
    <t>TX0001-045</t>
  </si>
  <si>
    <t>TX0001-046</t>
  </si>
  <si>
    <t>TX0001-047</t>
  </si>
  <si>
    <t>VEND0003</t>
  </si>
  <si>
    <t>TX0001-048</t>
  </si>
  <si>
    <t>VEND0002</t>
  </si>
  <si>
    <t>TX0001-049</t>
  </si>
  <si>
    <t>TX0001-050</t>
  </si>
  <si>
    <t>TX0001-051</t>
  </si>
  <si>
    <t>TX0001-052</t>
  </si>
  <si>
    <t>TX0001-053</t>
  </si>
  <si>
    <t>TX0001-054</t>
  </si>
  <si>
    <t>TX0001-055</t>
  </si>
  <si>
    <t>TX0001-056</t>
  </si>
  <si>
    <t>TX0001-057</t>
  </si>
  <si>
    <t>TX0001-058</t>
  </si>
  <si>
    <t>TX0001-059</t>
  </si>
  <si>
    <t>TX0001-060</t>
  </si>
  <si>
    <t>TX0002-001</t>
  </si>
  <si>
    <t>PRJ0002</t>
  </si>
  <si>
    <t>TX0002-002</t>
  </si>
  <si>
    <t>TX0002-003</t>
  </si>
  <si>
    <t>TX0002-004</t>
  </si>
  <si>
    <t>VEND0020</t>
  </si>
  <si>
    <t>TX0002-005</t>
  </si>
  <si>
    <t>TX0002-006</t>
  </si>
  <si>
    <t>TX0002-007</t>
  </si>
  <si>
    <t>TX0002-008</t>
  </si>
  <si>
    <t>TX0002-009</t>
  </si>
  <si>
    <t>TX0002-010</t>
  </si>
  <si>
    <t>TX0002-011</t>
  </si>
  <si>
    <t>TX0002-012</t>
  </si>
  <si>
    <t>TX0002-013</t>
  </si>
  <si>
    <t>TX0002-014</t>
  </si>
  <si>
    <t>TX0002-015</t>
  </si>
  <si>
    <t>TX0002-016</t>
  </si>
  <si>
    <t>TX0002-017</t>
  </si>
  <si>
    <t>TX0002-018</t>
  </si>
  <si>
    <t>TX0002-019</t>
  </si>
  <si>
    <t>TX0002-020</t>
  </si>
  <si>
    <t>VEND0015</t>
  </si>
  <si>
    <t>VEND0005</t>
  </si>
  <si>
    <t>VEND0004</t>
  </si>
  <si>
    <t>TX0003-001</t>
  </si>
  <si>
    <t>PRJ0003</t>
  </si>
  <si>
    <t>TX0003-002</t>
  </si>
  <si>
    <t>TX0003-003</t>
  </si>
  <si>
    <t>TX0003-004</t>
  </si>
  <si>
    <t>TX0003-005</t>
  </si>
  <si>
    <t>TX0003-006</t>
  </si>
  <si>
    <t>TX0003-007</t>
  </si>
  <si>
    <t>TX0003-008</t>
  </si>
  <si>
    <t>TX0003-009</t>
  </si>
  <si>
    <t>TX0003-010</t>
  </si>
  <si>
    <t>TX0003-011</t>
  </si>
  <si>
    <t>TX0003-012</t>
  </si>
  <si>
    <t>TX0003-013</t>
  </si>
  <si>
    <t>TX0003-014</t>
  </si>
  <si>
    <t>TX0003-015</t>
  </si>
  <si>
    <t>TX0003-016</t>
  </si>
  <si>
    <t>TX0003-017</t>
  </si>
  <si>
    <t>TX0003-018</t>
  </si>
  <si>
    <t>TX0003-019</t>
  </si>
  <si>
    <t>TX0003-020</t>
  </si>
  <si>
    <t>TX0003-021</t>
  </si>
  <si>
    <t>TX0003-022</t>
  </si>
  <si>
    <t>TX0003-023</t>
  </si>
  <si>
    <t>TX0003-024</t>
  </si>
  <si>
    <t>TX0003-025</t>
  </si>
  <si>
    <t>TX0003-026</t>
  </si>
  <si>
    <t>TX0003-027</t>
  </si>
  <si>
    <t>TX0003-028</t>
  </si>
  <si>
    <t>TX0003-029</t>
  </si>
  <si>
    <t>TX0003-030</t>
  </si>
  <si>
    <t>TX0003-031</t>
  </si>
  <si>
    <t>TX0003-032</t>
  </si>
  <si>
    <t>TX0003-033</t>
  </si>
  <si>
    <t>TX0003-034</t>
  </si>
  <si>
    <t>TX0003-035</t>
  </si>
  <si>
    <t>TX0004-001</t>
  </si>
  <si>
    <t>PRJ0004</t>
  </si>
  <si>
    <t>TX0004-002</t>
  </si>
  <si>
    <t>TX0004-003</t>
  </si>
  <si>
    <t>TX0004-004</t>
  </si>
  <si>
    <t>TX0004-005</t>
  </si>
  <si>
    <t>TX0004-006</t>
  </si>
  <si>
    <t>TX0004-007</t>
  </si>
  <si>
    <t>TX0004-008</t>
  </si>
  <si>
    <t>TX0004-009</t>
  </si>
  <si>
    <t>TX0004-010</t>
  </si>
  <si>
    <t>TX0004-011</t>
  </si>
  <si>
    <t>TX0004-012</t>
  </si>
  <si>
    <t>TX0004-013</t>
  </si>
  <si>
    <t>TX0004-014</t>
  </si>
  <si>
    <t>TX0004-015</t>
  </si>
  <si>
    <t>TX0004-016</t>
  </si>
  <si>
    <t>TX0004-017</t>
  </si>
  <si>
    <t>TX0004-018</t>
  </si>
  <si>
    <t>TX0004-019</t>
  </si>
  <si>
    <t>TX0004-020</t>
  </si>
  <si>
    <t>TX0004-021</t>
  </si>
  <si>
    <t>TX0004-022</t>
  </si>
  <si>
    <t>TX0004-023</t>
  </si>
  <si>
    <t>TX0004-024</t>
  </si>
  <si>
    <t>TX0004-025</t>
  </si>
  <si>
    <t>TX0004-026</t>
  </si>
  <si>
    <t>TX0004-027</t>
  </si>
  <si>
    <t>TX0004-028</t>
  </si>
  <si>
    <t>TX0004-029</t>
  </si>
  <si>
    <t>TX0004-030</t>
  </si>
  <si>
    <t>TX0004-031</t>
  </si>
  <si>
    <t>TX0004-032</t>
  </si>
  <si>
    <t>TX0004-033</t>
  </si>
  <si>
    <t>TX0004-034</t>
  </si>
  <si>
    <t>TX0004-035</t>
  </si>
  <si>
    <t>TX0004-036</t>
  </si>
  <si>
    <t>TX0004-037</t>
  </si>
  <si>
    <t>TX0004-038</t>
  </si>
  <si>
    <t>TX0004-039</t>
  </si>
  <si>
    <t>TX0004-040</t>
  </si>
  <si>
    <t>TX0004-041</t>
  </si>
  <si>
    <t>TX0004-042</t>
  </si>
  <si>
    <t>TX0004-043</t>
  </si>
  <si>
    <t>TX0004-044</t>
  </si>
  <si>
    <t>TX0004-045</t>
  </si>
  <si>
    <t>TX0004-046</t>
  </si>
  <si>
    <t>TX0004-047</t>
  </si>
  <si>
    <t>TX0004-048</t>
  </si>
  <si>
    <t>TX0004-049</t>
  </si>
  <si>
    <t>TX0004-050</t>
  </si>
  <si>
    <t>TX0004-051</t>
  </si>
  <si>
    <t>TX0004-052</t>
  </si>
  <si>
    <t>TX0005-001</t>
  </si>
  <si>
    <t>PRJ0005</t>
  </si>
  <si>
    <t>TX0005-002</t>
  </si>
  <si>
    <t>TX0005-003</t>
  </si>
  <si>
    <t>TX0005-004</t>
  </si>
  <si>
    <t>TX0005-005</t>
  </si>
  <si>
    <t>TX0005-006</t>
  </si>
  <si>
    <t>TX0005-007</t>
  </si>
  <si>
    <t>TX0005-008</t>
  </si>
  <si>
    <t>TX0005-009</t>
  </si>
  <si>
    <t>TX0005-010</t>
  </si>
  <si>
    <t>TX0005-011</t>
  </si>
  <si>
    <t>TX0005-012</t>
  </si>
  <si>
    <t>TX0005-013</t>
  </si>
  <si>
    <t>TX0005-014</t>
  </si>
  <si>
    <t>TX0005-015</t>
  </si>
  <si>
    <t>TX0005-016</t>
  </si>
  <si>
    <t>TX0005-017</t>
  </si>
  <si>
    <t>TX0005-018</t>
  </si>
  <si>
    <t>TX0005-019</t>
  </si>
  <si>
    <t>TX0005-020</t>
  </si>
  <si>
    <t>TX0005-021</t>
  </si>
  <si>
    <t>TX0005-022</t>
  </si>
  <si>
    <t>TX0005-023</t>
  </si>
  <si>
    <t>TX0005-024</t>
  </si>
  <si>
    <t>TX0005-025</t>
  </si>
  <si>
    <t>TX0005-026</t>
  </si>
  <si>
    <t>TX0005-027</t>
  </si>
  <si>
    <t>TX0005-028</t>
  </si>
  <si>
    <t>TX0005-029</t>
  </si>
  <si>
    <t>TX0005-030</t>
  </si>
  <si>
    <t>TX0005-031</t>
  </si>
  <si>
    <t>TX0005-032</t>
  </si>
  <si>
    <t>TX0005-033</t>
  </si>
  <si>
    <t>TX0005-034</t>
  </si>
  <si>
    <t>TX0005-035</t>
  </si>
  <si>
    <t>TX0005-036</t>
  </si>
  <si>
    <t>TX0005-037</t>
  </si>
  <si>
    <t>TX0005-038</t>
  </si>
  <si>
    <t>TX0005-039</t>
  </si>
  <si>
    <t>TX0005-040</t>
  </si>
  <si>
    <t>TX0005-041</t>
  </si>
  <si>
    <t>TX0005-042</t>
  </si>
  <si>
    <t>TX0005-043</t>
  </si>
  <si>
    <t>TX0005-044</t>
  </si>
  <si>
    <t>TX0005-045</t>
  </si>
  <si>
    <t>TX0006-001</t>
  </si>
  <si>
    <t>PRJ0006</t>
  </si>
  <si>
    <t>TX0006-002</t>
  </si>
  <si>
    <t>TX0006-003</t>
  </si>
  <si>
    <t>TX0006-004</t>
  </si>
  <si>
    <t>TX0006-005</t>
  </si>
  <si>
    <t>TX0006-006</t>
  </si>
  <si>
    <t>TX0006-007</t>
  </si>
  <si>
    <t>TX0006-008</t>
  </si>
  <si>
    <t>TX0006-009</t>
  </si>
  <si>
    <t>TX0006-010</t>
  </si>
  <si>
    <t>TX0006-011</t>
  </si>
  <si>
    <t>TX0006-012</t>
  </si>
  <si>
    <t>TX0006-013</t>
  </si>
  <si>
    <t>TX0006-014</t>
  </si>
  <si>
    <t>TX0006-015</t>
  </si>
  <si>
    <t>TX0006-016</t>
  </si>
  <si>
    <t>TX0006-017</t>
  </si>
  <si>
    <t>TX0006-018</t>
  </si>
  <si>
    <t>TX0006-019</t>
  </si>
  <si>
    <t>TX0006-020</t>
  </si>
  <si>
    <t>TX0006-021</t>
  </si>
  <si>
    <t>TX0006-022</t>
  </si>
  <si>
    <t>TX0006-023</t>
  </si>
  <si>
    <t>TX0006-024</t>
  </si>
  <si>
    <t>TX0006-025</t>
  </si>
  <si>
    <t>TX0006-026</t>
  </si>
  <si>
    <t>TX0006-027</t>
  </si>
  <si>
    <t>TX0006-028</t>
  </si>
  <si>
    <t>TX0006-029</t>
  </si>
  <si>
    <t>TX0006-030</t>
  </si>
  <si>
    <t>TX0006-031</t>
  </si>
  <si>
    <t>TX0006-032</t>
  </si>
  <si>
    <t>TX0006-033</t>
  </si>
  <si>
    <t>TX0006-034</t>
  </si>
  <si>
    <t>TX0006-035</t>
  </si>
  <si>
    <t>TX0006-036</t>
  </si>
  <si>
    <t>TX0006-037</t>
  </si>
  <si>
    <t>TX0006-038</t>
  </si>
  <si>
    <t>TX0006-039</t>
  </si>
  <si>
    <t>TX0006-040</t>
  </si>
  <si>
    <t>TX0006-041</t>
  </si>
  <si>
    <t>TX0006-042</t>
  </si>
  <si>
    <t>TX0006-043</t>
  </si>
  <si>
    <t>TX0006-044</t>
  </si>
  <si>
    <t>TX0006-045</t>
  </si>
  <si>
    <t>TX0006-046</t>
  </si>
  <si>
    <t>TX0006-047</t>
  </si>
  <si>
    <t>TX0006-048</t>
  </si>
  <si>
    <t>TX0006-049</t>
  </si>
  <si>
    <t>TX0006-050</t>
  </si>
  <si>
    <t>TX0006-051</t>
  </si>
  <si>
    <t>TX0006-052</t>
  </si>
  <si>
    <t>TX0006-053</t>
  </si>
  <si>
    <t>TX0006-054</t>
  </si>
  <si>
    <t>TX0006-055</t>
  </si>
  <si>
    <t>TX0006-056</t>
  </si>
  <si>
    <t>TX0006-057</t>
  </si>
  <si>
    <t>TX0006-058</t>
  </si>
  <si>
    <t>TX0006-059</t>
  </si>
  <si>
    <t>TX0006-060</t>
  </si>
  <si>
    <t>TX0007-001</t>
  </si>
  <si>
    <t>PRJ0007</t>
  </si>
  <si>
    <t>TX0007-002</t>
  </si>
  <si>
    <t>TX0007-003</t>
  </si>
  <si>
    <t>TX0007-004</t>
  </si>
  <si>
    <t>TX0007-005</t>
  </si>
  <si>
    <t>TX0007-006</t>
  </si>
  <si>
    <t>TX0007-007</t>
  </si>
  <si>
    <t>TX0007-008</t>
  </si>
  <si>
    <t>TX0007-009</t>
  </si>
  <si>
    <t>TX0007-010</t>
  </si>
  <si>
    <t>TX0007-011</t>
  </si>
  <si>
    <t>TX0007-012</t>
  </si>
  <si>
    <t>TX0007-013</t>
  </si>
  <si>
    <t>TX0007-014</t>
  </si>
  <si>
    <t>TX0007-015</t>
  </si>
  <si>
    <t>TX0007-016</t>
  </si>
  <si>
    <t>TX0007-017</t>
  </si>
  <si>
    <t>TX0007-018</t>
  </si>
  <si>
    <t>TX0007-019</t>
  </si>
  <si>
    <t>TX0007-020</t>
  </si>
  <si>
    <t>TX0007-021</t>
  </si>
  <si>
    <t>TX0007-022</t>
  </si>
  <si>
    <t>TX0007-023</t>
  </si>
  <si>
    <t>TX0007-024</t>
  </si>
  <si>
    <t>TX0007-025</t>
  </si>
  <si>
    <t>TX0007-026</t>
  </si>
  <si>
    <t>TX0007-027</t>
  </si>
  <si>
    <t>TX0007-028</t>
  </si>
  <si>
    <t>TX0007-029</t>
  </si>
  <si>
    <t>TX0007-030</t>
  </si>
  <si>
    <t>TX0007-031</t>
  </si>
  <si>
    <t>TX0007-032</t>
  </si>
  <si>
    <t>TX0007-033</t>
  </si>
  <si>
    <t>TX0007-034</t>
  </si>
  <si>
    <t>TX0007-035</t>
  </si>
  <si>
    <t>TX0007-036</t>
  </si>
  <si>
    <t>TX0007-037</t>
  </si>
  <si>
    <t>TX0007-038</t>
  </si>
  <si>
    <t>TX0007-039</t>
  </si>
  <si>
    <t>TX0007-040</t>
  </si>
  <si>
    <t>TX0007-041</t>
  </si>
  <si>
    <t>TX0007-042</t>
  </si>
  <si>
    <t>TX0007-043</t>
  </si>
  <si>
    <t>TX0007-044</t>
  </si>
  <si>
    <t>TX0007-045</t>
  </si>
  <si>
    <t>TX0007-046</t>
  </si>
  <si>
    <t>TX0007-047</t>
  </si>
  <si>
    <t>TX0007-048</t>
  </si>
  <si>
    <t>TX0007-049</t>
  </si>
  <si>
    <t>TX0007-050</t>
  </si>
  <si>
    <t>TX0007-051</t>
  </si>
  <si>
    <t>TX0007-052</t>
  </si>
  <si>
    <t>TX0008-001</t>
  </si>
  <si>
    <t>PRJ0008</t>
  </si>
  <si>
    <t>TX0008-002</t>
  </si>
  <si>
    <t>TX0008-003</t>
  </si>
  <si>
    <t>TX0008-004</t>
  </si>
  <si>
    <t>TX0008-005</t>
  </si>
  <si>
    <t>TX0008-006</t>
  </si>
  <si>
    <t>TX0008-007</t>
  </si>
  <si>
    <t>TX0008-008</t>
  </si>
  <si>
    <t>TX0008-009</t>
  </si>
  <si>
    <t>TX0008-010</t>
  </si>
  <si>
    <t>TX0008-011</t>
  </si>
  <si>
    <t>TX0008-012</t>
  </si>
  <si>
    <t>TX0008-013</t>
  </si>
  <si>
    <t>TX0008-014</t>
  </si>
  <si>
    <t>TX0008-015</t>
  </si>
  <si>
    <t>TX0008-016</t>
  </si>
  <si>
    <t>TX0008-017</t>
  </si>
  <si>
    <t>TX0008-018</t>
  </si>
  <si>
    <t>TX0008-019</t>
  </si>
  <si>
    <t>TX0008-020</t>
  </si>
  <si>
    <t>TX0008-021</t>
  </si>
  <si>
    <t>TX0008-022</t>
  </si>
  <si>
    <t>TX0008-023</t>
  </si>
  <si>
    <t>TX0008-024</t>
  </si>
  <si>
    <t>TX0008-025</t>
  </si>
  <si>
    <t>TX0008-026</t>
  </si>
  <si>
    <t>TX0008-027</t>
  </si>
  <si>
    <t>TX0008-028</t>
  </si>
  <si>
    <t>TX0008-029</t>
  </si>
  <si>
    <t>TX0008-030</t>
  </si>
  <si>
    <t>TX0008-031</t>
  </si>
  <si>
    <t>TX0008-032</t>
  </si>
  <si>
    <t>TX0008-033</t>
  </si>
  <si>
    <t>TX0008-034</t>
  </si>
  <si>
    <t>TX0008-035</t>
  </si>
  <si>
    <t>TX0009-001</t>
  </si>
  <si>
    <t>PRJ0009</t>
  </si>
  <si>
    <t>TX0009-002</t>
  </si>
  <si>
    <t>TX0009-003</t>
  </si>
  <si>
    <t>TX0009-004</t>
  </si>
  <si>
    <t>TX0009-005</t>
  </si>
  <si>
    <t>TX0009-006</t>
  </si>
  <si>
    <t>TX0009-007</t>
  </si>
  <si>
    <t>TX0009-008</t>
  </si>
  <si>
    <t>TX0009-009</t>
  </si>
  <si>
    <t>TX0009-010</t>
  </si>
  <si>
    <t>TX0009-011</t>
  </si>
  <si>
    <t>TX0009-012</t>
  </si>
  <si>
    <t>TX0009-013</t>
  </si>
  <si>
    <t>TX0009-014</t>
  </si>
  <si>
    <t>TX0009-015</t>
  </si>
  <si>
    <t>TX0009-016</t>
  </si>
  <si>
    <t>TX0009-017</t>
  </si>
  <si>
    <t>TX0009-018</t>
  </si>
  <si>
    <t>TX0009-019</t>
  </si>
  <si>
    <t>TX0009-020</t>
  </si>
  <si>
    <t>TX0010-001</t>
  </si>
  <si>
    <t>PRJ0010</t>
  </si>
  <si>
    <t>TX0010-002</t>
  </si>
  <si>
    <t>TX0010-003</t>
  </si>
  <si>
    <t>TX0010-004</t>
  </si>
  <si>
    <t>TX0010-005</t>
  </si>
  <si>
    <t>TX0010-006</t>
  </si>
  <si>
    <t>TX0010-007</t>
  </si>
  <si>
    <t>TX0010-008</t>
  </si>
  <si>
    <t>TX0010-009</t>
  </si>
  <si>
    <t>TX0010-010</t>
  </si>
  <si>
    <t>TX0010-011</t>
  </si>
  <si>
    <t>TX0010-012</t>
  </si>
  <si>
    <t>TX0010-013</t>
  </si>
  <si>
    <t>TX0010-014</t>
  </si>
  <si>
    <t>TX0010-015</t>
  </si>
  <si>
    <t>TX0010-016</t>
  </si>
  <si>
    <t>TX0010-017</t>
  </si>
  <si>
    <t>TX0010-018</t>
  </si>
  <si>
    <t>TX0010-019</t>
  </si>
  <si>
    <t>TX0010-020</t>
  </si>
  <si>
    <t>TX0010-021</t>
  </si>
  <si>
    <t>TX0010-022</t>
  </si>
  <si>
    <t>TX0011-001</t>
  </si>
  <si>
    <t>PRJ0011</t>
  </si>
  <si>
    <t>TX0011-002</t>
  </si>
  <si>
    <t>TX0011-003</t>
  </si>
  <si>
    <t>TX0011-004</t>
  </si>
  <si>
    <t>TX0011-005</t>
  </si>
  <si>
    <t>TX0011-006</t>
  </si>
  <si>
    <t>TX0011-007</t>
  </si>
  <si>
    <t>TX0011-008</t>
  </si>
  <si>
    <t>TX0011-009</t>
  </si>
  <si>
    <t>TX0011-010</t>
  </si>
  <si>
    <t>TX0011-011</t>
  </si>
  <si>
    <t>TX0011-012</t>
  </si>
  <si>
    <t>TX0011-013</t>
  </si>
  <si>
    <t>TX0011-014</t>
  </si>
  <si>
    <t>TX0011-015</t>
  </si>
  <si>
    <t>TX0011-016</t>
  </si>
  <si>
    <t>TX0011-017</t>
  </si>
  <si>
    <t>TX0011-018</t>
  </si>
  <si>
    <t>TX0011-019</t>
  </si>
  <si>
    <t>TX0011-020</t>
  </si>
  <si>
    <t>TX0011-021</t>
  </si>
  <si>
    <t>TX0011-022</t>
  </si>
  <si>
    <t>TX0011-023</t>
  </si>
  <si>
    <t>TX0011-024</t>
  </si>
  <si>
    <t>TX0011-025</t>
  </si>
  <si>
    <t>TX0011-026</t>
  </si>
  <si>
    <t>TX0011-027</t>
  </si>
  <si>
    <t>TX0011-028</t>
  </si>
  <si>
    <t>TX0011-029</t>
  </si>
  <si>
    <t>TX0011-030</t>
  </si>
  <si>
    <t>TX0011-031</t>
  </si>
  <si>
    <t>TX0011-032</t>
  </si>
  <si>
    <t>TX0011-033</t>
  </si>
  <si>
    <t>TX0011-034</t>
  </si>
  <si>
    <t>TX0011-035</t>
  </si>
  <si>
    <t>TX0011-036</t>
  </si>
  <si>
    <t>TX0011-037</t>
  </si>
  <si>
    <t>TX0011-038</t>
  </si>
  <si>
    <t>TX0011-039</t>
  </si>
  <si>
    <t>TX0011-040</t>
  </si>
  <si>
    <t>TX0011-041</t>
  </si>
  <si>
    <t>TX0011-042</t>
  </si>
  <si>
    <t>TX0011-043</t>
  </si>
  <si>
    <t>TX0011-044</t>
  </si>
  <si>
    <t>TX0011-045</t>
  </si>
  <si>
    <t>TX0011-046</t>
  </si>
  <si>
    <t>TX0011-047</t>
  </si>
  <si>
    <t>TX0011-048</t>
  </si>
  <si>
    <t>TX0011-049</t>
  </si>
  <si>
    <t>TX0011-050</t>
  </si>
  <si>
    <t>TX0011-051</t>
  </si>
  <si>
    <t>TX0011-052</t>
  </si>
  <si>
    <t>TX0011-053</t>
  </si>
  <si>
    <t>TX0011-054</t>
  </si>
  <si>
    <t>TX0011-055</t>
  </si>
  <si>
    <t>TX0011-056</t>
  </si>
  <si>
    <t>TX0011-057</t>
  </si>
  <si>
    <t>TX0011-058</t>
  </si>
  <si>
    <t>TX0011-059</t>
  </si>
  <si>
    <t>TX0011-060</t>
  </si>
  <si>
    <t>TX0012-001</t>
  </si>
  <si>
    <t>PRJ0012</t>
  </si>
  <si>
    <t>TX0012-002</t>
  </si>
  <si>
    <t>TX0012-003</t>
  </si>
  <si>
    <t>TX0012-004</t>
  </si>
  <si>
    <t>TX0012-005</t>
  </si>
  <si>
    <t>TX0012-006</t>
  </si>
  <si>
    <t>TX0012-007</t>
  </si>
  <si>
    <t>TX0012-008</t>
  </si>
  <si>
    <t>TX0012-009</t>
  </si>
  <si>
    <t>TX0012-010</t>
  </si>
  <si>
    <t>TX0012-011</t>
  </si>
  <si>
    <t>TX0012-012</t>
  </si>
  <si>
    <t>TX0012-013</t>
  </si>
  <si>
    <t>TX0012-014</t>
  </si>
  <si>
    <t>TX0012-015</t>
  </si>
  <si>
    <t>TX0012-016</t>
  </si>
  <si>
    <t>TX0012-017</t>
  </si>
  <si>
    <t>TX0012-018</t>
  </si>
  <si>
    <t>TX0012-019</t>
  </si>
  <si>
    <t>TX0012-020</t>
  </si>
  <si>
    <t>TX0012-021</t>
  </si>
  <si>
    <t>TX0012-022</t>
  </si>
  <si>
    <t>TX0012-023</t>
  </si>
  <si>
    <t>TX0012-024</t>
  </si>
  <si>
    <t>TX0012-025</t>
  </si>
  <si>
    <t>TX0012-026</t>
  </si>
  <si>
    <t>TX0012-027</t>
  </si>
  <si>
    <t>TX0013-001</t>
  </si>
  <si>
    <t>PRJ0013</t>
  </si>
  <si>
    <t>TX0013-002</t>
  </si>
  <si>
    <t>TX0013-003</t>
  </si>
  <si>
    <t>TX0013-004</t>
  </si>
  <si>
    <t>TX0013-005</t>
  </si>
  <si>
    <t>TX0013-006</t>
  </si>
  <si>
    <t>TX0013-007</t>
  </si>
  <si>
    <t>TX0013-008</t>
  </si>
  <si>
    <t>TX0013-009</t>
  </si>
  <si>
    <t>TX0013-010</t>
  </si>
  <si>
    <t>TX0013-011</t>
  </si>
  <si>
    <t>TX0013-012</t>
  </si>
  <si>
    <t>TX0013-013</t>
  </si>
  <si>
    <t>TX0013-014</t>
  </si>
  <si>
    <t>TX0013-015</t>
  </si>
  <si>
    <t>TX0013-016</t>
  </si>
  <si>
    <t>TX0013-017</t>
  </si>
  <si>
    <t>TX0013-018</t>
  </si>
  <si>
    <t>TX0013-019</t>
  </si>
  <si>
    <t>TX0013-020</t>
  </si>
  <si>
    <t>TX0013-021</t>
  </si>
  <si>
    <t>TX0013-022</t>
  </si>
  <si>
    <t>TX0013-023</t>
  </si>
  <si>
    <t>TX0013-024</t>
  </si>
  <si>
    <t>TX0013-025</t>
  </si>
  <si>
    <t>TX0013-026</t>
  </si>
  <si>
    <t>TX0013-027</t>
  </si>
  <si>
    <t>TX0013-028</t>
  </si>
  <si>
    <t>TX0013-029</t>
  </si>
  <si>
    <t>TX0013-030</t>
  </si>
  <si>
    <t>TX0013-031</t>
  </si>
  <si>
    <t>TX0013-032</t>
  </si>
  <si>
    <t>TX0013-033</t>
  </si>
  <si>
    <t>TX0013-034</t>
  </si>
  <si>
    <t>TX0013-035</t>
  </si>
  <si>
    <t>TX0013-036</t>
  </si>
  <si>
    <t>TX0013-037</t>
  </si>
  <si>
    <t>TX0013-038</t>
  </si>
  <si>
    <t>TX0013-039</t>
  </si>
  <si>
    <t>TX0013-040</t>
  </si>
  <si>
    <t>TX0013-041</t>
  </si>
  <si>
    <t>TX0013-042</t>
  </si>
  <si>
    <t>TX0013-043</t>
  </si>
  <si>
    <t>TX0013-044</t>
  </si>
  <si>
    <t>TX0013-045</t>
  </si>
  <si>
    <t>TX0013-046</t>
  </si>
  <si>
    <t>TX0013-047</t>
  </si>
  <si>
    <t>TX0013-048</t>
  </si>
  <si>
    <t>TX0013-049</t>
  </si>
  <si>
    <t>TX0013-050</t>
  </si>
  <si>
    <t>TX0013-051</t>
  </si>
  <si>
    <t>TX0013-052</t>
  </si>
  <si>
    <t>TX0013-053</t>
  </si>
  <si>
    <t>TX0013-054</t>
  </si>
  <si>
    <t>TX0013-055</t>
  </si>
  <si>
    <t>TX0013-056</t>
  </si>
  <si>
    <t>TX0013-057</t>
  </si>
  <si>
    <t>TX0013-058</t>
  </si>
  <si>
    <t>TX0013-059</t>
  </si>
  <si>
    <t>TX0013-060</t>
  </si>
  <si>
    <t>TX0014-001</t>
  </si>
  <si>
    <t>PRJ0014</t>
  </si>
  <si>
    <t>TX0014-002</t>
  </si>
  <si>
    <t>TX0014-003</t>
  </si>
  <si>
    <t>TX0014-004</t>
  </si>
  <si>
    <t>TX0014-005</t>
  </si>
  <si>
    <t>TX0014-006</t>
  </si>
  <si>
    <t>TX0014-007</t>
  </si>
  <si>
    <t>TX0014-008</t>
  </si>
  <si>
    <t>TX0014-009</t>
  </si>
  <si>
    <t>TX0014-010</t>
  </si>
  <si>
    <t>TX0014-011</t>
  </si>
  <si>
    <t>TX0014-012</t>
  </si>
  <si>
    <t>TX0014-013</t>
  </si>
  <si>
    <t>TX0014-014</t>
  </si>
  <si>
    <t>TX0014-015</t>
  </si>
  <si>
    <t>TX0014-016</t>
  </si>
  <si>
    <t>TX0014-017</t>
  </si>
  <si>
    <t>TX0014-018</t>
  </si>
  <si>
    <t>TX0014-019</t>
  </si>
  <si>
    <t>TX0014-020</t>
  </si>
  <si>
    <t>TX0014-021</t>
  </si>
  <si>
    <t>TX0014-022</t>
  </si>
  <si>
    <t>TX0014-023</t>
  </si>
  <si>
    <t>TX0014-024</t>
  </si>
  <si>
    <t>TX0014-025</t>
  </si>
  <si>
    <t>TX0014-026</t>
  </si>
  <si>
    <t>TX0014-027</t>
  </si>
  <si>
    <t>TX0014-028</t>
  </si>
  <si>
    <t>TX0014-029</t>
  </si>
  <si>
    <t>TX0014-030</t>
  </si>
  <si>
    <t>TX0014-031</t>
  </si>
  <si>
    <t>TX0014-032</t>
  </si>
  <si>
    <t>TX0014-033</t>
  </si>
  <si>
    <t>TX0014-034</t>
  </si>
  <si>
    <t>TX0014-035</t>
  </si>
  <si>
    <t>TX0014-036</t>
  </si>
  <si>
    <t>TX0014-037</t>
  </si>
  <si>
    <t>TX0014-038</t>
  </si>
  <si>
    <t>TX0014-039</t>
  </si>
  <si>
    <t>TX0014-040</t>
  </si>
  <si>
    <t>TX0014-041</t>
  </si>
  <si>
    <t>TX0014-042</t>
  </si>
  <si>
    <t>TX0014-043</t>
  </si>
  <si>
    <t>TX0014-044</t>
  </si>
  <si>
    <t>TX0014-045</t>
  </si>
  <si>
    <t>TX0015-001</t>
  </si>
  <si>
    <t>PRJ0015</t>
  </si>
  <si>
    <t>TX0015-002</t>
  </si>
  <si>
    <t>TX0015-003</t>
  </si>
  <si>
    <t>TX0015-004</t>
  </si>
  <si>
    <t>TX0015-005</t>
  </si>
  <si>
    <t>TX0015-006</t>
  </si>
  <si>
    <t>TX0015-007</t>
  </si>
  <si>
    <t>TX0015-008</t>
  </si>
  <si>
    <t>TX0015-009</t>
  </si>
  <si>
    <t>TX0015-010</t>
  </si>
  <si>
    <t>TX0015-011</t>
  </si>
  <si>
    <t>TX0015-012</t>
  </si>
  <si>
    <t>TX0015-013</t>
  </si>
  <si>
    <t>TX0015-014</t>
  </si>
  <si>
    <t>TX0015-015</t>
  </si>
  <si>
    <t>TX0015-016</t>
  </si>
  <si>
    <t>TX0015-017</t>
  </si>
  <si>
    <t>TX0015-018</t>
  </si>
  <si>
    <t>TX0015-019</t>
  </si>
  <si>
    <t>TX0015-020</t>
  </si>
  <si>
    <t>TX0015-021</t>
  </si>
  <si>
    <t>TX0015-022</t>
  </si>
  <si>
    <t>TX0016-001</t>
  </si>
  <si>
    <t>PRJ0016</t>
  </si>
  <si>
    <t>TX0016-002</t>
  </si>
  <si>
    <t>TX0016-003</t>
  </si>
  <si>
    <t>TX0016-004</t>
  </si>
  <si>
    <t>TX0016-005</t>
  </si>
  <si>
    <t>TX0016-006</t>
  </si>
  <si>
    <t>TX0016-007</t>
  </si>
  <si>
    <t>TX0016-008</t>
  </si>
  <si>
    <t>TX0016-009</t>
  </si>
  <si>
    <t>TX0016-010</t>
  </si>
  <si>
    <t>TX0016-011</t>
  </si>
  <si>
    <t>TX0016-012</t>
  </si>
  <si>
    <t>TX0016-013</t>
  </si>
  <si>
    <t>TX0016-014</t>
  </si>
  <si>
    <t>TX0016-015</t>
  </si>
  <si>
    <t>TX0016-016</t>
  </si>
  <si>
    <t>TX0016-017</t>
  </si>
  <si>
    <t>TX0016-018</t>
  </si>
  <si>
    <t>TX0016-019</t>
  </si>
  <si>
    <t>TX0016-020</t>
  </si>
  <si>
    <t>TX0016-021</t>
  </si>
  <si>
    <t>TX0016-022</t>
  </si>
  <si>
    <t>TX0016-023</t>
  </si>
  <si>
    <t>TX0016-024</t>
  </si>
  <si>
    <t>TX0016-025</t>
  </si>
  <si>
    <t>TX0017-001</t>
  </si>
  <si>
    <t>PRJ0017</t>
  </si>
  <si>
    <t>TX0017-002</t>
  </si>
  <si>
    <t>TX0017-003</t>
  </si>
  <si>
    <t>TX0017-004</t>
  </si>
  <si>
    <t>TX0017-005</t>
  </si>
  <si>
    <t>TX0017-006</t>
  </si>
  <si>
    <t>TX0017-007</t>
  </si>
  <si>
    <t>TX0017-008</t>
  </si>
  <si>
    <t>TX0017-009</t>
  </si>
  <si>
    <t>TX0017-010</t>
  </si>
  <si>
    <t>TX0017-011</t>
  </si>
  <si>
    <t>TX0017-012</t>
  </si>
  <si>
    <t>TX0017-013</t>
  </si>
  <si>
    <t>TX0017-014</t>
  </si>
  <si>
    <t>TX0017-015</t>
  </si>
  <si>
    <t>TX0017-016</t>
  </si>
  <si>
    <t>TX0017-017</t>
  </si>
  <si>
    <t>TX0017-018</t>
  </si>
  <si>
    <t>TX0017-019</t>
  </si>
  <si>
    <t>TX0017-020</t>
  </si>
  <si>
    <t>TX0017-021</t>
  </si>
  <si>
    <t>TX0017-022</t>
  </si>
  <si>
    <t>TX0017-023</t>
  </si>
  <si>
    <t>TX0017-024</t>
  </si>
  <si>
    <t>TX0017-025</t>
  </si>
  <si>
    <t>TX0017-026</t>
  </si>
  <si>
    <t>TX0017-027</t>
  </si>
  <si>
    <t>TX0017-028</t>
  </si>
  <si>
    <t>TX0017-029</t>
  </si>
  <si>
    <t>TX0017-030</t>
  </si>
  <si>
    <t>TX0017-031</t>
  </si>
  <si>
    <t>TX0017-032</t>
  </si>
  <si>
    <t>TX0017-033</t>
  </si>
  <si>
    <t>TX0017-034</t>
  </si>
  <si>
    <t>TX0017-035</t>
  </si>
  <si>
    <t>TX0017-036</t>
  </si>
  <si>
    <t>TX0017-037</t>
  </si>
  <si>
    <t>TX0017-038</t>
  </si>
  <si>
    <t>TX0017-039</t>
  </si>
  <si>
    <t>TX0017-040</t>
  </si>
  <si>
    <t>TX0017-041</t>
  </si>
  <si>
    <t>TX0017-042</t>
  </si>
  <si>
    <t>TX0017-043</t>
  </si>
  <si>
    <t>TX0017-044</t>
  </si>
  <si>
    <t>TX0017-045</t>
  </si>
  <si>
    <t>TX0017-046</t>
  </si>
  <si>
    <t>TX0017-047</t>
  </si>
  <si>
    <t>TX0018-001</t>
  </si>
  <si>
    <t>PRJ0018</t>
  </si>
  <si>
    <t>TX0018-002</t>
  </si>
  <si>
    <t>TX0018-003</t>
  </si>
  <si>
    <t>TX0018-004</t>
  </si>
  <si>
    <t>TX0018-005</t>
  </si>
  <si>
    <t>TX0018-006</t>
  </si>
  <si>
    <t>TX0018-007</t>
  </si>
  <si>
    <t>TX0018-008</t>
  </si>
  <si>
    <t>TX0018-009</t>
  </si>
  <si>
    <t>TX0018-010</t>
  </si>
  <si>
    <t>TX0018-011</t>
  </si>
  <si>
    <t>TX0018-012</t>
  </si>
  <si>
    <t>TX0018-013</t>
  </si>
  <si>
    <t>TX0018-014</t>
  </si>
  <si>
    <t>TX0018-015</t>
  </si>
  <si>
    <t>TX0018-016</t>
  </si>
  <si>
    <t>TX0018-017</t>
  </si>
  <si>
    <t>TX0018-018</t>
  </si>
  <si>
    <t>TX0018-019</t>
  </si>
  <si>
    <t>TX0018-020</t>
  </si>
  <si>
    <t>TX0018-021</t>
  </si>
  <si>
    <t>TX0018-022</t>
  </si>
  <si>
    <t>TX0018-023</t>
  </si>
  <si>
    <t>TX0018-024</t>
  </si>
  <si>
    <t>TX0018-025</t>
  </si>
  <si>
    <t>TX0018-026</t>
  </si>
  <si>
    <t>TX0018-027</t>
  </si>
  <si>
    <t>TX0018-028</t>
  </si>
  <si>
    <t>TX0018-029</t>
  </si>
  <si>
    <t>TX0018-030</t>
  </si>
  <si>
    <t>TX0018-031</t>
  </si>
  <si>
    <t>TX0018-032</t>
  </si>
  <si>
    <t>TX0018-033</t>
  </si>
  <si>
    <t>TX0018-034</t>
  </si>
  <si>
    <t>TX0018-035</t>
  </si>
  <si>
    <t>TX0018-036</t>
  </si>
  <si>
    <t>TX0018-037</t>
  </si>
  <si>
    <t>TX0018-038</t>
  </si>
  <si>
    <t>TX0018-039</t>
  </si>
  <si>
    <t>TX0018-040</t>
  </si>
  <si>
    <t>TX0018-041</t>
  </si>
  <si>
    <t>TX0018-042</t>
  </si>
  <si>
    <t>TX0018-043</t>
  </si>
  <si>
    <t>TX0018-044</t>
  </si>
  <si>
    <t>TX0018-045</t>
  </si>
  <si>
    <t>TX0018-046</t>
  </si>
  <si>
    <t>TX0018-047</t>
  </si>
  <si>
    <t>TX0018-048</t>
  </si>
  <si>
    <t>TX0018-049</t>
  </si>
  <si>
    <t>TX0018-050</t>
  </si>
  <si>
    <t>TX0018-051</t>
  </si>
  <si>
    <t>TX0018-052</t>
  </si>
  <si>
    <t>TX0018-053</t>
  </si>
  <si>
    <t>TX0018-054</t>
  </si>
  <si>
    <t>TX0018-055</t>
  </si>
  <si>
    <t>TX0018-056</t>
  </si>
  <si>
    <t>TX0018-057</t>
  </si>
  <si>
    <t>TX0018-058</t>
  </si>
  <si>
    <t>TX0018-059</t>
  </si>
  <si>
    <t>TX0018-060</t>
  </si>
  <si>
    <t>TX0019-001</t>
  </si>
  <si>
    <t>PRJ0019</t>
  </si>
  <si>
    <t>TX0019-002</t>
  </si>
  <si>
    <t>TX0019-003</t>
  </si>
  <si>
    <t>TX0019-004</t>
  </si>
  <si>
    <t>TX0019-005</t>
  </si>
  <si>
    <t>TX0019-006</t>
  </si>
  <si>
    <t>TX0019-007</t>
  </si>
  <si>
    <t>TX0019-008</t>
  </si>
  <si>
    <t>TX0019-009</t>
  </si>
  <si>
    <t>TX0019-010</t>
  </si>
  <si>
    <t>TX0019-011</t>
  </si>
  <si>
    <t>TX0019-012</t>
  </si>
  <si>
    <t>TX0019-013</t>
  </si>
  <si>
    <t>TX0019-014</t>
  </si>
  <si>
    <t>TX0019-015</t>
  </si>
  <si>
    <t>TX0019-016</t>
  </si>
  <si>
    <t>TX0019-017</t>
  </si>
  <si>
    <t>TX0020-001</t>
  </si>
  <si>
    <t>PRJ0020</t>
  </si>
  <si>
    <t>TX0020-002</t>
  </si>
  <si>
    <t>TX0020-003</t>
  </si>
  <si>
    <t>TX0020-004</t>
  </si>
  <si>
    <t>TX0020-005</t>
  </si>
  <si>
    <t>TX0020-006</t>
  </si>
  <si>
    <t>TX0020-007</t>
  </si>
  <si>
    <t>TX0020-008</t>
  </si>
  <si>
    <t>TX0020-009</t>
  </si>
  <si>
    <t>TX0020-010</t>
  </si>
  <si>
    <t>TX0020-011</t>
  </si>
  <si>
    <t>TX0020-012</t>
  </si>
  <si>
    <t>TX0020-013</t>
  </si>
  <si>
    <t>TX0020-014</t>
  </si>
  <si>
    <t>TX0020-015</t>
  </si>
  <si>
    <t>TX0020-016</t>
  </si>
  <si>
    <t>TX0020-017</t>
  </si>
  <si>
    <t>TX0020-018</t>
  </si>
  <si>
    <t>TX0020-019</t>
  </si>
  <si>
    <t>TX0020-020</t>
  </si>
  <si>
    <t>TX0020-021</t>
  </si>
  <si>
    <t>TX0020-022</t>
  </si>
  <si>
    <t>TX0020-023</t>
  </si>
  <si>
    <t>TX0020-024</t>
  </si>
  <si>
    <t>TX0020-025</t>
  </si>
  <si>
    <t>TX0021-001</t>
  </si>
  <si>
    <t>PRJ0021</t>
  </si>
  <si>
    <t>TX0021-002</t>
  </si>
  <si>
    <t>TX0021-003</t>
  </si>
  <si>
    <t>TX0021-004</t>
  </si>
  <si>
    <t>TX0021-005</t>
  </si>
  <si>
    <t>TX0021-006</t>
  </si>
  <si>
    <t>TX0021-007</t>
  </si>
  <si>
    <t>TX0021-008</t>
  </si>
  <si>
    <t>TX0021-009</t>
  </si>
  <si>
    <t>TX0021-010</t>
  </si>
  <si>
    <t>TX0021-011</t>
  </si>
  <si>
    <t>TX0021-012</t>
  </si>
  <si>
    <t>TX0021-013</t>
  </si>
  <si>
    <t>TX0021-014</t>
  </si>
  <si>
    <t>TX0021-015</t>
  </si>
  <si>
    <t>TX0021-016</t>
  </si>
  <si>
    <t>TX0021-017</t>
  </si>
  <si>
    <t>TX0022-001</t>
  </si>
  <si>
    <t>PRJ0022</t>
  </si>
  <si>
    <t>TX0022-002</t>
  </si>
  <si>
    <t>TX0022-003</t>
  </si>
  <si>
    <t>TX0022-004</t>
  </si>
  <si>
    <t>TX0022-005</t>
  </si>
  <si>
    <t>TX0022-006</t>
  </si>
  <si>
    <t>TX0022-007</t>
  </si>
  <si>
    <t>TX0022-008</t>
  </si>
  <si>
    <t>TX0022-009</t>
  </si>
  <si>
    <t>TX0022-010</t>
  </si>
  <si>
    <t>TX0022-011</t>
  </si>
  <si>
    <t>TX0022-012</t>
  </si>
  <si>
    <t>TX0022-013</t>
  </si>
  <si>
    <t>TX0022-014</t>
  </si>
  <si>
    <t>TX0022-015</t>
  </si>
  <si>
    <t>TX0022-016</t>
  </si>
  <si>
    <t>TX0022-017</t>
  </si>
  <si>
    <t>TX0022-018</t>
  </si>
  <si>
    <t>TX0022-019</t>
  </si>
  <si>
    <t>TX0022-020</t>
  </si>
  <si>
    <t>TX0022-021</t>
  </si>
  <si>
    <t>TX0022-022</t>
  </si>
  <si>
    <t>TX0022-023</t>
  </si>
  <si>
    <t>TX0022-024</t>
  </si>
  <si>
    <t>TX0022-025</t>
  </si>
  <si>
    <t>TX0022-026</t>
  </si>
  <si>
    <t>TX0022-027</t>
  </si>
  <si>
    <t>TX0022-028</t>
  </si>
  <si>
    <t>TX0022-029</t>
  </si>
  <si>
    <t>TX0022-030</t>
  </si>
  <si>
    <t>TX0022-031</t>
  </si>
  <si>
    <t>TX0022-032</t>
  </si>
  <si>
    <t>TX0022-033</t>
  </si>
  <si>
    <t>TX0022-034</t>
  </si>
  <si>
    <t>TX0022-035</t>
  </si>
  <si>
    <t>TX0022-036</t>
  </si>
  <si>
    <t>TX0022-037</t>
  </si>
  <si>
    <t>TX0022-038</t>
  </si>
  <si>
    <t>TX0022-039</t>
  </si>
  <si>
    <t>TX0022-040</t>
  </si>
  <si>
    <t>TX0022-041</t>
  </si>
  <si>
    <t>TX0022-042</t>
  </si>
  <si>
    <t>TX0022-043</t>
  </si>
  <si>
    <t>TX0022-044</t>
  </si>
  <si>
    <t>TX0022-045</t>
  </si>
  <si>
    <t>TX0022-046</t>
  </si>
  <si>
    <t>TX0022-047</t>
  </si>
  <si>
    <t>TX0022-048</t>
  </si>
  <si>
    <t>TX0022-049</t>
  </si>
  <si>
    <t>TX0022-050</t>
  </si>
  <si>
    <t>TX0022-051</t>
  </si>
  <si>
    <t>TX0022-052</t>
  </si>
  <si>
    <t>TX0022-053</t>
  </si>
  <si>
    <t>TX0022-054</t>
  </si>
  <si>
    <t>TX0022-055</t>
  </si>
  <si>
    <t>TX0022-056</t>
  </si>
  <si>
    <t>TX0022-057</t>
  </si>
  <si>
    <t>TX0022-058</t>
  </si>
  <si>
    <t>TX0022-059</t>
  </si>
  <si>
    <t>TX0022-060</t>
  </si>
  <si>
    <t>TX0023-001</t>
  </si>
  <si>
    <t>PRJ0023</t>
  </si>
  <si>
    <t>TX0023-002</t>
  </si>
  <si>
    <t>TX0023-003</t>
  </si>
  <si>
    <t>TX0023-004</t>
  </si>
  <si>
    <t>TX0023-005</t>
  </si>
  <si>
    <t>TX0023-006</t>
  </si>
  <si>
    <t>TX0023-007</t>
  </si>
  <si>
    <t>TX0023-008</t>
  </si>
  <si>
    <t>TX0023-009</t>
  </si>
  <si>
    <t>TX0023-010</t>
  </si>
  <si>
    <t>TX0023-011</t>
  </si>
  <si>
    <t>TX0023-012</t>
  </si>
  <si>
    <t>TX0023-013</t>
  </si>
  <si>
    <t>TX0023-014</t>
  </si>
  <si>
    <t>TX0023-015</t>
  </si>
  <si>
    <t>TX0023-016</t>
  </si>
  <si>
    <t>TX0023-017</t>
  </si>
  <si>
    <t>TX0023-018</t>
  </si>
  <si>
    <t>TX0023-019</t>
  </si>
  <si>
    <t>TX0023-020</t>
  </si>
  <si>
    <t>TX0023-021</t>
  </si>
  <si>
    <t>TX0023-022</t>
  </si>
  <si>
    <t>TX0023-023</t>
  </si>
  <si>
    <t>TX0023-024</t>
  </si>
  <si>
    <t>TX0023-025</t>
  </si>
  <si>
    <t>TX0023-026</t>
  </si>
  <si>
    <t>TX0023-027</t>
  </si>
  <si>
    <t>TX0023-028</t>
  </si>
  <si>
    <t>TX0023-029</t>
  </si>
  <si>
    <t>TX0023-030</t>
  </si>
  <si>
    <t>TX0023-031</t>
  </si>
  <si>
    <t>TX0023-032</t>
  </si>
  <si>
    <t>TX0023-033</t>
  </si>
  <si>
    <t>TX0023-034</t>
  </si>
  <si>
    <t>TX0023-035</t>
  </si>
  <si>
    <t>TX0023-036</t>
  </si>
  <si>
    <t>TX0023-037</t>
  </si>
  <si>
    <t>TX0023-038</t>
  </si>
  <si>
    <t>TX0023-039</t>
  </si>
  <si>
    <t>TX0023-040</t>
  </si>
  <si>
    <t>TX0023-041</t>
  </si>
  <si>
    <t>TX0023-042</t>
  </si>
  <si>
    <t>TX0023-043</t>
  </si>
  <si>
    <t>TX0023-044</t>
  </si>
  <si>
    <t>TX0023-045</t>
  </si>
  <si>
    <t>TX0024-001</t>
  </si>
  <si>
    <t>PRJ0024</t>
  </si>
  <si>
    <t>TX0024-002</t>
  </si>
  <si>
    <t>TX0024-003</t>
  </si>
  <si>
    <t>TX0024-004</t>
  </si>
  <si>
    <t>TX0024-005</t>
  </si>
  <si>
    <t>TX0024-006</t>
  </si>
  <si>
    <t>TX0024-007</t>
  </si>
  <si>
    <t>TX0024-008</t>
  </si>
  <si>
    <t>TX0024-009</t>
  </si>
  <si>
    <t>TX0024-010</t>
  </si>
  <si>
    <t>TX0024-011</t>
  </si>
  <si>
    <t>TX0024-012</t>
  </si>
  <si>
    <t>TX0024-013</t>
  </si>
  <si>
    <t>TX0024-014</t>
  </si>
  <si>
    <t>TX0024-015</t>
  </si>
  <si>
    <t>TX0024-016</t>
  </si>
  <si>
    <t>TX0024-017</t>
  </si>
  <si>
    <t>TX0024-018</t>
  </si>
  <si>
    <t>TX0024-019</t>
  </si>
  <si>
    <t>TX0024-020</t>
  </si>
  <si>
    <t>TX0024-021</t>
  </si>
  <si>
    <t>TX0024-022</t>
  </si>
  <si>
    <t>TX0024-023</t>
  </si>
  <si>
    <t>TX0024-024</t>
  </si>
  <si>
    <t>TX0024-025</t>
  </si>
  <si>
    <t>TX0024-026</t>
  </si>
  <si>
    <t>TX0024-027</t>
  </si>
  <si>
    <t>TX0024-028</t>
  </si>
  <si>
    <t>TX0024-029</t>
  </si>
  <si>
    <t>TX0024-030</t>
  </si>
  <si>
    <t>TX0024-031</t>
  </si>
  <si>
    <t>TX0024-032</t>
  </si>
  <si>
    <t>TX0024-033</t>
  </si>
  <si>
    <t>TX0024-034</t>
  </si>
  <si>
    <t>TX0024-035</t>
  </si>
  <si>
    <t>TX0024-036</t>
  </si>
  <si>
    <t>TX0024-037</t>
  </si>
  <si>
    <t>TX0024-038</t>
  </si>
  <si>
    <t>TX0024-039</t>
  </si>
  <si>
    <t>TX0024-040</t>
  </si>
  <si>
    <t>TX0024-041</t>
  </si>
  <si>
    <t>TX0024-042</t>
  </si>
  <si>
    <t>TX0024-043</t>
  </si>
  <si>
    <t>TX0024-044</t>
  </si>
  <si>
    <t>TX0024-045</t>
  </si>
  <si>
    <t>TX0024-046</t>
  </si>
  <si>
    <t>TX0024-047</t>
  </si>
  <si>
    <t>TX0024-048</t>
  </si>
  <si>
    <t>TX0024-049</t>
  </si>
  <si>
    <t>TX0024-050</t>
  </si>
  <si>
    <t>TX0024-051</t>
  </si>
  <si>
    <t>TX0024-052</t>
  </si>
  <si>
    <t>TX0024-053</t>
  </si>
  <si>
    <t>TX0024-054</t>
  </si>
  <si>
    <t>TX0024-055</t>
  </si>
  <si>
    <t>TX0024-056</t>
  </si>
  <si>
    <t>TX0024-057</t>
  </si>
  <si>
    <t>TX0024-058</t>
  </si>
  <si>
    <t>TX0024-059</t>
  </si>
  <si>
    <t>TX0024-060</t>
  </si>
  <si>
    <t>TX0025-001</t>
  </si>
  <si>
    <t>PRJ0025</t>
  </si>
  <si>
    <t>TX0025-002</t>
  </si>
  <si>
    <t>TX0025-003</t>
  </si>
  <si>
    <t>TX0025-004</t>
  </si>
  <si>
    <t>TX0025-005</t>
  </si>
  <si>
    <t>TX0025-006</t>
  </si>
  <si>
    <t>TX0025-007</t>
  </si>
  <si>
    <t>TX0025-008</t>
  </si>
  <si>
    <t>TX0025-009</t>
  </si>
  <si>
    <t>TX0025-010</t>
  </si>
  <si>
    <t>TX0025-011</t>
  </si>
  <si>
    <t>TX0025-012</t>
  </si>
  <si>
    <t>TX0025-013</t>
  </si>
  <si>
    <t>TX0025-014</t>
  </si>
  <si>
    <t>TX0025-015</t>
  </si>
  <si>
    <t>TX0025-016</t>
  </si>
  <si>
    <t>TX0025-017</t>
  </si>
  <si>
    <t>TX0025-018</t>
  </si>
  <si>
    <t>TX0025-019</t>
  </si>
  <si>
    <t>TX0025-020</t>
  </si>
  <si>
    <t>TX0025-021</t>
  </si>
  <si>
    <t>TX0025-022</t>
  </si>
  <si>
    <t>TX0025-023</t>
  </si>
  <si>
    <t>TX0025-024</t>
  </si>
  <si>
    <t>TX0025-025</t>
  </si>
  <si>
    <t>TX0026-001</t>
  </si>
  <si>
    <t>PRJ0026</t>
  </si>
  <si>
    <t>TX0026-002</t>
  </si>
  <si>
    <t>TX0026-003</t>
  </si>
  <si>
    <t>TX0026-004</t>
  </si>
  <si>
    <t>TX0026-005</t>
  </si>
  <si>
    <t>TX0026-006</t>
  </si>
  <si>
    <t>TX0026-007</t>
  </si>
  <si>
    <t>TX0026-008</t>
  </si>
  <si>
    <t>TX0026-009</t>
  </si>
  <si>
    <t>TX0026-010</t>
  </si>
  <si>
    <t>TX0026-011</t>
  </si>
  <si>
    <t>TX0026-012</t>
  </si>
  <si>
    <t>TX0026-013</t>
  </si>
  <si>
    <t>TX0026-014</t>
  </si>
  <si>
    <t>TX0026-015</t>
  </si>
  <si>
    <t>TX0026-016</t>
  </si>
  <si>
    <t>TX0026-017</t>
  </si>
  <si>
    <t>TX0026-018</t>
  </si>
  <si>
    <t>TX0026-019</t>
  </si>
  <si>
    <t>TX0026-020</t>
  </si>
  <si>
    <t>TX0026-021</t>
  </si>
  <si>
    <t>TX0026-022</t>
  </si>
  <si>
    <t>TX0026-023</t>
  </si>
  <si>
    <t>TX0026-024</t>
  </si>
  <si>
    <t>TX0026-025</t>
  </si>
  <si>
    <t>TX0026-026</t>
  </si>
  <si>
    <t>TX0026-027</t>
  </si>
  <si>
    <t>TX0026-028</t>
  </si>
  <si>
    <t>TX0026-029</t>
  </si>
  <si>
    <t>TX0026-030</t>
  </si>
  <si>
    <t>TX0026-031</t>
  </si>
  <si>
    <t>TX0026-032</t>
  </si>
  <si>
    <t>TX0026-033</t>
  </si>
  <si>
    <t>TX0026-034</t>
  </si>
  <si>
    <t>TX0026-035</t>
  </si>
  <si>
    <t>TX0027-001</t>
  </si>
  <si>
    <t>PRJ0027</t>
  </si>
  <si>
    <t>TX0027-002</t>
  </si>
  <si>
    <t>TX0027-003</t>
  </si>
  <si>
    <t>TX0027-004</t>
  </si>
  <si>
    <t>TX0027-005</t>
  </si>
  <si>
    <t>TX0027-006</t>
  </si>
  <si>
    <t>TX0027-007</t>
  </si>
  <si>
    <t>TX0027-008</t>
  </si>
  <si>
    <t>TX0027-009</t>
  </si>
  <si>
    <t>TX0027-010</t>
  </si>
  <si>
    <t>TX0027-011</t>
  </si>
  <si>
    <t>TX0027-012</t>
  </si>
  <si>
    <t>TX0027-013</t>
  </si>
  <si>
    <t>TX0027-014</t>
  </si>
  <si>
    <t>TX0027-015</t>
  </si>
  <si>
    <t>TX0027-016</t>
  </si>
  <si>
    <t>TX0027-017</t>
  </si>
  <si>
    <t>TX0027-018</t>
  </si>
  <si>
    <t>TX0027-019</t>
  </si>
  <si>
    <t>TX0027-020</t>
  </si>
  <si>
    <t>TX0027-021</t>
  </si>
  <si>
    <t>TX0027-022</t>
  </si>
  <si>
    <t>TX0028-001</t>
  </si>
  <si>
    <t>PRJ0028</t>
  </si>
  <si>
    <t>TX0028-002</t>
  </si>
  <si>
    <t>TX0028-003</t>
  </si>
  <si>
    <t>TX0028-004</t>
  </si>
  <si>
    <t>TX0028-005</t>
  </si>
  <si>
    <t>TX0028-006</t>
  </si>
  <si>
    <t>TX0028-007</t>
  </si>
  <si>
    <t>TX0028-008</t>
  </si>
  <si>
    <t>TX0028-009</t>
  </si>
  <si>
    <t>TX0028-010</t>
  </si>
  <si>
    <t>TX0028-011</t>
  </si>
  <si>
    <t>TX0028-012</t>
  </si>
  <si>
    <t>TX0028-013</t>
  </si>
  <si>
    <t>TX0028-014</t>
  </si>
  <si>
    <t>TX0028-015</t>
  </si>
  <si>
    <t>TX0028-016</t>
  </si>
  <si>
    <t>TX0028-017</t>
  </si>
  <si>
    <t>TX0028-018</t>
  </si>
  <si>
    <t>TX0028-019</t>
  </si>
  <si>
    <t>TX0028-020</t>
  </si>
  <si>
    <t>TX0028-021</t>
  </si>
  <si>
    <t>TX0028-022</t>
  </si>
  <si>
    <t>TX0029-001</t>
  </si>
  <si>
    <t>PRJ0029</t>
  </si>
  <si>
    <t>TX0029-002</t>
  </si>
  <si>
    <t>TX0029-003</t>
  </si>
  <si>
    <t>TX0029-004</t>
  </si>
  <si>
    <t>TX0029-005</t>
  </si>
  <si>
    <t>TX0029-006</t>
  </si>
  <si>
    <t>TX0029-007</t>
  </si>
  <si>
    <t>TX0029-008</t>
  </si>
  <si>
    <t>TX0029-009</t>
  </si>
  <si>
    <t>TX0029-010</t>
  </si>
  <si>
    <t>TX0029-011</t>
  </si>
  <si>
    <t>TX0029-012</t>
  </si>
  <si>
    <t>TX0029-013</t>
  </si>
  <si>
    <t>TX0029-014</t>
  </si>
  <si>
    <t>TX0029-015</t>
  </si>
  <si>
    <t>TX0029-016</t>
  </si>
  <si>
    <t>TX0029-017</t>
  </si>
  <si>
    <t>TX0029-018</t>
  </si>
  <si>
    <t>TX0029-019</t>
  </si>
  <si>
    <t>TX0029-020</t>
  </si>
  <si>
    <t>TX0029-021</t>
  </si>
  <si>
    <t>TX0029-022</t>
  </si>
  <si>
    <t>TX0029-023</t>
  </si>
  <si>
    <t>TX0029-024</t>
  </si>
  <si>
    <t>TX0029-025</t>
  </si>
  <si>
    <t>TX0029-026</t>
  </si>
  <si>
    <t>TX0029-027</t>
  </si>
  <si>
    <t>TX0029-028</t>
  </si>
  <si>
    <t>TX0029-029</t>
  </si>
  <si>
    <t>TX0029-030</t>
  </si>
  <si>
    <t>TX0029-031</t>
  </si>
  <si>
    <t>TX0029-032</t>
  </si>
  <si>
    <t>TX0029-033</t>
  </si>
  <si>
    <t>TX0029-034</t>
  </si>
  <si>
    <t>TX0029-035</t>
  </si>
  <si>
    <t>TX0029-036</t>
  </si>
  <si>
    <t>TX0029-037</t>
  </si>
  <si>
    <t>TX0030-001</t>
  </si>
  <si>
    <t>PRJ0030</t>
  </si>
  <si>
    <t>TX0030-002</t>
  </si>
  <si>
    <t>TX0030-003</t>
  </si>
  <si>
    <t>TX0030-004</t>
  </si>
  <si>
    <t>TX0030-005</t>
  </si>
  <si>
    <t>TX0030-006</t>
  </si>
  <si>
    <t>TX0030-007</t>
  </si>
  <si>
    <t>TX0030-008</t>
  </si>
  <si>
    <t>TX0030-009</t>
  </si>
  <si>
    <t>TX0030-010</t>
  </si>
  <si>
    <t>TX0030-011</t>
  </si>
  <si>
    <t>TX0030-012</t>
  </si>
  <si>
    <t>TX0030-013</t>
  </si>
  <si>
    <t>TX0030-014</t>
  </si>
  <si>
    <t>TX0030-015</t>
  </si>
  <si>
    <t>TX0030-016</t>
  </si>
  <si>
    <t>TX0030-017</t>
  </si>
  <si>
    <t>TX0030-018</t>
  </si>
  <si>
    <t>TX0030-019</t>
  </si>
  <si>
    <t>TX0030-020</t>
  </si>
  <si>
    <t>TX0030-021</t>
  </si>
  <si>
    <t>TX0030-022</t>
  </si>
  <si>
    <t>TX0030-023</t>
  </si>
  <si>
    <t>TX0030-024</t>
  </si>
  <si>
    <t>TX0030-025</t>
  </si>
  <si>
    <t>TX0030-026</t>
  </si>
  <si>
    <t>TX0030-027</t>
  </si>
  <si>
    <t>TX0030-028</t>
  </si>
  <si>
    <t>TX0030-029</t>
  </si>
  <si>
    <t>TX0030-030</t>
  </si>
  <si>
    <t>TX0030-031</t>
  </si>
  <si>
    <t>TX0030-032</t>
  </si>
  <si>
    <t>TX0030-033</t>
  </si>
  <si>
    <t>TX0030-034</t>
  </si>
  <si>
    <t>TX0030-035</t>
  </si>
  <si>
    <t>TX0030-036</t>
  </si>
  <si>
    <t>TX0030-037</t>
  </si>
  <si>
    <t>TX0030-038</t>
  </si>
  <si>
    <t>TX0030-039</t>
  </si>
  <si>
    <t>TX0030-040</t>
  </si>
  <si>
    <t>TX0030-041</t>
  </si>
  <si>
    <t>TX0030-042</t>
  </si>
  <si>
    <t>TX0030-043</t>
  </si>
  <si>
    <t>TX0030-044</t>
  </si>
  <si>
    <t>TX0030-045</t>
  </si>
  <si>
    <t>TX0030-046</t>
  </si>
  <si>
    <t>TX0030-047</t>
  </si>
  <si>
    <t>TX0030-048</t>
  </si>
  <si>
    <t>TX0030-049</t>
  </si>
  <si>
    <t>TX0030-050</t>
  </si>
  <si>
    <t>TX0030-051</t>
  </si>
  <si>
    <t>TX0030-052</t>
  </si>
  <si>
    <t>TX0030-053</t>
  </si>
  <si>
    <t>TX0030-054</t>
  </si>
  <si>
    <t>TX0030-055</t>
  </si>
  <si>
    <t>TX0030-056</t>
  </si>
  <si>
    <t>TX0030-057</t>
  </si>
  <si>
    <t>TX0030-058</t>
  </si>
  <si>
    <t>TX0030-059</t>
  </si>
  <si>
    <t>TX0030-060</t>
  </si>
  <si>
    <t>TX0031-001</t>
  </si>
  <si>
    <t>PRJ0031</t>
  </si>
  <si>
    <t>TX0031-002</t>
  </si>
  <si>
    <t>TX0031-003</t>
  </si>
  <si>
    <t>TX0031-004</t>
  </si>
  <si>
    <t>TX0031-005</t>
  </si>
  <si>
    <t>TX0031-006</t>
  </si>
  <si>
    <t>TX0031-007</t>
  </si>
  <si>
    <t>TX0031-008</t>
  </si>
  <si>
    <t>TX0031-009</t>
  </si>
  <si>
    <t>TX0031-010</t>
  </si>
  <si>
    <t>TX0031-011</t>
  </si>
  <si>
    <t>TX0031-012</t>
  </si>
  <si>
    <t>TX0031-013</t>
  </si>
  <si>
    <t>TX0031-014</t>
  </si>
  <si>
    <t>TX0031-015</t>
  </si>
  <si>
    <t>TX0031-016</t>
  </si>
  <si>
    <t>TX0031-017</t>
  </si>
  <si>
    <t>TX0031-018</t>
  </si>
  <si>
    <t>TX0031-019</t>
  </si>
  <si>
    <t>TX0031-020</t>
  </si>
  <si>
    <t>TX0031-021</t>
  </si>
  <si>
    <t>TX0031-022</t>
  </si>
  <si>
    <t>TX0031-023</t>
  </si>
  <si>
    <t>TX0031-024</t>
  </si>
  <si>
    <t>TX0031-025</t>
  </si>
  <si>
    <t>TX0031-026</t>
  </si>
  <si>
    <t>TX0031-027</t>
  </si>
  <si>
    <t>TX0031-028</t>
  </si>
  <si>
    <t>TX0031-029</t>
  </si>
  <si>
    <t>TX0031-030</t>
  </si>
  <si>
    <t>TX0031-031</t>
  </si>
  <si>
    <t>TX0031-032</t>
  </si>
  <si>
    <t>TX0031-033</t>
  </si>
  <si>
    <t>TX0031-034</t>
  </si>
  <si>
    <t>TX0031-035</t>
  </si>
  <si>
    <t>TX0031-036</t>
  </si>
  <si>
    <t>TX0031-037</t>
  </si>
  <si>
    <t>TX0031-038</t>
  </si>
  <si>
    <t>TX0031-039</t>
  </si>
  <si>
    <t>TX0031-040</t>
  </si>
  <si>
    <t>TX0031-041</t>
  </si>
  <si>
    <t>TX0031-042</t>
  </si>
  <si>
    <t>TX0031-043</t>
  </si>
  <si>
    <t>TX0031-044</t>
  </si>
  <si>
    <t>TX0031-045</t>
  </si>
  <si>
    <t>TX0031-046</t>
  </si>
  <si>
    <t>TX0031-047</t>
  </si>
  <si>
    <t>TX0032-001</t>
  </si>
  <si>
    <t>PRJ0032</t>
  </si>
  <si>
    <t>TX0032-002</t>
  </si>
  <si>
    <t>TX0032-003</t>
  </si>
  <si>
    <t>TX0032-004</t>
  </si>
  <si>
    <t>TX0032-005</t>
  </si>
  <si>
    <t>TX0032-006</t>
  </si>
  <si>
    <t>TX0032-007</t>
  </si>
  <si>
    <t>TX0032-008</t>
  </si>
  <si>
    <t>TX0032-009</t>
  </si>
  <si>
    <t>TX0032-010</t>
  </si>
  <si>
    <t>TX0032-011</t>
  </si>
  <si>
    <t>TX0032-012</t>
  </si>
  <si>
    <t>TX0032-013</t>
  </si>
  <si>
    <t>TX0032-014</t>
  </si>
  <si>
    <t>TX0032-015</t>
  </si>
  <si>
    <t>TX0032-016</t>
  </si>
  <si>
    <t>TX0032-017</t>
  </si>
  <si>
    <t>TX0032-018</t>
  </si>
  <si>
    <t>TX0032-019</t>
  </si>
  <si>
    <t>TX0032-020</t>
  </si>
  <si>
    <t>TX0032-021</t>
  </si>
  <si>
    <t>TX0032-022</t>
  </si>
  <si>
    <t>TX0032-023</t>
  </si>
  <si>
    <t>TX0032-024</t>
  </si>
  <si>
    <t>TX0032-025</t>
  </si>
  <si>
    <t>TX0032-026</t>
  </si>
  <si>
    <t>TX0032-027</t>
  </si>
  <si>
    <t>TX0032-028</t>
  </si>
  <si>
    <t>TX0032-029</t>
  </si>
  <si>
    <t>TX0032-030</t>
  </si>
  <si>
    <t>TX0032-031</t>
  </si>
  <si>
    <t>TX0032-032</t>
  </si>
  <si>
    <t>TX0032-033</t>
  </si>
  <si>
    <t>TX0032-034</t>
  </si>
  <si>
    <t>TX0032-035</t>
  </si>
  <si>
    <t>TX0032-036</t>
  </si>
  <si>
    <t>TX0032-037</t>
  </si>
  <si>
    <t>TX0032-038</t>
  </si>
  <si>
    <t>TX0032-039</t>
  </si>
  <si>
    <t>TX0032-040</t>
  </si>
  <si>
    <t>TX0032-041</t>
  </si>
  <si>
    <t>TX0032-042</t>
  </si>
  <si>
    <t>TX0032-043</t>
  </si>
  <si>
    <t>TX0032-044</t>
  </si>
  <si>
    <t>TX0032-045</t>
  </si>
  <si>
    <t>TX0032-046</t>
  </si>
  <si>
    <t>TX0032-047</t>
  </si>
  <si>
    <t>TX0032-048</t>
  </si>
  <si>
    <t>TX0032-049</t>
  </si>
  <si>
    <t>TX0032-050</t>
  </si>
  <si>
    <t>TX0032-051</t>
  </si>
  <si>
    <t>TX0032-052</t>
  </si>
  <si>
    <t>TX0032-053</t>
  </si>
  <si>
    <t>TX0032-054</t>
  </si>
  <si>
    <t>TX0032-055</t>
  </si>
  <si>
    <t>TX0032-056</t>
  </si>
  <si>
    <t>TX0032-057</t>
  </si>
  <si>
    <t>TX0033-001</t>
  </si>
  <si>
    <t>PRJ0033</t>
  </si>
  <si>
    <t>TX0033-002</t>
  </si>
  <si>
    <t>TX0033-003</t>
  </si>
  <si>
    <t>TX0033-004</t>
  </si>
  <si>
    <t>TX0033-005</t>
  </si>
  <si>
    <t>TX0033-006</t>
  </si>
  <si>
    <t>TX0033-007</t>
  </si>
  <si>
    <t>TX0033-008</t>
  </si>
  <si>
    <t>TX0033-009</t>
  </si>
  <si>
    <t>TX0033-010</t>
  </si>
  <si>
    <t>TX0033-011</t>
  </si>
  <si>
    <t>TX0033-012</t>
  </si>
  <si>
    <t>TX0033-013</t>
  </si>
  <si>
    <t>TX0033-014</t>
  </si>
  <si>
    <t>TX0033-015</t>
  </si>
  <si>
    <t>TX0033-016</t>
  </si>
  <si>
    <t>TX0033-017</t>
  </si>
  <si>
    <t>TX0033-018</t>
  </si>
  <si>
    <t>TX0033-019</t>
  </si>
  <si>
    <t>TX0033-020</t>
  </si>
  <si>
    <t>TX0033-021</t>
  </si>
  <si>
    <t>TX0033-022</t>
  </si>
  <si>
    <t>TX0033-023</t>
  </si>
  <si>
    <t>TX0033-024</t>
  </si>
  <si>
    <t>TX0033-025</t>
  </si>
  <si>
    <t>TX0033-026</t>
  </si>
  <si>
    <t>TX0033-027</t>
  </si>
  <si>
    <t>TX0033-028</t>
  </si>
  <si>
    <t>TX0033-029</t>
  </si>
  <si>
    <t>TX0033-030</t>
  </si>
  <si>
    <t>TX0033-031</t>
  </si>
  <si>
    <t>TX0033-032</t>
  </si>
  <si>
    <t>TX0033-033</t>
  </si>
  <si>
    <t>TX0033-034</t>
  </si>
  <si>
    <t>TX0033-035</t>
  </si>
  <si>
    <t>TX0034-001</t>
  </si>
  <si>
    <t>PRJ0034</t>
  </si>
  <si>
    <t>TX0034-002</t>
  </si>
  <si>
    <t>TX0034-003</t>
  </si>
  <si>
    <t>TX0034-004</t>
  </si>
  <si>
    <t>TX0034-005</t>
  </si>
  <si>
    <t>TX0034-006</t>
  </si>
  <si>
    <t>TX0034-007</t>
  </si>
  <si>
    <t>TX0034-008</t>
  </si>
  <si>
    <t>TX0034-009</t>
  </si>
  <si>
    <t>TX0034-010</t>
  </si>
  <si>
    <t>TX0034-011</t>
  </si>
  <si>
    <t>TX0034-012</t>
  </si>
  <si>
    <t>TX0034-013</t>
  </si>
  <si>
    <t>TX0034-014</t>
  </si>
  <si>
    <t>TX0034-015</t>
  </si>
  <si>
    <t>TX0034-016</t>
  </si>
  <si>
    <t>TX0034-017</t>
  </si>
  <si>
    <t>TX0034-018</t>
  </si>
  <si>
    <t>TX0034-019</t>
  </si>
  <si>
    <t>TX0034-020</t>
  </si>
  <si>
    <t>TX0034-021</t>
  </si>
  <si>
    <t>TX0034-022</t>
  </si>
  <si>
    <t>TX0035-001</t>
  </si>
  <si>
    <t>PRJ0035</t>
  </si>
  <si>
    <t>TX0035-002</t>
  </si>
  <si>
    <t>TX0035-003</t>
  </si>
  <si>
    <t>TX0035-004</t>
  </si>
  <si>
    <t>TX0035-005</t>
  </si>
  <si>
    <t>TX0035-006</t>
  </si>
  <si>
    <t>TX0035-007</t>
  </si>
  <si>
    <t>TX0035-008</t>
  </si>
  <si>
    <t>TX0035-009</t>
  </si>
  <si>
    <t>TX0035-010</t>
  </si>
  <si>
    <t>TX0035-011</t>
  </si>
  <si>
    <t>TX0035-012</t>
  </si>
  <si>
    <t>TX0035-013</t>
  </si>
  <si>
    <t>TX0035-014</t>
  </si>
  <si>
    <t>TX0035-015</t>
  </si>
  <si>
    <t>TX0035-016</t>
  </si>
  <si>
    <t>TX0035-017</t>
  </si>
  <si>
    <t>TX0036-001</t>
  </si>
  <si>
    <t>PRJ0036</t>
  </si>
  <si>
    <t>TX0036-002</t>
  </si>
  <si>
    <t>TX0036-003</t>
  </si>
  <si>
    <t>TX0036-004</t>
  </si>
  <si>
    <t>TX0036-005</t>
  </si>
  <si>
    <t>TX0036-006</t>
  </si>
  <si>
    <t>TX0036-007</t>
  </si>
  <si>
    <t>TX0036-008</t>
  </si>
  <si>
    <t>TX0036-009</t>
  </si>
  <si>
    <t>TX0036-010</t>
  </si>
  <si>
    <t>TX0036-011</t>
  </si>
  <si>
    <t>TX0036-012</t>
  </si>
  <si>
    <t>TX0036-013</t>
  </si>
  <si>
    <t>TX0036-014</t>
  </si>
  <si>
    <t>TX0036-015</t>
  </si>
  <si>
    <t>TX0036-016</t>
  </si>
  <si>
    <t>TX0036-017</t>
  </si>
  <si>
    <t>TX0036-018</t>
  </si>
  <si>
    <t>TX0036-019</t>
  </si>
  <si>
    <t>TX0036-020</t>
  </si>
  <si>
    <t>TX0036-021</t>
  </si>
  <si>
    <t>TX0036-022</t>
  </si>
  <si>
    <t>TX0037-001</t>
  </si>
  <si>
    <t>PRJ0037</t>
  </si>
  <si>
    <t>TX0037-002</t>
  </si>
  <si>
    <t>TX0037-003</t>
  </si>
  <si>
    <t>TX0037-004</t>
  </si>
  <si>
    <t>TX0037-005</t>
  </si>
  <si>
    <t>TX0037-006</t>
  </si>
  <si>
    <t>TX0037-007</t>
  </si>
  <si>
    <t>TX0037-008</t>
  </si>
  <si>
    <t>TX0037-009</t>
  </si>
  <si>
    <t>TX0037-010</t>
  </si>
  <si>
    <t>TX0037-011</t>
  </si>
  <si>
    <t>TX0037-012</t>
  </si>
  <si>
    <t>TX0037-013</t>
  </si>
  <si>
    <t>TX0037-014</t>
  </si>
  <si>
    <t>TX0037-015</t>
  </si>
  <si>
    <t>TX0037-016</t>
  </si>
  <si>
    <t>TX0037-017</t>
  </si>
  <si>
    <t>TX0037-018</t>
  </si>
  <si>
    <t>TX0037-019</t>
  </si>
  <si>
    <t>TX0037-020</t>
  </si>
  <si>
    <t>TX0038-001</t>
  </si>
  <si>
    <t>PRJ0038</t>
  </si>
  <si>
    <t>TX0038-002</t>
  </si>
  <si>
    <t>TX0038-003</t>
  </si>
  <si>
    <t>TX0038-004</t>
  </si>
  <si>
    <t>TX0038-005</t>
  </si>
  <si>
    <t>TX0038-006</t>
  </si>
  <si>
    <t>TX0038-007</t>
  </si>
  <si>
    <t>TX0038-008</t>
  </si>
  <si>
    <t>TX0038-009</t>
  </si>
  <si>
    <t>TX0038-010</t>
  </si>
  <si>
    <t>TX0038-011</t>
  </si>
  <si>
    <t>TX0038-012</t>
  </si>
  <si>
    <t>TX0038-013</t>
  </si>
  <si>
    <t>TX0038-014</t>
  </si>
  <si>
    <t>TX0038-015</t>
  </si>
  <si>
    <t>TX0038-016</t>
  </si>
  <si>
    <t>TX0038-017</t>
  </si>
  <si>
    <t>TX0038-018</t>
  </si>
  <si>
    <t>TX0038-019</t>
  </si>
  <si>
    <t>TX0038-020</t>
  </si>
  <si>
    <t>TX0038-021</t>
  </si>
  <si>
    <t>TX0038-022</t>
  </si>
  <si>
    <t>TX0038-023</t>
  </si>
  <si>
    <t>TX0038-024</t>
  </si>
  <si>
    <t>TX0038-025</t>
  </si>
  <si>
    <t>TX0038-026</t>
  </si>
  <si>
    <t>TX0038-027</t>
  </si>
  <si>
    <t>TX0038-028</t>
  </si>
  <si>
    <t>TX0038-029</t>
  </si>
  <si>
    <t>TX0038-030</t>
  </si>
  <si>
    <t>TX0038-031</t>
  </si>
  <si>
    <t>TX0038-032</t>
  </si>
  <si>
    <t>TX0039-001</t>
  </si>
  <si>
    <t>PRJ0039</t>
  </si>
  <si>
    <t>TX0039-002</t>
  </si>
  <si>
    <t>TX0039-003</t>
  </si>
  <si>
    <t>TX0039-004</t>
  </si>
  <si>
    <t>TX0039-005</t>
  </si>
  <si>
    <t>TX0039-006</t>
  </si>
  <si>
    <t>TX0039-007</t>
  </si>
  <si>
    <t>TX0039-008</t>
  </si>
  <si>
    <t>TX0039-009</t>
  </si>
  <si>
    <t>TX0039-010</t>
  </si>
  <si>
    <t>TX0039-011</t>
  </si>
  <si>
    <t>TX0039-012</t>
  </si>
  <si>
    <t>TX0039-013</t>
  </si>
  <si>
    <t>TX0039-014</t>
  </si>
  <si>
    <t>TX0039-015</t>
  </si>
  <si>
    <t>TX0039-016</t>
  </si>
  <si>
    <t>TX0039-017</t>
  </si>
  <si>
    <t>TX0039-018</t>
  </si>
  <si>
    <t>TX0039-019</t>
  </si>
  <si>
    <t>TX0039-020</t>
  </si>
  <si>
    <t>TX0039-021</t>
  </si>
  <si>
    <t>TX0039-022</t>
  </si>
  <si>
    <t>TX0039-023</t>
  </si>
  <si>
    <t>TX0039-024</t>
  </si>
  <si>
    <t>TX0039-025</t>
  </si>
  <si>
    <t>TX0039-026</t>
  </si>
  <si>
    <t>TX0039-027</t>
  </si>
  <si>
    <t>TX0039-028</t>
  </si>
  <si>
    <t>TX0039-029</t>
  </si>
  <si>
    <t>TX0039-030</t>
  </si>
  <si>
    <t>TX0039-031</t>
  </si>
  <si>
    <t>TX0039-032</t>
  </si>
  <si>
    <t>TX0039-033</t>
  </si>
  <si>
    <t>TX0039-034</t>
  </si>
  <si>
    <t>TX0039-035</t>
  </si>
  <si>
    <t>TX0040-001</t>
  </si>
  <si>
    <t>PRJ0040</t>
  </si>
  <si>
    <t>TX0040-002</t>
  </si>
  <si>
    <t>TX0040-003</t>
  </si>
  <si>
    <t>TX0040-004</t>
  </si>
  <si>
    <t>TX0040-005</t>
  </si>
  <si>
    <t>TX0040-006</t>
  </si>
  <si>
    <t>TX0040-007</t>
  </si>
  <si>
    <t>TX0040-008</t>
  </si>
  <si>
    <t>TX0040-009</t>
  </si>
  <si>
    <t>TX0040-010</t>
  </si>
  <si>
    <t>TX0040-011</t>
  </si>
  <si>
    <t>TX0040-012</t>
  </si>
  <si>
    <t>TX0040-013</t>
  </si>
  <si>
    <t>TX0040-014</t>
  </si>
  <si>
    <t>TX0040-015</t>
  </si>
  <si>
    <t>TX0040-016</t>
  </si>
  <si>
    <t>TX0040-017</t>
  </si>
  <si>
    <t>TX0040-018</t>
  </si>
  <si>
    <t>TX0040-019</t>
  </si>
  <si>
    <t>TX0040-020</t>
  </si>
  <si>
    <t>TX0040-021</t>
  </si>
  <si>
    <t>TX0040-022</t>
  </si>
  <si>
    <t>TX0040-023</t>
  </si>
  <si>
    <t>TX0040-024</t>
  </si>
  <si>
    <t>TX0040-025</t>
  </si>
  <si>
    <t>TX0041-001</t>
  </si>
  <si>
    <t>PRJ0041</t>
  </si>
  <si>
    <t>TX0041-002</t>
  </si>
  <si>
    <t>TX0041-003</t>
  </si>
  <si>
    <t>TX0041-004</t>
  </si>
  <si>
    <t>TX0041-005</t>
  </si>
  <si>
    <t>TX0041-006</t>
  </si>
  <si>
    <t>TX0041-007</t>
  </si>
  <si>
    <t>TX0041-008</t>
  </si>
  <si>
    <t>TX0041-009</t>
  </si>
  <si>
    <t>TX0041-010</t>
  </si>
  <si>
    <t>TX0041-011</t>
  </si>
  <si>
    <t>TX0041-012</t>
  </si>
  <si>
    <t>TX0041-013</t>
  </si>
  <si>
    <t>TX0041-014</t>
  </si>
  <si>
    <t>TX0041-015</t>
  </si>
  <si>
    <t>TX0041-016</t>
  </si>
  <si>
    <t>TX0041-017</t>
  </si>
  <si>
    <t>TX0041-018</t>
  </si>
  <si>
    <t>TX0041-019</t>
  </si>
  <si>
    <t>TX0041-020</t>
  </si>
  <si>
    <t>TX0041-021</t>
  </si>
  <si>
    <t>TX0041-022</t>
  </si>
  <si>
    <t>TX0041-023</t>
  </si>
  <si>
    <t>TX0041-024</t>
  </si>
  <si>
    <t>TX0041-025</t>
  </si>
  <si>
    <t>TX0042-001</t>
  </si>
  <si>
    <t>PRJ0042</t>
  </si>
  <si>
    <t>TX0042-002</t>
  </si>
  <si>
    <t>TX0042-003</t>
  </si>
  <si>
    <t>TX0042-004</t>
  </si>
  <si>
    <t>TX0042-005</t>
  </si>
  <si>
    <t>TX0042-006</t>
  </si>
  <si>
    <t>TX0042-007</t>
  </si>
  <si>
    <t>TX0042-008</t>
  </si>
  <si>
    <t>TX0042-009</t>
  </si>
  <si>
    <t>TX0042-010</t>
  </si>
  <si>
    <t>TX0042-011</t>
  </si>
  <si>
    <t>TX0042-012</t>
  </si>
  <si>
    <t>TX0042-013</t>
  </si>
  <si>
    <t>TX0042-014</t>
  </si>
  <si>
    <t>TX0042-015</t>
  </si>
  <si>
    <t>TX0042-016</t>
  </si>
  <si>
    <t>TX0042-017</t>
  </si>
  <si>
    <t>TX0042-018</t>
  </si>
  <si>
    <t>TX0042-019</t>
  </si>
  <si>
    <t>TX0042-020</t>
  </si>
  <si>
    <t>TX0042-021</t>
  </si>
  <si>
    <t>TX0042-022</t>
  </si>
  <si>
    <t>TX0042-023</t>
  </si>
  <si>
    <t>TX0042-024</t>
  </si>
  <si>
    <t>TX0042-025</t>
  </si>
  <si>
    <t>TX0042-026</t>
  </si>
  <si>
    <t>TX0042-027</t>
  </si>
  <si>
    <t>TX0042-028</t>
  </si>
  <si>
    <t>TX0042-029</t>
  </si>
  <si>
    <t>TX0042-030</t>
  </si>
  <si>
    <t>TX0042-031</t>
  </si>
  <si>
    <t>TX0042-032</t>
  </si>
  <si>
    <t>TX0042-033</t>
  </si>
  <si>
    <t>TX0042-034</t>
  </si>
  <si>
    <t>TX0042-035</t>
  </si>
  <si>
    <t>TX0042-036</t>
  </si>
  <si>
    <t>TX0042-037</t>
  </si>
  <si>
    <t>TX0042-038</t>
  </si>
  <si>
    <t>TX0042-039</t>
  </si>
  <si>
    <t>TX0042-040</t>
  </si>
  <si>
    <t>TX0042-041</t>
  </si>
  <si>
    <t>TX0042-042</t>
  </si>
  <si>
    <t>TX0042-043</t>
  </si>
  <si>
    <t>TX0042-044</t>
  </si>
  <si>
    <t>TX0042-045</t>
  </si>
  <si>
    <t>TX0042-046</t>
  </si>
  <si>
    <t>TX0042-047</t>
  </si>
  <si>
    <t>TX0042-048</t>
  </si>
  <si>
    <t>TX0042-049</t>
  </si>
  <si>
    <t>TX0042-050</t>
  </si>
  <si>
    <t>TX0043-001</t>
  </si>
  <si>
    <t>PRJ0043</t>
  </si>
  <si>
    <t>TX0043-002</t>
  </si>
  <si>
    <t>TX0043-003</t>
  </si>
  <si>
    <t>TX0043-004</t>
  </si>
  <si>
    <t>TX0043-005</t>
  </si>
  <si>
    <t>TX0043-006</t>
  </si>
  <si>
    <t>TX0043-007</t>
  </si>
  <si>
    <t>TX0043-008</t>
  </si>
  <si>
    <t>TX0043-009</t>
  </si>
  <si>
    <t>TX0043-010</t>
  </si>
  <si>
    <t>TX0043-011</t>
  </si>
  <si>
    <t>TX0043-012</t>
  </si>
  <si>
    <t>TX0043-013</t>
  </si>
  <si>
    <t>TX0043-014</t>
  </si>
  <si>
    <t>TX0043-015</t>
  </si>
  <si>
    <t>TX0043-016</t>
  </si>
  <si>
    <t>TX0043-017</t>
  </si>
  <si>
    <t>TX0043-018</t>
  </si>
  <si>
    <t>TX0043-019</t>
  </si>
  <si>
    <t>TX0043-020</t>
  </si>
  <si>
    <t>TX0044-001</t>
  </si>
  <si>
    <t>PRJ0044</t>
  </si>
  <si>
    <t>TX0044-002</t>
  </si>
  <si>
    <t>TX0044-003</t>
  </si>
  <si>
    <t>TX0044-004</t>
  </si>
  <si>
    <t>TX0044-005</t>
  </si>
  <si>
    <t>TX0044-006</t>
  </si>
  <si>
    <t>TX0044-007</t>
  </si>
  <si>
    <t>TX0044-008</t>
  </si>
  <si>
    <t>TX0044-009</t>
  </si>
  <si>
    <t>TX0044-010</t>
  </si>
  <si>
    <t>TX0044-011</t>
  </si>
  <si>
    <t>TX0044-012</t>
  </si>
  <si>
    <t>TX0044-013</t>
  </si>
  <si>
    <t>TX0044-014</t>
  </si>
  <si>
    <t>TX0044-015</t>
  </si>
  <si>
    <t>TX0044-016</t>
  </si>
  <si>
    <t>TX0044-017</t>
  </si>
  <si>
    <t>TX0044-018</t>
  </si>
  <si>
    <t>TX0044-019</t>
  </si>
  <si>
    <t>TX0044-020</t>
  </si>
  <si>
    <t>TX0044-021</t>
  </si>
  <si>
    <t>TX0044-022</t>
  </si>
  <si>
    <t>TX0044-023</t>
  </si>
  <si>
    <t>TX0044-024</t>
  </si>
  <si>
    <t>TX0044-025</t>
  </si>
  <si>
    <t>TX0044-026</t>
  </si>
  <si>
    <t>TX0044-027</t>
  </si>
  <si>
    <t>TX0044-028</t>
  </si>
  <si>
    <t>TX0044-029</t>
  </si>
  <si>
    <t>TX0044-030</t>
  </si>
  <si>
    <t>TX0044-031</t>
  </si>
  <si>
    <t>TX0044-032</t>
  </si>
  <si>
    <t>TX0045-001</t>
  </si>
  <si>
    <t>PRJ0045</t>
  </si>
  <si>
    <t>TX0045-002</t>
  </si>
  <si>
    <t>TX0045-003</t>
  </si>
  <si>
    <t>TX0045-004</t>
  </si>
  <si>
    <t>TX0045-005</t>
  </si>
  <si>
    <t>TX0045-006</t>
  </si>
  <si>
    <t>TX0045-007</t>
  </si>
  <si>
    <t>TX0045-008</t>
  </si>
  <si>
    <t>TX0045-009</t>
  </si>
  <si>
    <t>TX0045-010</t>
  </si>
  <si>
    <t>TX0045-011</t>
  </si>
  <si>
    <t>TX0045-012</t>
  </si>
  <si>
    <t>TX0045-013</t>
  </si>
  <si>
    <t>TX0045-014</t>
  </si>
  <si>
    <t>TX0045-015</t>
  </si>
  <si>
    <t>TX0045-016</t>
  </si>
  <si>
    <t>TX0045-017</t>
  </si>
  <si>
    <t>TX0045-018</t>
  </si>
  <si>
    <t>TX0045-019</t>
  </si>
  <si>
    <t>TX0045-020</t>
  </si>
  <si>
    <t>TX0045-021</t>
  </si>
  <si>
    <t>TX0045-022</t>
  </si>
  <si>
    <t>TX0045-023</t>
  </si>
  <si>
    <t>TX0045-024</t>
  </si>
  <si>
    <t>TX0045-025</t>
  </si>
  <si>
    <t>TX0045-026</t>
  </si>
  <si>
    <t>TX0045-027</t>
  </si>
  <si>
    <t>TX0045-028</t>
  </si>
  <si>
    <t>TX0045-029</t>
  </si>
  <si>
    <t>TX0045-030</t>
  </si>
  <si>
    <t>TX0045-031</t>
  </si>
  <si>
    <t>TX0045-032</t>
  </si>
  <si>
    <t>TX0045-033</t>
  </si>
  <si>
    <t>TX0045-034</t>
  </si>
  <si>
    <t>TX0045-035</t>
  </si>
  <si>
    <t>TX0045-036</t>
  </si>
  <si>
    <t>TX0045-037</t>
  </si>
  <si>
    <t>TX0045-038</t>
  </si>
  <si>
    <t>TX0045-039</t>
  </si>
  <si>
    <t>TX0045-040</t>
  </si>
  <si>
    <t>TX0045-041</t>
  </si>
  <si>
    <t>TX0045-042</t>
  </si>
  <si>
    <t>TX0045-043</t>
  </si>
  <si>
    <t>TX0045-044</t>
  </si>
  <si>
    <t>TX0045-045</t>
  </si>
  <si>
    <t>TX0045-046</t>
  </si>
  <si>
    <t>TX0045-047</t>
  </si>
  <si>
    <t>TX0045-048</t>
  </si>
  <si>
    <t>TX0045-049</t>
  </si>
  <si>
    <t>TX0045-050</t>
  </si>
  <si>
    <t>Project_Name</t>
  </si>
  <si>
    <t>Department</t>
  </si>
  <si>
    <t>Approved_Budget</t>
  </si>
  <si>
    <t>Start_Date</t>
  </si>
  <si>
    <t>End_Date</t>
  </si>
  <si>
    <t>Capex_Category</t>
  </si>
  <si>
    <t>Infra - PRJ0001</t>
  </si>
  <si>
    <t>DPT001</t>
  </si>
  <si>
    <t>Storage</t>
  </si>
  <si>
    <t>DPT004</t>
  </si>
  <si>
    <t>Networking</t>
  </si>
  <si>
    <t>DataCenter</t>
  </si>
  <si>
    <t>DPT003</t>
  </si>
  <si>
    <t>Compute</t>
  </si>
  <si>
    <t>Platform - PRJ0006</t>
  </si>
  <si>
    <t>DPT002</t>
  </si>
  <si>
    <t>Hardware</t>
  </si>
  <si>
    <t>DPT005</t>
  </si>
  <si>
    <t>R&amp;D</t>
  </si>
  <si>
    <t>Hybrid Clients - PRJ0011</t>
  </si>
  <si>
    <t>Platform - PRJ0012</t>
  </si>
  <si>
    <t>Hybrid Clients - PRJ0013</t>
  </si>
  <si>
    <t>DPT006</t>
  </si>
  <si>
    <t>Hybrid Clients - PRJ0020</t>
  </si>
  <si>
    <t>Infra - PRJ0024</t>
  </si>
  <si>
    <t>Infra - PRJ0026</t>
  </si>
  <si>
    <t>Platform - PRJ0028</t>
  </si>
  <si>
    <t>Platform - PRJ0035</t>
  </si>
  <si>
    <t>Hybrid Clients - PRJ0038</t>
  </si>
  <si>
    <t>Platform - PRJ0044</t>
  </si>
  <si>
    <t>Hybrid Clients - PRJ0045</t>
  </si>
  <si>
    <t>Month</t>
  </si>
  <si>
    <t>Forecasted_Spend</t>
  </si>
  <si>
    <t>Updated_By</t>
  </si>
  <si>
    <t>Forecast_Date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</si>
  <si>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</si>
  <si>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</si>
  <si>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</si>
  <si>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</si>
  <si>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</si>
  <si>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</si>
  <si>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</si>
  <si>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</si>
  <si>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</si>
  <si>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</si>
  <si>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</si>
  <si>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</si>
  <si>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</si>
  <si>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</si>
  <si>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</si>
  <si>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</si>
  <si>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</si>
  <si>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</si>
  <si>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2023-09</t>
  </si>
  <si>
    <t>Department_ID</t>
  </si>
  <si>
    <t>Department_Name</t>
  </si>
  <si>
    <t>Cost_Center</t>
  </si>
  <si>
    <t>CC-1001</t>
  </si>
  <si>
    <t>CC-1002</t>
  </si>
  <si>
    <t>CC-1003</t>
  </si>
  <si>
    <t>CC-1004</t>
  </si>
  <si>
    <t>CC-1005</t>
  </si>
  <si>
    <t>CC-1006</t>
  </si>
  <si>
    <t>Project_Manager</t>
  </si>
  <si>
    <t>Region</t>
  </si>
  <si>
    <t>Business_Unit</t>
  </si>
  <si>
    <t>ROI_Expected</t>
  </si>
  <si>
    <t>ROI_Realized</t>
  </si>
  <si>
    <t>EMEA</t>
  </si>
  <si>
    <t>Infra</t>
  </si>
  <si>
    <t>NA</t>
  </si>
  <si>
    <t>Hybrid Clients</t>
  </si>
  <si>
    <t>APAC</t>
  </si>
  <si>
    <t>Platform</t>
  </si>
  <si>
    <t>LATAM</t>
  </si>
  <si>
    <t>Vendor_ID</t>
  </si>
  <si>
    <t>Vendor_Name</t>
  </si>
  <si>
    <t>Category</t>
  </si>
  <si>
    <t>Payment_Terms</t>
  </si>
  <si>
    <t>Consulting</t>
  </si>
  <si>
    <t>30 days</t>
  </si>
  <si>
    <t>60 days</t>
  </si>
  <si>
    <t>Services</t>
  </si>
  <si>
    <t>45 days</t>
  </si>
  <si>
    <t>Cloud</t>
  </si>
  <si>
    <t>Net 90</t>
  </si>
  <si>
    <t>Construction</t>
  </si>
  <si>
    <t>ProprietaryHardware</t>
  </si>
  <si>
    <t>TX0008-036</t>
  </si>
  <si>
    <t>TX0008-037</t>
  </si>
  <si>
    <t>TX0008-038</t>
  </si>
  <si>
    <t>TX0008-039</t>
  </si>
  <si>
    <t>TX0008-040</t>
  </si>
  <si>
    <t>TX0008-041</t>
  </si>
  <si>
    <t>TX0008-042</t>
  </si>
  <si>
    <t>TX0008-043</t>
  </si>
  <si>
    <t>TX0008-044</t>
  </si>
  <si>
    <t>TX0008-045</t>
  </si>
  <si>
    <t>TX0008-046</t>
  </si>
  <si>
    <t>TX0008-047</t>
  </si>
  <si>
    <t>TX0008-048</t>
  </si>
  <si>
    <t>TX0008-049</t>
  </si>
  <si>
    <t>TX0008-050</t>
  </si>
  <si>
    <t>TX0008-051</t>
  </si>
  <si>
    <t>TX0008-052</t>
  </si>
  <si>
    <t>TX0008-053</t>
  </si>
  <si>
    <t>TX0008-054</t>
  </si>
  <si>
    <t>TX0008-055</t>
  </si>
  <si>
    <t>TX0008-056</t>
  </si>
  <si>
    <t>TX0008-057</t>
  </si>
  <si>
    <t>TX0008-058</t>
  </si>
  <si>
    <t>TX0008-059</t>
  </si>
  <si>
    <t>TX0008-060</t>
  </si>
  <si>
    <t>TX0016-026</t>
  </si>
  <si>
    <t>TX0016-027</t>
  </si>
  <si>
    <t>TX0016-028</t>
  </si>
  <si>
    <t>TX0016-029</t>
  </si>
  <si>
    <t>TX0016-030</t>
  </si>
  <si>
    <t>TX0016-031</t>
  </si>
  <si>
    <t>TX0016-032</t>
  </si>
  <si>
    <t>TX0016-033</t>
  </si>
  <si>
    <t>TX0016-034</t>
  </si>
  <si>
    <t>TX0016-035</t>
  </si>
  <si>
    <t>TX0016-036</t>
  </si>
  <si>
    <t>TX0016-037</t>
  </si>
  <si>
    <t>TX0016-038</t>
  </si>
  <si>
    <t>TX0016-039</t>
  </si>
  <si>
    <t>TX0016-040</t>
  </si>
  <si>
    <t>TX0016-041</t>
  </si>
  <si>
    <t>TX0016-042</t>
  </si>
  <si>
    <t>TX0016-043</t>
  </si>
  <si>
    <t>TX0016-044</t>
  </si>
  <si>
    <t>TX0016-045</t>
  </si>
  <si>
    <t>TX0016-046</t>
  </si>
  <si>
    <t>TX0016-047</t>
  </si>
  <si>
    <t>TX0016-048</t>
  </si>
  <si>
    <t>TX0016-049</t>
  </si>
  <si>
    <t>TX0016-050</t>
  </si>
  <si>
    <t>TX0016-051</t>
  </si>
  <si>
    <t>TX0016-052</t>
  </si>
  <si>
    <t>TX0016-053</t>
  </si>
  <si>
    <t>TX0016-054</t>
  </si>
  <si>
    <t>TX0016-055</t>
  </si>
  <si>
    <t>TX0016-056</t>
  </si>
  <si>
    <t>TX0016-057</t>
  </si>
  <si>
    <t>TX0016-058</t>
  </si>
  <si>
    <t>TX0016-059</t>
  </si>
  <si>
    <t>TX0016-060</t>
  </si>
  <si>
    <t>TX0019-018</t>
  </si>
  <si>
    <t>TX0019-019</t>
  </si>
  <si>
    <t>TX0019-020</t>
  </si>
  <si>
    <t>TX0019-021</t>
  </si>
  <si>
    <t>TX0019-022</t>
  </si>
  <si>
    <t>TX0019-023</t>
  </si>
  <si>
    <t>TX0019-024</t>
  </si>
  <si>
    <t>TX0019-025</t>
  </si>
  <si>
    <t>TX0019-026</t>
  </si>
  <si>
    <t>TX0019-027</t>
  </si>
  <si>
    <t>TX0019-028</t>
  </si>
  <si>
    <t>TX0019-029</t>
  </si>
  <si>
    <t>TX0019-030</t>
  </si>
  <si>
    <t>TX0019-031</t>
  </si>
  <si>
    <t>TX0019-032</t>
  </si>
  <si>
    <t>TX0019-033</t>
  </si>
  <si>
    <t>TX0019-034</t>
  </si>
  <si>
    <t>TX0019-035</t>
  </si>
  <si>
    <t>TX0019-036</t>
  </si>
  <si>
    <t>TX0019-037</t>
  </si>
  <si>
    <t>TX0019-038</t>
  </si>
  <si>
    <t>TX0019-039</t>
  </si>
  <si>
    <t>TX0019-040</t>
  </si>
  <si>
    <t>TX0019-041</t>
  </si>
  <si>
    <t>TX0019-042</t>
  </si>
  <si>
    <t>TX0019-043</t>
  </si>
  <si>
    <t>TX0019-044</t>
  </si>
  <si>
    <t>TX0019-045</t>
  </si>
  <si>
    <t>TX0019-046</t>
  </si>
  <si>
    <t>TX0019-047</t>
  </si>
  <si>
    <t>TX0019-048</t>
  </si>
  <si>
    <t>TX0019-049</t>
  </si>
  <si>
    <t>TX0019-050</t>
  </si>
  <si>
    <t>TX0019-051</t>
  </si>
  <si>
    <t>TX0019-052</t>
  </si>
  <si>
    <t>TX0019-053</t>
  </si>
  <si>
    <t>TX0019-054</t>
  </si>
  <si>
    <t>TX0019-055</t>
  </si>
  <si>
    <t>TX0019-056</t>
  </si>
  <si>
    <t>TX0019-057</t>
  </si>
  <si>
    <t>TX0019-058</t>
  </si>
  <si>
    <t>TX0019-059</t>
  </si>
  <si>
    <t>TX0019-060</t>
  </si>
  <si>
    <t>TX0020-026</t>
  </si>
  <si>
    <t>TX0020-027</t>
  </si>
  <si>
    <t>TX0020-028</t>
  </si>
  <si>
    <t>TX0020-029</t>
  </si>
  <si>
    <t>TX0020-030</t>
  </si>
  <si>
    <t>TX0020-031</t>
  </si>
  <si>
    <t>TX0020-032</t>
  </si>
  <si>
    <t>TX0020-033</t>
  </si>
  <si>
    <t>TX0020-034</t>
  </si>
  <si>
    <t>TX0020-035</t>
  </si>
  <si>
    <t>TX0020-036</t>
  </si>
  <si>
    <t>TX0020-037</t>
  </si>
  <si>
    <t>TX0020-038</t>
  </si>
  <si>
    <t>TX0020-039</t>
  </si>
  <si>
    <t>TX0020-040</t>
  </si>
  <si>
    <t>TX0028-023</t>
  </si>
  <si>
    <t>TX0028-024</t>
  </si>
  <si>
    <t>TX0028-025</t>
  </si>
  <si>
    <t>TX0028-026</t>
  </si>
  <si>
    <t>TX0028-027</t>
  </si>
  <si>
    <t>TX0034-023</t>
  </si>
  <si>
    <t>TX0034-024</t>
  </si>
  <si>
    <t>TX0034-025</t>
  </si>
  <si>
    <t>TX0034-026</t>
  </si>
  <si>
    <t>TX0034-027</t>
  </si>
  <si>
    <t>TX0034-028</t>
  </si>
  <si>
    <t>TX0034-029</t>
  </si>
  <si>
    <t>TX0034-030</t>
  </si>
  <si>
    <t>TX0034-031</t>
  </si>
  <si>
    <t>TX0034-032</t>
  </si>
  <si>
    <t>TX0034-033</t>
  </si>
  <si>
    <t>TX0034-034</t>
  </si>
  <si>
    <t>TX0034-035</t>
  </si>
  <si>
    <t>TX0034-036</t>
  </si>
  <si>
    <t>TX0034-037</t>
  </si>
  <si>
    <t>TX0034-038</t>
  </si>
  <si>
    <t>TX0034-039</t>
  </si>
  <si>
    <t>TX0034-040</t>
  </si>
  <si>
    <t>TX0034-041</t>
  </si>
  <si>
    <t>TX0034-042</t>
  </si>
  <si>
    <t>TX0034-043</t>
  </si>
  <si>
    <t>TX0034-044</t>
  </si>
  <si>
    <t>TX0034-045</t>
  </si>
  <si>
    <t>TX0034-046</t>
  </si>
  <si>
    <t>TX0034-047</t>
  </si>
  <si>
    <t>TX0034-048</t>
  </si>
  <si>
    <t>TX0034-049</t>
  </si>
  <si>
    <t>TX0034-050</t>
  </si>
  <si>
    <t>TX0034-051</t>
  </si>
  <si>
    <t>TX0034-052</t>
  </si>
  <si>
    <t>TX0034-053</t>
  </si>
  <si>
    <t>TX0034-054</t>
  </si>
  <si>
    <t>TX0034-055</t>
  </si>
  <si>
    <t>TX0034-056</t>
  </si>
  <si>
    <t>TX0034-057</t>
  </si>
  <si>
    <t>TX0034-058</t>
  </si>
  <si>
    <t>TX0034-059</t>
  </si>
  <si>
    <t>TX0034-060</t>
  </si>
  <si>
    <t>TX0037-021</t>
  </si>
  <si>
    <t>TX0037-022</t>
  </si>
  <si>
    <t>TX0037-023</t>
  </si>
  <si>
    <t>TX0037-024</t>
  </si>
  <si>
    <t>TX0037-025</t>
  </si>
  <si>
    <t>TX0037-026</t>
  </si>
  <si>
    <t>TX0037-027</t>
  </si>
  <si>
    <t>TX0037-028</t>
  </si>
  <si>
    <t>TX0037-029</t>
  </si>
  <si>
    <t>TX0037-030</t>
  </si>
  <si>
    <t>TX0037-031</t>
  </si>
  <si>
    <t>TX0037-032</t>
  </si>
  <si>
    <t>TX0037-033</t>
  </si>
  <si>
    <t>TX0037-034</t>
  </si>
  <si>
    <t>TX0037-035</t>
  </si>
  <si>
    <t>TX0037-036</t>
  </si>
  <si>
    <t>TX0037-037</t>
  </si>
  <si>
    <t>TX0037-038</t>
  </si>
  <si>
    <t>TX0037-039</t>
  </si>
  <si>
    <t>TX0037-040</t>
  </si>
  <si>
    <t>TX0037-041</t>
  </si>
  <si>
    <t>TX0037-042</t>
  </si>
  <si>
    <t>TX0037-043</t>
  </si>
  <si>
    <t>TX0037-044</t>
  </si>
  <si>
    <t>TX0037-045</t>
  </si>
  <si>
    <t>TX0037-046</t>
  </si>
  <si>
    <t>TX0037-047</t>
  </si>
  <si>
    <t>TX0037-048</t>
  </si>
  <si>
    <t>TX0037-049</t>
  </si>
  <si>
    <t>TX0037-050</t>
  </si>
  <si>
    <t>TX0037-051</t>
  </si>
  <si>
    <t>TX0037-052</t>
  </si>
  <si>
    <t>TX0037-053</t>
  </si>
  <si>
    <t>TX0037-054</t>
  </si>
  <si>
    <t>TX0037-055</t>
  </si>
  <si>
    <t>TX0037-056</t>
  </si>
  <si>
    <t>TX0037-057</t>
  </si>
  <si>
    <t>TX0041-026</t>
  </si>
  <si>
    <t>TX0041-027</t>
  </si>
  <si>
    <t>TX0041-028</t>
  </si>
  <si>
    <t>TX0041-029</t>
  </si>
  <si>
    <t>TX0041-030</t>
  </si>
  <si>
    <t>TX0041-031</t>
  </si>
  <si>
    <t>TX0041-032</t>
  </si>
  <si>
    <t>TX0041-033</t>
  </si>
  <si>
    <t>TX0041-034</t>
  </si>
  <si>
    <t>TX0041-035</t>
  </si>
  <si>
    <t>TX0041-036</t>
  </si>
  <si>
    <t>TX0041-037</t>
  </si>
  <si>
    <t>TX0041-038</t>
  </si>
  <si>
    <t>TX0041-039</t>
  </si>
  <si>
    <t>TX0041-040</t>
  </si>
  <si>
    <t>TX0041-041</t>
  </si>
  <si>
    <t>TX0041-042</t>
  </si>
  <si>
    <t>TX0041-043</t>
  </si>
  <si>
    <t>TX0041-044</t>
  </si>
  <si>
    <t>TX0041-045</t>
  </si>
  <si>
    <t>TX0041-046</t>
  </si>
  <si>
    <t>TX0041-047</t>
  </si>
  <si>
    <t>TX0041-048</t>
  </si>
  <si>
    <t>TX0041-049</t>
  </si>
  <si>
    <t>TX0041-050</t>
  </si>
  <si>
    <t>TX0042-051</t>
  </si>
  <si>
    <t>TX0042-052</t>
  </si>
  <si>
    <t>TX0042-053</t>
  </si>
  <si>
    <t>TX0042-054</t>
  </si>
  <si>
    <t>TX0042-055</t>
  </si>
  <si>
    <t>TX0042-056</t>
  </si>
  <si>
    <t>TX0042-057</t>
  </si>
  <si>
    <t>TX0042-058</t>
  </si>
  <si>
    <t>TX0042-059</t>
  </si>
  <si>
    <t>TX0042-060</t>
  </si>
  <si>
    <t>TX0043-021</t>
  </si>
  <si>
    <t>TX0043-022</t>
  </si>
  <si>
    <t>TX0043-023</t>
  </si>
  <si>
    <t>TX0043-024</t>
  </si>
  <si>
    <t>TX0043-025</t>
  </si>
  <si>
    <t>TX0043-026</t>
  </si>
  <si>
    <t>TX0043-027</t>
  </si>
  <si>
    <t>TX0043-028</t>
  </si>
  <si>
    <t>TX0043-029</t>
  </si>
  <si>
    <t>TX0043-030</t>
  </si>
  <si>
    <t>TX0043-031</t>
  </si>
  <si>
    <t>TX0043-032</t>
  </si>
  <si>
    <t>TX0043-033</t>
  </si>
  <si>
    <t>TX0043-034</t>
  </si>
  <si>
    <t>TX0043-035</t>
  </si>
  <si>
    <t>TX0043-036</t>
  </si>
  <si>
    <t>TX0043-037</t>
  </si>
  <si>
    <t>TX0043-038</t>
  </si>
  <si>
    <t>TX0043-039</t>
  </si>
  <si>
    <t>TX0043-040</t>
  </si>
  <si>
    <t>TX0043-041</t>
  </si>
  <si>
    <t>TX0043-042</t>
  </si>
  <si>
    <t>TX0043-043</t>
  </si>
  <si>
    <t>TX0043-044</t>
  </si>
  <si>
    <t>TX0043-045</t>
  </si>
  <si>
    <t>TX0043-046</t>
  </si>
  <si>
    <t>TX0043-047</t>
  </si>
  <si>
    <t>TX0043-048</t>
  </si>
  <si>
    <t>TX0043-049</t>
  </si>
  <si>
    <t>TX0043-050</t>
  </si>
  <si>
    <t>TX0043-051</t>
  </si>
  <si>
    <t>TX0043-052</t>
  </si>
  <si>
    <t>TX0043-053</t>
  </si>
  <si>
    <t>TX0043-054</t>
  </si>
  <si>
    <t>TX0043-055</t>
  </si>
  <si>
    <t>TX0043-056</t>
  </si>
  <si>
    <t>TX0043-057</t>
  </si>
  <si>
    <t>TX0043-058</t>
  </si>
  <si>
    <t>TX0043-059</t>
  </si>
  <si>
    <t>TX0043-060</t>
  </si>
  <si>
    <t>Infra - PRJ0002</t>
  </si>
  <si>
    <t>R&amp;D - PRJ0003</t>
  </si>
  <si>
    <t>R&amp;D - PRJ0004</t>
  </si>
  <si>
    <t>Infra - PRJ0005</t>
  </si>
  <si>
    <t>Platform - PRJ0007</t>
  </si>
  <si>
    <t>Platform - PRJ0008</t>
  </si>
  <si>
    <t>R&amp;D - PRJ0009</t>
  </si>
  <si>
    <t>Platform - PRJ0010</t>
  </si>
  <si>
    <t>Hybrid Clients - PRJ0014</t>
  </si>
  <si>
    <t>Platform - PRJ0015</t>
  </si>
  <si>
    <t>Infra - PRJ0016</t>
  </si>
  <si>
    <t>R&amp;D - PRJ0017</t>
  </si>
  <si>
    <t>Infra - PRJ0018</t>
  </si>
  <si>
    <t>Infra - PRJ0019</t>
  </si>
  <si>
    <t>Infra - PRJ0021</t>
  </si>
  <si>
    <t>Platform - PRJ0022</t>
  </si>
  <si>
    <t>Infra - PRJ0023</t>
  </si>
  <si>
    <t>R&amp;D - PRJ0025</t>
  </si>
  <si>
    <t>Platform - PRJ0027</t>
  </si>
  <si>
    <t>Platform - PRJ0029</t>
  </si>
  <si>
    <t>R&amp;D - PRJ0030</t>
  </si>
  <si>
    <t>Hybrid Clients - PRJ0031</t>
  </si>
  <si>
    <t>Platform - PRJ0032</t>
  </si>
  <si>
    <t>Infra - PRJ0033</t>
  </si>
  <si>
    <t>Platform - PRJ0034</t>
  </si>
  <si>
    <t>Infra - PRJ0036</t>
  </si>
  <si>
    <t>Hybrid Clients - PRJ0037</t>
  </si>
  <si>
    <t>Platform - PRJ0039</t>
  </si>
  <si>
    <t>R&amp;D - PRJ0040</t>
  </si>
  <si>
    <t>Infra - PRJ0041</t>
  </si>
  <si>
    <t>Hybrid Clients - PRJ0042</t>
  </si>
  <si>
    <t>Platform - PRJ0043</t>
  </si>
  <si>
    <t>2023-08</t>
  </si>
  <si>
    <t>Ian Oneill</t>
  </si>
  <si>
    <t>Matthew Holmes</t>
  </si>
  <si>
    <t>Amy Fisher</t>
  </si>
  <si>
    <t>Michael Thomas</t>
  </si>
  <si>
    <t>Nicole Carpenter</t>
  </si>
  <si>
    <t>Robert Cooley PhD</t>
  </si>
  <si>
    <t>Daniel Barnes</t>
  </si>
  <si>
    <t>David Williams</t>
  </si>
  <si>
    <t>2025-04</t>
  </si>
  <si>
    <t>2025-05</t>
  </si>
  <si>
    <t>2025-06</t>
  </si>
  <si>
    <t>2025-07</t>
  </si>
  <si>
    <t>2025-08</t>
  </si>
  <si>
    <t>Brian Rice</t>
  </si>
  <si>
    <t>Henry Jackson</t>
  </si>
  <si>
    <t>Kelsey Anderson</t>
  </si>
  <si>
    <t>Philip Mcknight</t>
  </si>
  <si>
    <t>Justin Oliver</t>
  </si>
  <si>
    <t>Lori Wilkins</t>
  </si>
  <si>
    <t>Vincent Johnson</t>
  </si>
  <si>
    <t>Teresa Nelson</t>
  </si>
  <si>
    <t>Daniel Daniels</t>
  </si>
  <si>
    <t>Johnathan Morris</t>
  </si>
  <si>
    <t>Tom Rivera</t>
  </si>
  <si>
    <t>Ronald Ross</t>
  </si>
  <si>
    <t>Craig Mcclure</t>
  </si>
  <si>
    <t>Mark Brown</t>
  </si>
  <si>
    <t>Christina Walton</t>
  </si>
  <si>
    <t>Madison Phillips</t>
  </si>
  <si>
    <t>Michael Evans</t>
  </si>
  <si>
    <t>Denise Myers</t>
  </si>
  <si>
    <t>Joseph Fitzpatrick</t>
  </si>
  <si>
    <t>Gary Morgan</t>
  </si>
  <si>
    <t>Michael Lewis</t>
  </si>
  <si>
    <t>Caroline Wagner</t>
  </si>
  <si>
    <t>Ryan Huber MD</t>
  </si>
  <si>
    <t>Donna Goodwin</t>
  </si>
  <si>
    <t>Mary Fisher</t>
  </si>
  <si>
    <t>Marc Bullock</t>
  </si>
  <si>
    <t>Kelly Brewer</t>
  </si>
  <si>
    <t>Tina Haney</t>
  </si>
  <si>
    <t>Caleb Hughes</t>
  </si>
  <si>
    <t>Laura West</t>
  </si>
  <si>
    <t>Stephen Bray</t>
  </si>
  <si>
    <t>Samantha Olsen</t>
  </si>
  <si>
    <t>Brian Thomas</t>
  </si>
  <si>
    <t>Donald Johnson</t>
  </si>
  <si>
    <t>Diana Garcia</t>
  </si>
  <si>
    <t>Melissa Pace</t>
  </si>
  <si>
    <t>Ryan Kim</t>
  </si>
  <si>
    <t>Ann Powell</t>
  </si>
  <si>
    <t>Nicole Simmons</t>
  </si>
  <si>
    <t>Collin Allison</t>
  </si>
  <si>
    <t>Holly Gonzalez</t>
  </si>
  <si>
    <t>Jennifer Rodriguez</t>
  </si>
  <si>
    <t>Christine Barker</t>
  </si>
  <si>
    <t>Michael Jennings</t>
  </si>
  <si>
    <t>Lisa Brown</t>
  </si>
  <si>
    <t>Hancock and Sons</t>
  </si>
  <si>
    <t>Conner, Lloyd and Green</t>
  </si>
  <si>
    <t>Wilson-Mayer</t>
  </si>
  <si>
    <t>Johnson, Kirk and Ruiz</t>
  </si>
  <si>
    <t>Roberts LLC</t>
  </si>
  <si>
    <t>Harris-Campbell</t>
  </si>
  <si>
    <t>Fox PLC</t>
  </si>
  <si>
    <t>Brooks, Owens and Martinez</t>
  </si>
  <si>
    <t>Hill, Chandler and Evans</t>
  </si>
  <si>
    <t>Rush, Rogers and Burns</t>
  </si>
  <si>
    <t>Brandt-Jarvis</t>
  </si>
  <si>
    <t>Ross LLC</t>
  </si>
  <si>
    <t>Norman-Powers</t>
  </si>
  <si>
    <t>Robinson Group</t>
  </si>
  <si>
    <t>Sloan-Deleon</t>
  </si>
  <si>
    <t>Jackson Inc</t>
  </si>
  <si>
    <t>Hughes Ltd</t>
  </si>
  <si>
    <t>White-Gould</t>
  </si>
  <si>
    <t>Phillips, Forbes and Keller</t>
  </si>
  <si>
    <t>Mcintyre and Sons</t>
  </si>
  <si>
    <t>Frank and Sons</t>
  </si>
  <si>
    <t>Brown, Kirby and Holmes</t>
  </si>
  <si>
    <t>Burton, Boyd and Mcbride</t>
  </si>
  <si>
    <t>Herrera-Myers</t>
  </si>
  <si>
    <t>Jackson Ltd</t>
  </si>
  <si>
    <t xml:space="preserve"> Amount_Spent </t>
  </si>
  <si>
    <t>Cloud Operations &amp; Infrastructure</t>
  </si>
  <si>
    <t>Sales &amp; Business Development</t>
  </si>
  <si>
    <t>Engineering &amp; Product Development</t>
  </si>
  <si>
    <t>Marketing &amp; Communications</t>
  </si>
  <si>
    <t>Customer Success &amp; Support</t>
  </si>
  <si>
    <t>Finance, HR &amp; Administration</t>
  </si>
  <si>
    <t>Dataset / Process</t>
  </si>
  <si>
    <t>Finance Analyst</t>
  </si>
  <si>
    <t>Project Manager</t>
  </si>
  <si>
    <t>Department Head</t>
  </si>
  <si>
    <t>Data Engineer</t>
  </si>
  <si>
    <t>BI Analyst</t>
  </si>
  <si>
    <t>Procurement Officer</t>
  </si>
  <si>
    <t>Capex_Budget</t>
  </si>
  <si>
    <t>R/A</t>
  </si>
  <si>
    <t>C</t>
  </si>
  <si>
    <t>I</t>
  </si>
  <si>
    <t>Capex_Actuals</t>
  </si>
  <si>
    <t>A/R</t>
  </si>
  <si>
    <t>R</t>
  </si>
  <si>
    <t>Capex_Forecast</t>
  </si>
  <si>
    <t>Projects_Master</t>
  </si>
  <si>
    <t>Vendors</t>
  </si>
  <si>
    <t>Departments</t>
  </si>
  <si>
    <t>Budget vs Actual Reporting</t>
  </si>
  <si>
    <t>Forecast Variance Analysis</t>
  </si>
  <si>
    <t>Data Integration / ETL</t>
  </si>
  <si>
    <t>Dashboard Development (Power BI / Excel)</t>
  </si>
  <si>
    <t>Actual Spend</t>
  </si>
  <si>
    <t>Variance</t>
  </si>
  <si>
    <t>Variance%</t>
  </si>
  <si>
    <t>Pay_Terms</t>
  </si>
  <si>
    <r>
      <t>R</t>
    </r>
    <r>
      <rPr>
        <sz val="14"/>
        <color theme="1"/>
        <rFont val="Calibri"/>
        <family val="2"/>
      </rPr>
      <t xml:space="preserve"> = Responsible (does the work)</t>
    </r>
  </si>
  <si>
    <r>
      <t>A</t>
    </r>
    <r>
      <rPr>
        <sz val="14"/>
        <color theme="1"/>
        <rFont val="Calibri"/>
        <family val="2"/>
      </rPr>
      <t xml:space="preserve"> = Accountable (owns the outcome)</t>
    </r>
  </si>
  <si>
    <r>
      <t>C</t>
    </r>
    <r>
      <rPr>
        <sz val="14"/>
        <color theme="1"/>
        <rFont val="Calibri"/>
        <family val="2"/>
      </rPr>
      <t xml:space="preserve"> = Consulted (provides input)</t>
    </r>
  </si>
  <si>
    <r>
      <t>I</t>
    </r>
    <r>
      <rPr>
        <sz val="14"/>
        <color theme="1"/>
        <rFont val="Calibri"/>
        <family val="2"/>
      </rPr>
      <t xml:space="preserve"> = Informed (kept up to date)</t>
    </r>
  </si>
  <si>
    <t>Payment_Term(DAYS)</t>
  </si>
  <si>
    <t>Payment_Due_Date</t>
  </si>
  <si>
    <t>DPT</t>
  </si>
  <si>
    <t>Identifiers</t>
  </si>
  <si>
    <t>ApprovedBudget</t>
  </si>
  <si>
    <t>Budget_Data</t>
  </si>
  <si>
    <t>Budget_month</t>
  </si>
  <si>
    <t>Actual_Spend</t>
  </si>
  <si>
    <t>Remaining_Budget</t>
  </si>
  <si>
    <t>Actual_Spend_Month</t>
  </si>
  <si>
    <t>Actual_Data</t>
  </si>
  <si>
    <t>Scenario_Adjustment(%)</t>
  </si>
  <si>
    <t>Scenario_Delay(Months)</t>
  </si>
  <si>
    <t>Scenario_Spend_Month</t>
  </si>
  <si>
    <t>Scenario_Inputs</t>
  </si>
  <si>
    <t>Payment_Terms(Days)</t>
  </si>
  <si>
    <t>Vendor_Input</t>
  </si>
  <si>
    <t>Scenario_Cashflow_Month</t>
  </si>
  <si>
    <t>Scenario_Cashflow_Amount</t>
  </si>
  <si>
    <t>Cashflow_Output</t>
  </si>
  <si>
    <t>Budget_vs_Actual</t>
  </si>
  <si>
    <t>Scenario_vs_actual</t>
  </si>
  <si>
    <t>Variance_Analysis</t>
  </si>
  <si>
    <t>Variance %</t>
  </si>
  <si>
    <t>Scenario_Remaining_Budget</t>
  </si>
  <si>
    <t>Scenario_Budget</t>
  </si>
  <si>
    <t>Scenario_vs_budget</t>
  </si>
  <si>
    <t>Row Labels</t>
  </si>
  <si>
    <t>Grand Total</t>
  </si>
  <si>
    <t xml:space="preserve">Sum of  Amount_Spent 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</si>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</sst>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€-2]\ * #,##0.00_);_([$€-2]\ * \(#,##0.00\);_([$€-2]\ * &quot;-&quot;??_);_(@_)"/>
    <numFmt numFmtId="165" formatCode="0.0%"/>
    <numFmt numFmtId="166" formatCode="mmm\-yyyy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4"/>
      <color theme="1"/>
      <name val="Aptos Narrow"/>
      <family val="2"/>
      <scheme val="minor"/>
    </font>
    <font>
      <sz val="14"/>
      <color theme="1"/>
      <name val="Calibri"/>
      <family val="2"/>
    </font>
    <font>
      <sz val="13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dashDot">
        <color indexed="64"/>
      </right>
      <top/>
      <bottom/>
      <diagonal/>
    </border>
    <border>
      <left/>
      <right style="dashDot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/>
    <xf numFmtId="0" fontId="4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4" fillId="0" borderId="0" xfId="0" applyFont="1"/>
    <xf numFmtId="164" fontId="4" fillId="0" borderId="0" xfId="0" applyNumberFormat="1" applyFont="1"/>
    <xf numFmtId="14" fontId="4" fillId="0" borderId="0" xfId="0" applyNumberFormat="1" applyFont="1"/>
    <xf numFmtId="164" fontId="3" fillId="0" borderId="0" xfId="0" applyNumberFormat="1" applyFont="1"/>
    <xf numFmtId="165" fontId="4" fillId="0" borderId="0" xfId="1" applyNumberFormat="1" applyFont="1"/>
    <xf numFmtId="166" fontId="4" fillId="0" borderId="0" xfId="0" applyNumberFormat="1" applyFont="1"/>
    <xf numFmtId="166" fontId="3" fillId="0" borderId="0" xfId="0" applyNumberFormat="1" applyFont="1"/>
    <xf numFmtId="165" fontId="3" fillId="0" borderId="0" xfId="1" applyNumberFormat="1" applyFont="1"/>
    <xf numFmtId="14" fontId="3" fillId="0" borderId="0" xfId="0" applyNumberFormat="1" applyFont="1"/>
    <xf numFmtId="0" fontId="3" fillId="0" borderId="1" xfId="0" applyFont="1" applyBorder="1"/>
    <xf numFmtId="166" fontId="3" fillId="0" borderId="1" xfId="0" applyNumberFormat="1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6" xfId="0" applyFont="1" applyBorder="1"/>
    <xf numFmtId="0" fontId="3" fillId="0" borderId="5" xfId="0" applyFont="1" applyBorder="1"/>
    <xf numFmtId="9" fontId="3" fillId="0" borderId="0" xfId="0" applyNumberFormat="1" applyFont="1"/>
    <xf numFmtId="1" fontId="3" fillId="0" borderId="0" xfId="0" applyNumberFormat="1" applyFont="1"/>
    <xf numFmtId="164" fontId="3" fillId="0" borderId="1" xfId="0" applyNumberFormat="1" applyFont="1" applyBorder="1"/>
    <xf numFmtId="165" fontId="3" fillId="0" borderId="5" xfId="1" applyNumberFormat="1" applyFont="1" applyBorder="1"/>
    <xf numFmtId="164" fontId="0" fillId="0" borderId="0" xfId="0" applyNumberFormat="1"/>
    <xf numFmtId="0" fontId="5" fillId="0" borderId="0" xfId="0" pivotButton="1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indent="1"/>
    </xf>
    <xf numFmtId="164" fontId="5" fillId="0" borderId="0" xfId="0" applyNumberFormat="1" applyFont="1"/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</cellXfs>
  <cellStyles count="2">
    <cellStyle name="Normal" xfId="0" builtinId="0"/>
    <cellStyle name="Per cent" xfId="1" builtinId="5"/>
  </cellStyles>
  <dxfs count="17">
    <dxf>
      <numFmt numFmtId="164" formatCode="_([$€-2]\ * #,##0.00_);_([$€-2]\ * \(#,##0.00\);_([$€-2]\ * &quot;-&quot;??_);_(@_)"/>
    </dxf>
    <dxf>
      <numFmt numFmtId="164" formatCode="_([$€-2]\ * #,##0.00_);_([$€-2]\ * \(#,##0.00\);_([$€-2]\ * &quot;-&quot;??_);_(@_)"/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1/relationships/timelineCache" Target="timelineCaches/timelineCach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63500</xdr:colOff>
      <xdr:row>4</xdr:row>
      <xdr:rowOff>139700</xdr:rowOff>
    </xdr:from>
    <xdr:to>
      <xdr:col>14</xdr:col>
      <xdr:colOff>101600</xdr:colOff>
      <xdr:row>10</xdr:row>
      <xdr:rowOff>88900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Transaction_Date">
              <a:extLst>
                <a:ext uri="{FF2B5EF4-FFF2-40B4-BE49-F238E27FC236}">
                  <a16:creationId xmlns:a16="http://schemas.microsoft.com/office/drawing/2014/main" id="{96D41135-9A55-DF1B-B842-071EE6CA5E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Transaction_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21900" y="977900"/>
              <a:ext cx="3340100" cy="132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34.893667592594" createdVersion="8" refreshedVersion="8" minRefreshableVersion="3" recordCount="1935" xr:uid="{77FDBE64-3D41-4B49-B188-ECA26A451F45}">
  <cacheSource type="worksheet">
    <worksheetSource ref="A1:E1048576" sheet="Capex_Actuals"/>
  </cacheSource>
  <cacheFields count="5">
    <cacheField name="Transaction_ID" numFmtId="0">
      <sharedItems containsBlank="1"/>
    </cacheField>
    <cacheField name="Project_ID" numFmtId="0">
      <sharedItems containsBlank="1" count="46">
        <s v="PRJ0001"/>
        <s v="PRJ0002"/>
        <s v="PRJ0003"/>
        <s v="PRJ0004"/>
        <s v="PRJ0005"/>
        <s v="PRJ0006"/>
        <s v="PRJ0007"/>
        <s v="PRJ0008"/>
        <s v="PRJ0009"/>
        <s v="PRJ0010"/>
        <s v="PRJ0011"/>
        <s v="PRJ0012"/>
        <s v="PRJ0013"/>
        <s v="PRJ0014"/>
        <s v="PRJ0015"/>
        <s v="PRJ0016"/>
        <s v="PRJ0017"/>
        <s v="PRJ0018"/>
        <s v="PRJ0019"/>
        <s v="PRJ0020"/>
        <s v="PRJ0021"/>
        <s v="PRJ0022"/>
        <s v="PRJ0023"/>
        <s v="PRJ0024"/>
        <s v="PRJ0025"/>
        <s v="PRJ0026"/>
        <s v="PRJ0027"/>
        <s v="PRJ0028"/>
        <s v="PRJ0029"/>
        <s v="PRJ0030"/>
        <s v="PRJ0031"/>
        <s v="PRJ0032"/>
        <s v="PRJ0033"/>
        <s v="PRJ0034"/>
        <s v="PRJ0035"/>
        <s v="PRJ0036"/>
        <s v="PRJ0037"/>
        <s v="PRJ0038"/>
        <s v="PRJ0039"/>
        <s v="PRJ0040"/>
        <s v="PRJ0041"/>
        <s v="PRJ0042"/>
        <s v="PRJ0043"/>
        <s v="PRJ0044"/>
        <s v="PRJ0045"/>
        <m/>
      </sharedItems>
    </cacheField>
    <cacheField name="Vendor" numFmtId="0">
      <sharedItems containsBlank="1"/>
    </cacheField>
    <cacheField name="Transaction_Date" numFmtId="166">
      <sharedItems containsNonDate="0" containsDate="1" containsString="0" containsBlank="1" minDate="2023-08-02T00:00:00" maxDate="2025-08-31T00:00:00" count="676">
        <d v="2023-09-10T00:00:00"/>
        <d v="2023-09-12T00:00:00"/>
        <d v="2023-09-15T00:00:00"/>
        <d v="2023-09-22T00:00:00"/>
        <d v="2023-09-28T00:00:00"/>
        <d v="2023-10-02T00:00:00"/>
        <d v="2023-10-09T00:00:00"/>
        <d v="2023-10-10T00:00:00"/>
        <d v="2023-10-14T00:00:00"/>
        <d v="2023-10-23T00:00:00"/>
        <d v="2023-11-11T00:00:00"/>
        <d v="2023-11-15T00:00:00"/>
        <d v="2023-11-18T00:00:00"/>
        <d v="2023-11-23T00:00:00"/>
        <d v="2023-12-12T00:00:00"/>
        <d v="2023-12-14T00:00:00"/>
        <d v="2023-12-16T00:00:00"/>
        <d v="2023-12-30T00:00:00"/>
        <d v="2024-01-06T00:00:00"/>
        <d v="2024-01-07T00:00:00"/>
        <d v="2024-02-07T00:00:00"/>
        <d v="2024-02-26T00:00:00"/>
        <d v="2024-03-03T00:00:00"/>
        <d v="2024-03-06T00:00:00"/>
        <d v="2024-03-10T00:00:00"/>
        <d v="2024-03-28T00:00:00"/>
        <d v="2024-03-30T00:00:00"/>
        <d v="2024-04-25T00:00:00"/>
        <d v="2024-06-02T00:00:00"/>
        <d v="2024-06-17T00:00:00"/>
        <d v="2024-06-19T00:00:00"/>
        <d v="2024-07-17T00:00:00"/>
        <d v="2024-08-13T00:00:00"/>
        <d v="2024-09-09T00:00:00"/>
        <d v="2024-09-20T00:00:00"/>
        <d v="2024-10-07T00:00:00"/>
        <d v="2024-10-11T00:00:00"/>
        <d v="2024-10-22T00:00:00"/>
        <d v="2024-10-26T00:00:00"/>
        <d v="2024-12-01T00:00:00"/>
        <d v="2024-12-30T00:00:00"/>
        <d v="2025-01-02T00:00:00"/>
        <d v="2025-01-25T00:00:00"/>
        <d v="2025-02-09T00:00:00"/>
        <d v="2025-02-24T00:00:00"/>
        <d v="2025-03-06T00:00:00"/>
        <d v="2025-03-16T00:00:00"/>
        <d v="2025-03-20T00:00:00"/>
        <d v="2025-03-31T00:00:00"/>
        <d v="2025-04-11T00:00:00"/>
        <d v="2025-04-28T00:00:00"/>
        <d v="2025-05-11T00:00:00"/>
        <d v="2025-05-22T00:00:00"/>
        <d v="2025-05-31T00:00:00"/>
        <d v="2025-06-13T00:00:00"/>
        <d v="2025-06-14T00:00:00"/>
        <d v="2025-07-08T00:00:00"/>
        <d v="2025-07-21T00:00:00"/>
        <d v="2024-04-07T00:00:00"/>
        <d v="2024-05-16T00:00:00"/>
        <d v="2024-05-18T00:00:00"/>
        <d v="2024-05-28T00:00:00"/>
        <d v="2024-05-31T00:00:00"/>
        <d v="2024-06-13T00:00:00"/>
        <d v="2024-07-04T00:00:00"/>
        <d v="2024-07-16T00:00:00"/>
        <d v="2024-07-29T00:00:00"/>
        <d v="2024-08-05T00:00:00"/>
        <d v="2024-09-05T00:00:00"/>
        <d v="2024-09-16T00:00:00"/>
        <d v="2024-09-25T00:00:00"/>
        <d v="2024-10-12T00:00:00"/>
        <d v="2024-10-17T00:00:00"/>
        <d v="2023-09-21T00:00:00"/>
        <d v="2023-10-13T00:00:00"/>
        <d v="2023-10-26T00:00:00"/>
        <d v="2023-11-03T00:00:00"/>
        <d v="2023-11-25T00:00:00"/>
        <d v="2023-12-19T00:00:00"/>
        <d v="2024-02-01T00:00:00"/>
        <d v="2024-02-03T00:00:00"/>
        <d v="2024-02-22T00:00:00"/>
        <d v="2024-03-08T00:00:00"/>
        <d v="2024-04-17T00:00:00"/>
        <d v="2024-05-01T00:00:00"/>
        <d v="2024-05-04T00:00:00"/>
        <d v="2024-06-06T00:00:00"/>
        <d v="2024-06-08T00:00:00"/>
        <d v="2024-06-22T00:00:00"/>
        <d v="2024-07-12T00:00:00"/>
        <d v="2024-07-13T00:00:00"/>
        <d v="2024-07-22T00:00:00"/>
        <d v="2024-08-25T00:00:00"/>
        <d v="2024-08-26T00:00:00"/>
        <d v="2024-09-01T00:00:00"/>
        <d v="2024-09-11T00:00:00"/>
        <d v="2024-09-23T00:00:00"/>
        <d v="2024-09-28T00:00:00"/>
        <d v="2024-10-01T00:00:00"/>
        <d v="2024-10-04T00:00:00"/>
        <d v="2024-10-09T00:00:00"/>
        <d v="2023-11-07T00:00:00"/>
        <d v="2023-11-08T00:00:00"/>
        <d v="2023-11-22T00:00:00"/>
        <d v="2023-11-29T00:00:00"/>
        <d v="2023-12-01T00:00:00"/>
        <d v="2024-01-15T00:00:00"/>
        <d v="2024-01-20T00:00:00"/>
        <d v="2024-01-23T00:00:00"/>
        <d v="2024-02-19T00:00:00"/>
        <d v="2024-03-05T00:00:00"/>
        <d v="2024-04-06T00:00:00"/>
        <d v="2024-04-12T00:00:00"/>
        <d v="2024-05-23T00:00:00"/>
        <d v="2024-06-14T00:00:00"/>
        <d v="2024-06-25T00:00:00"/>
        <d v="2024-06-29T00:00:00"/>
        <d v="2024-07-03T00:00:00"/>
        <d v="2024-07-08T00:00:00"/>
        <d v="2024-08-07T00:00:00"/>
        <d v="2024-08-11T00:00:00"/>
        <d v="2024-09-02T00:00:00"/>
        <d v="2024-09-14T00:00:00"/>
        <d v="2024-09-24T00:00:00"/>
        <d v="2024-10-05T00:00:00"/>
        <d v="2024-11-29T00:00:00"/>
        <d v="2024-12-09T00:00:00"/>
        <d v="2024-12-20T00:00:00"/>
        <d v="2024-12-31T00:00:00"/>
        <d v="2025-01-04T00:00:00"/>
        <d v="2025-01-05T00:00:00"/>
        <d v="2025-01-13T00:00:00"/>
        <d v="2025-01-28T00:00:00"/>
        <d v="2025-02-16T00:00:00"/>
        <d v="2025-02-19T00:00:00"/>
        <d v="2025-02-22T00:00:00"/>
        <d v="2025-03-02T00:00:00"/>
        <d v="2025-04-01T00:00:00"/>
        <d v="2025-04-15T00:00:00"/>
        <d v="2025-04-18T00:00:00"/>
        <d v="2025-05-01T00:00:00"/>
        <d v="2025-05-14T00:00:00"/>
        <d v="2025-05-16T00:00:00"/>
        <d v="2025-05-25T00:00:00"/>
        <d v="2025-05-27T00:00:00"/>
        <d v="2025-06-22T00:00:00"/>
        <d v="2023-11-04T00:00:00"/>
        <d v="2023-12-02T00:00:00"/>
        <d v="2023-12-15T00:00:00"/>
        <d v="2023-12-20T00:00:00"/>
        <d v="2024-01-09T00:00:00"/>
        <d v="2024-01-11T00:00:00"/>
        <d v="2024-01-18T00:00:00"/>
        <d v="2024-01-24T00:00:00"/>
        <d v="2024-03-12T00:00:00"/>
        <d v="2024-03-27T00:00:00"/>
        <d v="2024-04-13T00:00:00"/>
        <d v="2024-04-26T00:00:00"/>
        <d v="2024-05-03T00:00:00"/>
        <d v="2024-05-24T00:00:00"/>
        <d v="2024-06-11T00:00:00"/>
        <d v="2024-06-15T00:00:00"/>
        <d v="2024-06-23T00:00:00"/>
        <d v="2024-07-27T00:00:00"/>
        <d v="2024-09-06T00:00:00"/>
        <d v="2024-09-15T00:00:00"/>
        <d v="2024-09-27T00:00:00"/>
        <d v="2024-10-15T00:00:00"/>
        <d v="2024-11-26T00:00:00"/>
        <d v="2024-11-27T00:00:00"/>
        <d v="2024-12-04T00:00:00"/>
        <d v="2024-12-11T00:00:00"/>
        <d v="2024-12-27T00:00:00"/>
        <d v="2025-01-10T00:00:00"/>
        <d v="2025-01-30T00:00:00"/>
        <d v="2025-02-10T00:00:00"/>
        <d v="2023-08-03T00:00:00"/>
        <d v="2023-08-13T00:00:00"/>
        <d v="2023-09-25T00:00:00"/>
        <d v="2023-10-01T00:00:00"/>
        <d v="2023-10-06T00:00:00"/>
        <d v="2023-10-15T00:00:00"/>
        <d v="2023-10-27T00:00:00"/>
        <d v="2023-12-31T00:00:00"/>
        <d v="2024-01-08T00:00:00"/>
        <d v="2024-01-31T00:00:00"/>
        <d v="2024-02-29T00:00:00"/>
        <d v="2024-03-09T00:00:00"/>
        <d v="2024-04-03T00:00:00"/>
        <d v="2024-04-11T00:00:00"/>
        <d v="2024-04-27T00:00:00"/>
        <d v="2024-05-07T00:00:00"/>
        <d v="2024-05-09T00:00:00"/>
        <d v="2024-05-10T00:00:00"/>
        <d v="2024-05-25T00:00:00"/>
        <d v="2024-05-30T00:00:00"/>
        <d v="2024-06-07T00:00:00"/>
        <d v="2024-06-09T00:00:00"/>
        <d v="2024-07-14T00:00:00"/>
        <d v="2024-08-12T00:00:00"/>
        <d v="2024-09-18T00:00:00"/>
        <d v="2024-09-30T00:00:00"/>
        <d v="2024-10-27T00:00:00"/>
        <d v="2024-11-01T00:00:00"/>
        <d v="2024-11-23T00:00:00"/>
        <d v="2024-12-02T00:00:00"/>
        <d v="2024-12-15T00:00:00"/>
        <d v="2025-01-11T00:00:00"/>
        <d v="2025-01-17T00:00:00"/>
        <d v="2025-01-19T00:00:00"/>
        <d v="2025-02-14T00:00:00"/>
        <d v="2025-03-25T00:00:00"/>
        <d v="2025-04-02T00:00:00"/>
        <d v="2025-04-25T00:00:00"/>
        <d v="2025-05-15T00:00:00"/>
        <d v="2025-05-23T00:00:00"/>
        <d v="2025-07-03T00:00:00"/>
        <d v="2025-07-06T00:00:00"/>
        <d v="2025-07-07T00:00:00"/>
        <d v="2025-07-15T00:00:00"/>
        <d v="2025-07-20T00:00:00"/>
        <d v="2025-07-26T00:00:00"/>
        <d v="2025-08-27T00:00:00"/>
        <d v="2023-11-27T00:00:00"/>
        <d v="2023-12-28T00:00:00"/>
        <d v="2024-02-04T00:00:00"/>
        <d v="2024-02-21T00:00:00"/>
        <d v="2024-03-01T00:00:00"/>
        <d v="2024-04-23T00:00:00"/>
        <d v="2024-05-26T00:00:00"/>
        <d v="2024-07-02T00:00:00"/>
        <d v="2024-08-10T00:00:00"/>
        <d v="2024-08-27T00:00:00"/>
        <d v="2024-08-30T00:00:00"/>
        <d v="2024-09-12T00:00:00"/>
        <d v="2024-09-19T00:00:00"/>
        <d v="2024-10-02T00:00:00"/>
        <d v="2024-10-08T00:00:00"/>
        <d v="2024-11-10T00:00:00"/>
        <d v="2024-12-23T00:00:00"/>
        <d v="2025-01-31T00:00:00"/>
        <d v="2025-02-12T00:00:00"/>
        <d v="2025-03-01T00:00:00"/>
        <d v="2025-03-23T00:00:00"/>
        <d v="2025-03-27T00:00:00"/>
        <d v="2025-03-30T00:00:00"/>
        <d v="2025-05-21T00:00:00"/>
        <d v="2025-05-24T00:00:00"/>
        <d v="2025-06-10T00:00:00"/>
        <d v="2025-06-17T00:00:00"/>
        <d v="2025-07-01T00:00:00"/>
        <d v="2023-09-06T00:00:00"/>
        <d v="2023-09-17T00:00:00"/>
        <d v="2023-09-27T00:00:00"/>
        <d v="2023-10-16T00:00:00"/>
        <d v="2023-10-20T00:00:00"/>
        <d v="2023-10-22T00:00:00"/>
        <d v="2023-11-01T00:00:00"/>
        <d v="2023-11-09T00:00:00"/>
        <d v="2023-12-08T00:00:00"/>
        <d v="2023-12-18T00:00:00"/>
        <d v="2023-12-26T00:00:00"/>
        <d v="2023-12-27T00:00:00"/>
        <d v="2024-04-28T00:00:00"/>
        <d v="2024-05-06T00:00:00"/>
        <d v="2024-05-21T00:00:00"/>
        <d v="2024-06-01T00:00:00"/>
        <d v="2024-07-19T00:00:00"/>
        <d v="2024-08-18T00:00:00"/>
        <d v="2024-08-24T00:00:00"/>
        <d v="2024-10-24T00:00:00"/>
        <d v="2024-10-28T00:00:00"/>
        <d v="2024-10-31T00:00:00"/>
        <d v="2024-11-13T00:00:00"/>
        <d v="2024-11-15T00:00:00"/>
        <d v="2024-12-07T00:00:00"/>
        <d v="2024-12-12T00:00:00"/>
        <d v="2024-12-14T00:00:00"/>
        <d v="2025-01-01T00:00:00"/>
        <d v="2025-02-07T00:00:00"/>
        <d v="2025-04-05T00:00:00"/>
        <d v="2025-05-03T00:00:00"/>
        <d v="2025-05-29T00:00:00"/>
        <d v="2025-06-01T00:00:00"/>
        <d v="2025-06-21T00:00:00"/>
        <d v="2025-07-10T00:00:00"/>
        <d v="2024-06-21T00:00:00"/>
        <d v="2024-07-01T00:00:00"/>
        <d v="2024-07-07T00:00:00"/>
        <d v="2024-08-08T00:00:00"/>
        <d v="2024-08-16T00:00:00"/>
        <d v="2024-08-28T00:00:00"/>
        <d v="2024-08-31T00:00:00"/>
        <d v="2024-09-03T00:00:00"/>
        <d v="2024-10-13T00:00:00"/>
        <d v="2024-10-16T00:00:00"/>
        <d v="2024-10-20T00:00:00"/>
        <d v="2024-12-26T00:00:00"/>
        <d v="2024-03-23T00:00:00"/>
        <d v="2024-04-02T00:00:00"/>
        <d v="2024-04-21T00:00:00"/>
        <d v="2024-05-08T00:00:00"/>
        <d v="2024-05-12T00:00:00"/>
        <d v="2024-06-18T00:00:00"/>
        <d v="2024-07-30T00:00:00"/>
        <d v="2024-09-21T00:00:00"/>
        <d v="2024-09-26T00:00:00"/>
        <d v="2024-10-14T00:00:00"/>
        <d v="2023-08-17T00:00:00"/>
        <d v="2023-08-27T00:00:00"/>
        <d v="2023-09-08T00:00:00"/>
        <d v="2023-09-23T00:00:00"/>
        <d v="2023-10-04T00:00:00"/>
        <d v="2023-10-05T00:00:00"/>
        <d v="2023-11-20T00:00:00"/>
        <d v="2023-11-28T00:00:00"/>
        <d v="2023-12-04T00:00:00"/>
        <d v="2023-12-17T00:00:00"/>
        <d v="2024-01-26T00:00:00"/>
        <d v="2024-03-14T00:00:00"/>
        <d v="2024-03-19T00:00:00"/>
        <d v="2024-03-26T00:00:00"/>
        <d v="2024-03-31T00:00:00"/>
        <d v="2024-05-13T00:00:00"/>
        <d v="2024-06-05T00:00:00"/>
        <d v="2024-08-01T00:00:00"/>
        <d v="2024-08-06T00:00:00"/>
        <d v="2024-08-14T00:00:00"/>
        <d v="2024-08-15T00:00:00"/>
        <d v="2024-09-08T00:00:00"/>
        <d v="2024-09-10T00:00:00"/>
        <d v="2024-10-29T00:00:00"/>
        <d v="2024-11-08T00:00:00"/>
        <d v="2024-11-18T00:00:00"/>
        <d v="2024-12-17T00:00:00"/>
        <d v="2025-02-04T00:00:00"/>
        <d v="2025-02-18T00:00:00"/>
        <d v="2025-02-21T00:00:00"/>
        <d v="2025-02-25T00:00:00"/>
        <d v="2025-04-03T00:00:00"/>
        <d v="2025-04-16T00:00:00"/>
        <d v="2025-04-26T00:00:00"/>
        <d v="2025-06-19T00:00:00"/>
        <d v="2025-08-11T00:00:00"/>
        <d v="2025-08-30T00:00:00"/>
        <d v="2023-12-29T00:00:00"/>
        <d v="2024-01-05T00:00:00"/>
        <d v="2024-02-10T00:00:00"/>
        <d v="2024-02-27T00:00:00"/>
        <d v="2024-04-08T00:00:00"/>
        <d v="2024-05-02T00:00:00"/>
        <d v="2024-05-22T00:00:00"/>
        <d v="2024-07-21T00:00:00"/>
        <d v="2024-07-28T00:00:00"/>
        <d v="2024-08-02T00:00:00"/>
        <d v="2024-08-21T00:00:00"/>
        <d v="2023-08-08T00:00:00"/>
        <d v="2023-08-20T00:00:00"/>
        <d v="2023-09-01T00:00:00"/>
        <d v="2023-09-26T00:00:00"/>
        <d v="2023-10-19T00:00:00"/>
        <d v="2023-11-19T00:00:00"/>
        <d v="2023-12-25T00:00:00"/>
        <d v="2024-06-04T00:00:00"/>
        <d v="2024-06-12T00:00:00"/>
        <d v="2024-06-28T00:00:00"/>
        <d v="2024-07-25T00:00:00"/>
        <d v="2024-07-26T00:00:00"/>
        <d v="2024-10-03T00:00:00"/>
        <d v="2025-01-06T00:00:00"/>
        <d v="2025-02-20T00:00:00"/>
        <d v="2025-02-26T00:00:00"/>
        <d v="2025-03-04T00:00:00"/>
        <d v="2025-03-12T00:00:00"/>
        <d v="2025-04-13T00:00:00"/>
        <d v="2025-04-24T00:00:00"/>
        <d v="2025-05-20T00:00:00"/>
        <d v="2025-06-03T00:00:00"/>
        <d v="2025-06-08T00:00:00"/>
        <d v="2025-06-15T00:00:00"/>
        <d v="2025-06-25T00:00:00"/>
        <d v="2025-07-11T00:00:00"/>
        <d v="2025-08-08T00:00:00"/>
        <d v="2025-08-28T00:00:00"/>
        <d v="2025-08-29T00:00:00"/>
        <d v="2023-12-10T00:00:00"/>
        <d v="2023-12-13T00:00:00"/>
        <d v="2023-12-21T00:00:00"/>
        <d v="2024-01-12T00:00:00"/>
        <d v="2024-02-17T00:00:00"/>
        <d v="2024-02-24T00:00:00"/>
        <d v="2024-03-16T00:00:00"/>
        <d v="2024-03-20T00:00:00"/>
        <d v="2024-03-21T00:00:00"/>
        <d v="2024-04-05T00:00:00"/>
        <d v="2024-07-11T00:00:00"/>
        <d v="2024-09-07T00:00:00"/>
        <d v="2024-09-17T00:00:00"/>
        <d v="2024-10-25T00:00:00"/>
        <d v="2024-11-04T00:00:00"/>
        <d v="2024-11-09T00:00:00"/>
        <d v="2024-12-28T00:00:00"/>
        <d v="2025-01-09T00:00:00"/>
        <d v="2023-10-11T00:00:00"/>
        <d v="2023-10-21T00:00:00"/>
        <d v="2024-01-04T00:00:00"/>
        <d v="2024-02-08T00:00:00"/>
        <d v="2024-03-11T00:00:00"/>
        <d v="2024-04-01T00:00:00"/>
        <d v="2024-05-15T00:00:00"/>
        <d v="2023-08-02T00:00:00"/>
        <d v="2023-08-06T00:00:00"/>
        <d v="2023-09-14T00:00:00"/>
        <d v="2023-11-14T00:00:00"/>
        <d v="2023-12-03T00:00:00"/>
        <d v="2024-01-01T00:00:00"/>
        <d v="2024-01-14T00:00:00"/>
        <d v="2024-01-17T00:00:00"/>
        <d v="2024-02-15T00:00:00"/>
        <d v="2024-03-15T00:00:00"/>
        <d v="2024-05-20T00:00:00"/>
        <d v="2024-07-23T00:00:00"/>
        <d v="2024-08-04T00:00:00"/>
        <d v="2024-10-21T00:00:00"/>
        <d v="2024-11-02T00:00:00"/>
        <d v="2024-12-24T00:00:00"/>
        <d v="2025-01-07T00:00:00"/>
        <d v="2025-01-20T00:00:00"/>
        <d v="2025-03-07T00:00:00"/>
        <d v="2025-03-11T00:00:00"/>
        <d v="2025-04-29T00:00:00"/>
        <d v="2025-06-23T00:00:00"/>
        <d v="2025-08-01T00:00:00"/>
        <d v="2025-08-14T00:00:00"/>
        <d v="2023-12-09T00:00:00"/>
        <d v="2023-12-24T00:00:00"/>
        <d v="2024-01-03T00:00:00"/>
        <d v="2024-01-13T00:00:00"/>
        <d v="2024-01-25T00:00:00"/>
        <d v="2024-01-29T00:00:00"/>
        <d v="2024-02-20T00:00:00"/>
        <d v="2024-05-19T00:00:00"/>
        <d v="2024-09-29T00:00:00"/>
        <d v="2024-10-06T00:00:00"/>
        <d v="2024-10-10T00:00:00"/>
        <d v="2024-11-16T00:00:00"/>
        <d v="2024-11-20T00:00:00"/>
        <d v="2024-11-22T00:00:00"/>
        <d v="2024-12-05T00:00:00"/>
        <d v="2024-12-19T00:00:00"/>
        <d v="2024-12-25T00:00:00"/>
        <d v="2025-01-15T00:00:00"/>
        <d v="2025-01-24T00:00:00"/>
        <d v="2025-01-27T00:00:00"/>
        <d v="2025-02-02T00:00:00"/>
        <d v="2025-02-08T00:00:00"/>
        <d v="2025-02-23T00:00:00"/>
        <d v="2025-03-10T00:00:00"/>
        <d v="2025-03-29T00:00:00"/>
        <d v="2025-04-20T00:00:00"/>
        <d v="2023-10-24T00:00:00"/>
        <d v="2023-11-30T00:00:00"/>
        <d v="2023-12-22T00:00:00"/>
        <d v="2024-01-27T00:00:00"/>
        <d v="2024-02-14T00:00:00"/>
        <d v="2024-03-04T00:00:00"/>
        <d v="2024-03-29T00:00:00"/>
        <d v="2024-07-18T00:00:00"/>
        <d v="2024-07-31T00:00:00"/>
        <d v="2024-08-17T00:00:00"/>
        <d v="2024-11-05T00:00:00"/>
        <d v="2024-11-17T00:00:00"/>
        <d v="2025-02-11T00:00:00"/>
        <d v="2025-02-17T00:00:00"/>
        <d v="2025-03-08T00:00:00"/>
        <d v="2025-03-09T00:00:00"/>
        <d v="2025-04-14T00:00:00"/>
        <d v="2025-04-22T00:00:00"/>
        <d v="2025-05-02T00:00:00"/>
        <d v="2025-06-05T00:00:00"/>
        <d v="2025-06-28T00:00:00"/>
        <d v="2025-07-09T00:00:00"/>
        <d v="2025-07-12T00:00:00"/>
        <d v="2025-07-13T00:00:00"/>
        <d v="2025-07-30T00:00:00"/>
        <d v="2025-08-23T00:00:00"/>
        <d v="2023-09-16T00:00:00"/>
        <d v="2023-11-21T00:00:00"/>
        <d v="2024-02-11T00:00:00"/>
        <d v="2024-02-25T00:00:00"/>
        <d v="2024-04-10T00:00:00"/>
        <d v="2024-08-09T00:00:00"/>
        <d v="2024-11-07T00:00:00"/>
        <d v="2024-11-21T00:00:00"/>
        <d v="2024-11-28T00:00:00"/>
        <d v="2025-01-03T00:00:00"/>
        <d v="2025-03-14T00:00:00"/>
        <d v="2025-04-19T00:00:00"/>
        <d v="2025-04-30T00:00:00"/>
        <d v="2025-07-02T00:00:00"/>
        <d v="2025-07-31T00:00:00"/>
        <d v="2025-08-05T00:00:00"/>
        <d v="2025-08-12T00:00:00"/>
        <d v="2024-05-05T00:00:00"/>
        <d v="2024-06-16T00:00:00"/>
        <d v="2024-06-24T00:00:00"/>
        <d v="2024-11-06T00:00:00"/>
        <d v="2024-12-03T00:00:00"/>
        <d v="2025-01-21T00:00:00"/>
        <d v="2025-01-26T00:00:00"/>
        <d v="2025-03-05T00:00:00"/>
        <d v="2025-03-21T00:00:00"/>
        <d v="2025-04-09T00:00:00"/>
        <d v="2025-04-10T00:00:00"/>
        <d v="2025-04-21T00:00:00"/>
        <d v="2025-05-28T00:00:00"/>
        <d v="2024-07-09T00:00:00"/>
        <d v="2024-09-13T00:00:00"/>
        <d v="2023-08-10T00:00:00"/>
        <d v="2023-08-15T00:00:00"/>
        <d v="2023-09-07T00:00:00"/>
        <d v="2023-10-28T00:00:00"/>
        <d v="2023-10-31T00:00:00"/>
        <d v="2023-11-06T00:00:00"/>
        <d v="2023-11-24T00:00:00"/>
        <d v="2024-01-28T00:00:00"/>
        <d v="2024-03-25T00:00:00"/>
        <d v="2024-04-20T00:00:00"/>
        <d v="2024-04-30T00:00:00"/>
        <d v="2024-05-29T00:00:00"/>
        <d v="2024-11-25T00:00:00"/>
        <d v="2024-12-18T00:00:00"/>
        <d v="2025-01-22T00:00:00"/>
        <d v="2025-04-12T00:00:00"/>
        <d v="2025-05-18T00:00:00"/>
        <d v="2025-06-11T00:00:00"/>
        <d v="2025-07-19T00:00:00"/>
        <d v="2025-08-10T00:00:00"/>
        <d v="2025-08-18T00:00:00"/>
        <d v="2024-02-28T00:00:00"/>
        <d v="2024-03-17T00:00:00"/>
        <d v="2024-04-09T00:00:00"/>
        <d v="2024-04-22T00:00:00"/>
        <d v="2024-06-27T00:00:00"/>
        <d v="2024-08-23T00:00:00"/>
        <d v="2024-11-19T00:00:00"/>
        <d v="2025-01-29T00:00:00"/>
        <d v="2025-04-17T00:00:00"/>
        <d v="2025-05-09T00:00:00"/>
        <d v="2025-05-13T00:00:00"/>
        <d v="2025-06-09T00:00:00"/>
        <d v="2025-06-26T00:00:00"/>
        <d v="2023-08-16T00:00:00"/>
        <d v="2023-09-18T00:00:00"/>
        <d v="2023-09-30T00:00:00"/>
        <d v="2024-02-05T00:00:00"/>
        <d v="2024-02-12T00:00:00"/>
        <d v="2024-03-18T00:00:00"/>
        <d v="2024-04-18T00:00:00"/>
        <d v="2024-06-03T00:00:00"/>
        <d v="2024-07-06T00:00:00"/>
        <d v="2024-11-03T00:00:00"/>
        <d v="2024-11-14T00:00:00"/>
        <d v="2024-12-13T00:00:00"/>
        <d v="2025-02-01T00:00:00"/>
        <d v="2025-02-06T00:00:00"/>
        <d v="2025-03-24T00:00:00"/>
        <d v="2025-03-28T00:00:00"/>
        <d v="2025-05-19T00:00:00"/>
        <d v="2025-07-25T00:00:00"/>
        <d v="2025-08-07T00:00:00"/>
        <d v="2025-08-09T00:00:00"/>
        <d v="2024-12-29T00:00:00"/>
        <d v="2025-02-03T00:00:00"/>
        <d v="2025-03-13T00:00:00"/>
        <d v="2025-03-22T00:00:00"/>
        <d v="2025-06-16T00:00:00"/>
        <d v="2025-07-23T00:00:00"/>
        <d v="2025-08-03T00:00:00"/>
        <d v="2025-08-16T00:00:00"/>
        <d v="2023-09-03T00:00:00"/>
        <d v="2023-09-20T00:00:00"/>
        <d v="2023-10-07T00:00:00"/>
        <d v="2023-10-17T00:00:00"/>
        <d v="2024-01-30T00:00:00"/>
        <d v="2024-02-23T00:00:00"/>
        <d v="2024-04-16T00:00:00"/>
        <d v="2024-04-29T00:00:00"/>
        <d v="2025-03-17T00:00:00"/>
        <d v="2025-03-18T00:00:00"/>
        <d v="2025-03-19T00:00:00"/>
        <d v="2025-05-17T00:00:00"/>
        <d v="2025-04-08T00:00:00"/>
        <d v="2025-02-15T00:00:00"/>
        <d v="2025-02-27T00:00:00"/>
        <d v="2025-04-06T00:00:00"/>
        <d v="2025-05-04T00:00:00"/>
        <d v="2025-05-05T00:00:00"/>
        <d v="2023-12-11T00:00:00"/>
        <d v="2024-02-02T00:00:00"/>
        <d v="2024-02-09T00:00:00"/>
        <d v="2024-03-13T00:00:00"/>
        <d v="2024-04-24T00:00:00"/>
        <d v="2024-10-19T00:00:00"/>
        <d v="2024-12-21T00:00:00"/>
        <d v="2024-12-22T00:00:00"/>
        <d v="2025-06-07T00:00:00"/>
        <d v="2024-01-19T00:00:00"/>
        <d v="2024-01-21T00:00:00"/>
        <d v="2024-05-27T00:00:00"/>
        <d v="2024-10-18T00:00:00"/>
        <d v="2025-01-12T00:00:00"/>
        <d v="2025-03-15T00:00:00"/>
        <d v="2023-12-05T00:00:00"/>
        <d v="2024-10-23T00:00:00"/>
        <d v="2024-12-08T00:00:00"/>
        <d v="2025-07-22T00:00:00"/>
        <d v="2024-01-02T00:00:00"/>
        <d v="2023-08-30T00:00:00"/>
        <d v="2023-10-18T00:00:00"/>
        <d v="2023-11-05T00:00:00"/>
        <d v="2023-11-12T00:00:00"/>
        <d v="2024-01-10T00:00:00"/>
        <d v="2024-07-05T00:00:00"/>
        <d v="2024-07-10T00:00:00"/>
        <d v="2024-08-29T00:00:00"/>
        <d v="2024-12-06T00:00:00"/>
        <d v="2025-01-16T00:00:00"/>
        <d v="2025-04-07T00:00:00"/>
        <d v="2025-07-28T00:00:00"/>
        <d v="2023-11-16T00:00:00"/>
        <d v="2023-12-07T00:00:00"/>
        <d v="2024-01-22T00:00:00"/>
        <d v="2024-03-02T00:00:00"/>
        <d v="2024-04-04T00:00:00"/>
        <d v="2023-11-13T00:00:00"/>
        <d v="2024-03-24T00:00:00"/>
        <d v="2024-04-15T00:00:00"/>
        <d v="2025-01-08T00:00:00"/>
        <d v="2025-05-08T00:00:00"/>
        <d v="2024-07-24T00:00:00"/>
        <d v="2024-09-22T00:00:00"/>
        <d v="2024-11-30T00:00:00"/>
        <d v="2025-03-03T00:00:00"/>
        <d v="2024-02-13T00:00:00"/>
        <d v="2024-06-20T00:00:00"/>
        <d v="2023-08-05T00:00:00"/>
        <d v="2023-10-30T00:00:00"/>
        <d v="2024-02-16T00:00:00"/>
        <d v="2024-06-10T00:00:00"/>
        <d v="2024-11-11T00:00:00"/>
        <d v="2025-04-27T00:00:00"/>
        <d v="2025-06-04T00:00:00"/>
        <d v="2025-06-18T00:00:00"/>
        <d v="2025-07-29T00:00:00"/>
        <d v="2025-08-02T00:00:00"/>
        <d v="2025-08-21T00:00:00"/>
        <d v="2023-08-21T00:00:00"/>
        <d v="2023-08-23T00:00:00"/>
        <d v="2024-04-19T00:00:00"/>
        <d v="2025-01-14T00:00:00"/>
        <d v="2025-06-24T00:00:00"/>
        <d v="2025-07-04T00:00:00"/>
        <d v="2025-07-18T00:00:00"/>
        <d v="2025-08-26T00:00:00"/>
        <d v="2023-12-23T00:00:00"/>
        <d v="2024-02-06T00:00:00"/>
        <d v="2024-03-22T00:00:00"/>
        <d v="2024-04-14T00:00:00"/>
        <d v="2024-06-26T00:00:00"/>
        <d v="2023-11-02T00:00:00"/>
        <d v="2023-11-10T00:00:00"/>
        <d v="2024-08-19T00:00:00"/>
        <d v="2024-08-20T00:00:00"/>
        <d v="2025-02-13T00:00:00"/>
        <m/>
      </sharedItems>
      <fieldGroup base="3">
        <rangePr groupBy="months" startDate="2023-08-02T00:00:00" endDate="2025-08-31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/08/2025"/>
        </groupItems>
      </fieldGroup>
    </cacheField>
    <cacheField name=" Amount_Spent " numFmtId="164">
      <sharedItems containsString="0" containsBlank="1" containsNumber="1" containsInteger="1" minValue="3334" maxValue="1067516"/>
    </cacheField>
  </cacheFields>
  <extLst>
    <ext xmlns:x14="http://schemas.microsoft.com/office/spreadsheetml/2009/9/main" uri="{725AE2AE-9491-48be-B2B4-4EB974FC3084}">
      <x14:pivotCacheDefinition pivotCacheId="167776405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35">
  <r>
    <s v="TX0001-001"/>
    <x v="0"/>
    <s v="VEND0017"/>
    <x v="0"/>
    <n v="38577"/>
  </r>
  <r>
    <s v="TX0001-002"/>
    <x v="0"/>
    <s v="VEND0024"/>
    <x v="1"/>
    <n v="79555"/>
  </r>
  <r>
    <s v="TX0001-003"/>
    <x v="0"/>
    <s v="VEND0006"/>
    <x v="2"/>
    <n v="73361"/>
  </r>
  <r>
    <s v="TX0001-004"/>
    <x v="0"/>
    <s v="VEND0016"/>
    <x v="3"/>
    <n v="55178"/>
  </r>
  <r>
    <s v="TX0001-005"/>
    <x v="0"/>
    <s v="VEND0009"/>
    <x v="4"/>
    <n v="97145"/>
  </r>
  <r>
    <s v="TX0001-006"/>
    <x v="0"/>
    <s v="VEND0006"/>
    <x v="5"/>
    <n v="97663"/>
  </r>
  <r>
    <s v="TX0001-007"/>
    <x v="0"/>
    <s v="VEND0015"/>
    <x v="6"/>
    <n v="50793"/>
  </r>
  <r>
    <s v="TX0001-008"/>
    <x v="0"/>
    <s v="VEND0012"/>
    <x v="7"/>
    <n v="84554"/>
  </r>
  <r>
    <s v="TX0001-009"/>
    <x v="0"/>
    <s v="VEND0025"/>
    <x v="8"/>
    <n v="60509"/>
  </r>
  <r>
    <s v="TX0001-010"/>
    <x v="0"/>
    <s v="VEND0020"/>
    <x v="9"/>
    <n v="82632"/>
  </r>
  <r>
    <s v="TX0001-011"/>
    <x v="0"/>
    <s v="VEND0009"/>
    <x v="10"/>
    <n v="73839"/>
  </r>
  <r>
    <s v="TX0001-012"/>
    <x v="0"/>
    <s v="VEND0010"/>
    <x v="11"/>
    <n v="161273"/>
  </r>
  <r>
    <s v="TX0001-013"/>
    <x v="0"/>
    <s v="VEND0021"/>
    <x v="12"/>
    <n v="94389"/>
  </r>
  <r>
    <s v="TX0001-014"/>
    <x v="0"/>
    <s v="VEND0006"/>
    <x v="13"/>
    <n v="42353"/>
  </r>
  <r>
    <s v="TX0001-015"/>
    <x v="0"/>
    <s v="VEND0020"/>
    <x v="14"/>
    <n v="48275"/>
  </r>
  <r>
    <s v="TX0001-016"/>
    <x v="0"/>
    <s v="VEND0017"/>
    <x v="15"/>
    <n v="41575"/>
  </r>
  <r>
    <s v="TX0001-017"/>
    <x v="0"/>
    <s v="VEND0006"/>
    <x v="16"/>
    <n v="70901"/>
  </r>
  <r>
    <s v="TX0001-018"/>
    <x v="0"/>
    <s v="VEND0020"/>
    <x v="17"/>
    <n v="46195"/>
  </r>
  <r>
    <s v="TX0001-019"/>
    <x v="0"/>
    <s v="VEND0023"/>
    <x v="18"/>
    <n v="86067"/>
  </r>
  <r>
    <s v="TX0001-020"/>
    <x v="0"/>
    <s v="VEND0019"/>
    <x v="19"/>
    <n v="96538"/>
  </r>
  <r>
    <s v="TX0001-021"/>
    <x v="0"/>
    <s v="VEND0024"/>
    <x v="20"/>
    <n v="105593"/>
  </r>
  <r>
    <s v="TX0001-022"/>
    <x v="0"/>
    <s v="VEND0013"/>
    <x v="21"/>
    <n v="81999"/>
  </r>
  <r>
    <s v="TX0001-023"/>
    <x v="0"/>
    <s v="VEND0004"/>
    <x v="22"/>
    <n v="111562"/>
  </r>
  <r>
    <s v="TX0001-024"/>
    <x v="0"/>
    <s v="VEND0010"/>
    <x v="23"/>
    <n v="53743"/>
  </r>
  <r>
    <s v="TX0001-025"/>
    <x v="0"/>
    <s v="VEND0016"/>
    <x v="24"/>
    <n v="54778"/>
  </r>
  <r>
    <s v="TX0001-026"/>
    <x v="0"/>
    <s v="VEND0018"/>
    <x v="25"/>
    <n v="44920"/>
  </r>
  <r>
    <s v="TX0001-027"/>
    <x v="0"/>
    <s v="VEND0024"/>
    <x v="26"/>
    <n v="173980"/>
  </r>
  <r>
    <s v="TX0001-028"/>
    <x v="0"/>
    <s v="VEND0014"/>
    <x v="27"/>
    <n v="101624"/>
  </r>
  <r>
    <s v="TX0001-029"/>
    <x v="0"/>
    <s v="VEND0013"/>
    <x v="28"/>
    <n v="105102"/>
  </r>
  <r>
    <s v="TX0001-030"/>
    <x v="0"/>
    <s v="VEND0012"/>
    <x v="29"/>
    <n v="83166"/>
  </r>
  <r>
    <s v="TX0001-031"/>
    <x v="0"/>
    <s v="VEND0001"/>
    <x v="30"/>
    <n v="82771"/>
  </r>
  <r>
    <s v="TX0001-032"/>
    <x v="0"/>
    <s v="VEND0011"/>
    <x v="30"/>
    <n v="69195"/>
  </r>
  <r>
    <s v="TX0001-033"/>
    <x v="0"/>
    <s v="VEND0024"/>
    <x v="31"/>
    <n v="73227"/>
  </r>
  <r>
    <s v="TX0001-034"/>
    <x v="0"/>
    <s v="VEND0019"/>
    <x v="32"/>
    <n v="111927"/>
  </r>
  <r>
    <s v="TX0001-035"/>
    <x v="0"/>
    <s v="VEND0010"/>
    <x v="32"/>
    <n v="109126"/>
  </r>
  <r>
    <s v="TX0001-036"/>
    <x v="0"/>
    <s v="VEND0020"/>
    <x v="33"/>
    <n v="164144"/>
  </r>
  <r>
    <s v="TX0001-037"/>
    <x v="0"/>
    <s v="VEND0001"/>
    <x v="34"/>
    <n v="67697"/>
  </r>
  <r>
    <s v="TX0001-038"/>
    <x v="0"/>
    <s v="VEND0014"/>
    <x v="35"/>
    <n v="56366"/>
  </r>
  <r>
    <s v="TX0001-039"/>
    <x v="0"/>
    <s v="VEND0002"/>
    <x v="36"/>
    <n v="98483"/>
  </r>
  <r>
    <s v="TX0001-040"/>
    <x v="0"/>
    <s v="VEND0007"/>
    <x v="37"/>
    <n v="38341"/>
  </r>
  <r>
    <s v="TX0001-041"/>
    <x v="0"/>
    <s v="VEND0004"/>
    <x v="38"/>
    <n v="57137"/>
  </r>
  <r>
    <s v="TX0001-042"/>
    <x v="0"/>
    <s v="VEND0016"/>
    <x v="39"/>
    <n v="52692"/>
  </r>
  <r>
    <s v="TX0001-043"/>
    <x v="0"/>
    <s v="VEND0023"/>
    <x v="40"/>
    <n v="95995"/>
  </r>
  <r>
    <s v="TX0001-044"/>
    <x v="0"/>
    <s v="VEND0011"/>
    <x v="41"/>
    <n v="79020"/>
  </r>
  <r>
    <s v="TX0001-045"/>
    <x v="0"/>
    <s v="VEND0022"/>
    <x v="42"/>
    <n v="84300"/>
  </r>
  <r>
    <s v="TX0001-046"/>
    <x v="0"/>
    <s v="VEND0009"/>
    <x v="43"/>
    <n v="69215"/>
  </r>
  <r>
    <s v="TX0001-047"/>
    <x v="0"/>
    <s v="VEND0021"/>
    <x v="44"/>
    <n v="98447"/>
  </r>
  <r>
    <s v="TX0001-048"/>
    <x v="0"/>
    <s v="VEND0019"/>
    <x v="45"/>
    <n v="51215"/>
  </r>
  <r>
    <s v="TX0001-049"/>
    <x v="0"/>
    <s v="VEND0025"/>
    <x v="46"/>
    <n v="76712"/>
  </r>
  <r>
    <s v="TX0001-050"/>
    <x v="0"/>
    <s v="VEND0024"/>
    <x v="47"/>
    <n v="88716"/>
  </r>
  <r>
    <s v="TX0001-051"/>
    <x v="0"/>
    <s v="VEND0007"/>
    <x v="48"/>
    <n v="61412"/>
  </r>
  <r>
    <s v="TX0001-052"/>
    <x v="0"/>
    <s v="VEND0012"/>
    <x v="49"/>
    <n v="96833"/>
  </r>
  <r>
    <s v="TX0001-053"/>
    <x v="0"/>
    <s v="VEND0007"/>
    <x v="50"/>
    <n v="41436"/>
  </r>
  <r>
    <s v="TX0001-054"/>
    <x v="0"/>
    <s v="VEND0020"/>
    <x v="51"/>
    <n v="84851"/>
  </r>
  <r>
    <s v="TX0001-055"/>
    <x v="0"/>
    <s v="VEND0004"/>
    <x v="52"/>
    <n v="56808"/>
  </r>
  <r>
    <s v="TX0001-056"/>
    <x v="0"/>
    <s v="VEND0019"/>
    <x v="53"/>
    <n v="52404"/>
  </r>
  <r>
    <s v="TX0001-057"/>
    <x v="0"/>
    <s v="VEND0001"/>
    <x v="54"/>
    <n v="50350"/>
  </r>
  <r>
    <s v="TX0001-058"/>
    <x v="0"/>
    <s v="VEND0019"/>
    <x v="55"/>
    <n v="90076"/>
  </r>
  <r>
    <s v="TX0001-059"/>
    <x v="0"/>
    <s v="VEND0023"/>
    <x v="56"/>
    <n v="79258"/>
  </r>
  <r>
    <s v="TX0001-060"/>
    <x v="0"/>
    <s v="VEND0013"/>
    <x v="57"/>
    <n v="204912"/>
  </r>
  <r>
    <s v="TX0002-001"/>
    <x v="1"/>
    <s v="VEND0014"/>
    <x v="25"/>
    <n v="154945"/>
  </r>
  <r>
    <s v="TX0002-002"/>
    <x v="1"/>
    <s v="VEND0013"/>
    <x v="26"/>
    <n v="175730"/>
  </r>
  <r>
    <s v="TX0002-003"/>
    <x v="1"/>
    <s v="VEND0023"/>
    <x v="58"/>
    <n v="269906"/>
  </r>
  <r>
    <s v="TX0002-004"/>
    <x v="1"/>
    <s v="VEND0021"/>
    <x v="59"/>
    <n v="609587"/>
  </r>
  <r>
    <s v="TX0002-005"/>
    <x v="1"/>
    <s v="VEND0011"/>
    <x v="60"/>
    <n v="159231"/>
  </r>
  <r>
    <s v="TX0002-006"/>
    <x v="1"/>
    <s v="VEND0001"/>
    <x v="61"/>
    <n v="221187"/>
  </r>
  <r>
    <s v="TX0002-007"/>
    <x v="1"/>
    <s v="VEND0023"/>
    <x v="62"/>
    <n v="344592"/>
  </r>
  <r>
    <s v="TX0002-008"/>
    <x v="1"/>
    <s v="VEND0013"/>
    <x v="63"/>
    <n v="184281"/>
  </r>
  <r>
    <s v="TX0002-009"/>
    <x v="1"/>
    <s v="VEND0025"/>
    <x v="64"/>
    <n v="329748"/>
  </r>
  <r>
    <s v="TX0002-010"/>
    <x v="1"/>
    <s v="VEND0021"/>
    <x v="65"/>
    <n v="155993"/>
  </r>
  <r>
    <s v="TX0002-011"/>
    <x v="1"/>
    <s v="VEND0009"/>
    <x v="66"/>
    <n v="251512"/>
  </r>
  <r>
    <s v="TX0002-012"/>
    <x v="1"/>
    <s v="VEND0008"/>
    <x v="67"/>
    <n v="283818"/>
  </r>
  <r>
    <s v="TX0002-013"/>
    <x v="1"/>
    <s v="VEND0010"/>
    <x v="68"/>
    <n v="215560"/>
  </r>
  <r>
    <s v="TX0002-014"/>
    <x v="1"/>
    <s v="VEND0003"/>
    <x v="69"/>
    <n v="162635"/>
  </r>
  <r>
    <s v="TX0002-015"/>
    <x v="1"/>
    <s v="VEND0007"/>
    <x v="70"/>
    <n v="195516"/>
  </r>
  <r>
    <s v="TX0002-016"/>
    <x v="1"/>
    <s v="VEND0001"/>
    <x v="70"/>
    <n v="341450"/>
  </r>
  <r>
    <s v="TX0002-017"/>
    <x v="1"/>
    <s v="VEND0019"/>
    <x v="35"/>
    <n v="323636"/>
  </r>
  <r>
    <s v="TX0002-018"/>
    <x v="1"/>
    <s v="VEND0021"/>
    <x v="36"/>
    <n v="157042"/>
  </r>
  <r>
    <s v="TX0002-019"/>
    <x v="1"/>
    <s v="VEND0006"/>
    <x v="71"/>
    <n v="254832"/>
  </r>
  <r>
    <s v="TX0002-020"/>
    <x v="1"/>
    <s v="VEND0005"/>
    <x v="72"/>
    <n v="262109"/>
  </r>
  <r>
    <s v="TX0003-001"/>
    <x v="2"/>
    <s v="VEND0010"/>
    <x v="73"/>
    <n v="117311"/>
  </r>
  <r>
    <s v="TX0003-002"/>
    <x v="2"/>
    <s v="VEND0015"/>
    <x v="73"/>
    <n v="170977"/>
  </r>
  <r>
    <s v="TX0003-003"/>
    <x v="2"/>
    <s v="VEND0011"/>
    <x v="74"/>
    <n v="217857"/>
  </r>
  <r>
    <s v="TX0003-004"/>
    <x v="2"/>
    <s v="VEND0017"/>
    <x v="75"/>
    <n v="184007"/>
  </r>
  <r>
    <s v="TX0003-005"/>
    <x v="2"/>
    <s v="VEND0019"/>
    <x v="76"/>
    <n v="114096"/>
  </r>
  <r>
    <s v="TX0003-006"/>
    <x v="2"/>
    <s v="VEND0022"/>
    <x v="77"/>
    <n v="241785"/>
  </r>
  <r>
    <s v="TX0003-007"/>
    <x v="2"/>
    <s v="VEND0006"/>
    <x v="78"/>
    <n v="108431"/>
  </r>
  <r>
    <s v="TX0003-008"/>
    <x v="2"/>
    <s v="VEND0019"/>
    <x v="17"/>
    <n v="123096"/>
  </r>
  <r>
    <s v="TX0003-009"/>
    <x v="2"/>
    <s v="VEND0010"/>
    <x v="18"/>
    <n v="167422"/>
  </r>
  <r>
    <s v="TX0003-010"/>
    <x v="2"/>
    <s v="VEND0022"/>
    <x v="79"/>
    <n v="115900"/>
  </r>
  <r>
    <s v="TX0003-011"/>
    <x v="2"/>
    <s v="VEND0022"/>
    <x v="80"/>
    <n v="129374"/>
  </r>
  <r>
    <s v="TX0003-012"/>
    <x v="2"/>
    <s v="VEND0018"/>
    <x v="81"/>
    <n v="237885"/>
  </r>
  <r>
    <s v="TX0003-013"/>
    <x v="2"/>
    <s v="VEND0011"/>
    <x v="22"/>
    <n v="257992"/>
  </r>
  <r>
    <s v="TX0003-014"/>
    <x v="2"/>
    <s v="VEND0020"/>
    <x v="82"/>
    <n v="205211"/>
  </r>
  <r>
    <s v="TX0003-015"/>
    <x v="2"/>
    <s v="VEND0016"/>
    <x v="24"/>
    <n v="164623"/>
  </r>
  <r>
    <s v="TX0003-016"/>
    <x v="2"/>
    <s v="VEND0014"/>
    <x v="83"/>
    <n v="236724"/>
  </r>
  <r>
    <s v="TX0003-017"/>
    <x v="2"/>
    <s v="VEND0024"/>
    <x v="84"/>
    <n v="104390"/>
  </r>
  <r>
    <s v="TX0003-018"/>
    <x v="2"/>
    <s v="VEND0015"/>
    <x v="85"/>
    <n v="213455"/>
  </r>
  <r>
    <s v="TX0003-019"/>
    <x v="2"/>
    <s v="VEND0012"/>
    <x v="86"/>
    <n v="140220"/>
  </r>
  <r>
    <s v="TX0003-020"/>
    <x v="2"/>
    <s v="VEND0022"/>
    <x v="87"/>
    <n v="148383"/>
  </r>
  <r>
    <s v="TX0003-021"/>
    <x v="2"/>
    <s v="VEND0016"/>
    <x v="87"/>
    <n v="281944"/>
  </r>
  <r>
    <s v="TX0003-022"/>
    <x v="2"/>
    <s v="VEND0016"/>
    <x v="88"/>
    <n v="295942"/>
  </r>
  <r>
    <s v="TX0003-023"/>
    <x v="2"/>
    <s v="VEND0001"/>
    <x v="89"/>
    <n v="140486"/>
  </r>
  <r>
    <s v="TX0003-024"/>
    <x v="2"/>
    <s v="VEND0018"/>
    <x v="90"/>
    <n v="166607"/>
  </r>
  <r>
    <s v="TX0003-025"/>
    <x v="2"/>
    <s v="VEND0014"/>
    <x v="91"/>
    <n v="195569"/>
  </r>
  <r>
    <s v="TX0003-026"/>
    <x v="2"/>
    <s v="VEND0005"/>
    <x v="92"/>
    <n v="180283"/>
  </r>
  <r>
    <s v="TX0003-027"/>
    <x v="2"/>
    <s v="VEND0020"/>
    <x v="92"/>
    <n v="265163"/>
  </r>
  <r>
    <s v="TX0003-028"/>
    <x v="2"/>
    <s v="VEND0007"/>
    <x v="93"/>
    <n v="278944"/>
  </r>
  <r>
    <s v="TX0003-029"/>
    <x v="2"/>
    <s v="VEND0003"/>
    <x v="94"/>
    <n v="117590"/>
  </r>
  <r>
    <s v="TX0003-030"/>
    <x v="2"/>
    <s v="VEND0023"/>
    <x v="95"/>
    <n v="231244"/>
  </r>
  <r>
    <s v="TX0003-031"/>
    <x v="2"/>
    <s v="VEND0001"/>
    <x v="96"/>
    <n v="286051"/>
  </r>
  <r>
    <s v="TX0003-032"/>
    <x v="2"/>
    <s v="VEND0010"/>
    <x v="97"/>
    <n v="110934"/>
  </r>
  <r>
    <s v="TX0003-033"/>
    <x v="2"/>
    <s v="VEND0017"/>
    <x v="98"/>
    <n v="237542"/>
  </r>
  <r>
    <s v="TX0003-034"/>
    <x v="2"/>
    <s v="VEND0019"/>
    <x v="99"/>
    <n v="727524"/>
  </r>
  <r>
    <s v="TX0003-035"/>
    <x v="2"/>
    <s v="VEND0023"/>
    <x v="100"/>
    <n v="136791"/>
  </r>
  <r>
    <s v="TX0004-001"/>
    <x v="3"/>
    <s v="VEND0006"/>
    <x v="101"/>
    <n v="7351"/>
  </r>
  <r>
    <s v="TX0004-002"/>
    <x v="3"/>
    <s v="VEND0015"/>
    <x v="102"/>
    <n v="11832"/>
  </r>
  <r>
    <s v="TX0004-003"/>
    <x v="3"/>
    <s v="VEND0016"/>
    <x v="103"/>
    <n v="10807"/>
  </r>
  <r>
    <s v="TX0004-004"/>
    <x v="3"/>
    <s v="VEND0002"/>
    <x v="104"/>
    <n v="16714"/>
  </r>
  <r>
    <s v="TX0004-005"/>
    <x v="3"/>
    <s v="VEND0022"/>
    <x v="105"/>
    <n v="8958"/>
  </r>
  <r>
    <s v="TX0004-006"/>
    <x v="3"/>
    <s v="VEND0007"/>
    <x v="78"/>
    <n v="10602"/>
  </r>
  <r>
    <s v="TX0004-007"/>
    <x v="3"/>
    <s v="VEND0007"/>
    <x v="18"/>
    <n v="4971"/>
  </r>
  <r>
    <s v="TX0004-008"/>
    <x v="3"/>
    <s v="VEND0004"/>
    <x v="106"/>
    <n v="9692"/>
  </r>
  <r>
    <s v="TX0004-009"/>
    <x v="3"/>
    <s v="VEND0016"/>
    <x v="107"/>
    <n v="8563"/>
  </r>
  <r>
    <s v="TX0004-010"/>
    <x v="3"/>
    <s v="VEND0022"/>
    <x v="108"/>
    <n v="5777"/>
  </r>
  <r>
    <s v="TX0004-011"/>
    <x v="3"/>
    <s v="VEND0011"/>
    <x v="109"/>
    <n v="32724"/>
  </r>
  <r>
    <s v="TX0004-012"/>
    <x v="3"/>
    <s v="VEND0006"/>
    <x v="110"/>
    <n v="10784"/>
  </r>
  <r>
    <s v="TX0004-013"/>
    <x v="3"/>
    <s v="VEND0008"/>
    <x v="111"/>
    <n v="14813"/>
  </r>
  <r>
    <s v="TX0004-014"/>
    <x v="3"/>
    <s v="VEND0008"/>
    <x v="112"/>
    <n v="8929"/>
  </r>
  <r>
    <s v="TX0004-015"/>
    <x v="3"/>
    <s v="VEND0002"/>
    <x v="113"/>
    <n v="14603"/>
  </r>
  <r>
    <s v="TX0004-016"/>
    <x v="3"/>
    <s v="VEND0022"/>
    <x v="63"/>
    <n v="11800"/>
  </r>
  <r>
    <s v="TX0004-017"/>
    <x v="3"/>
    <s v="VEND0005"/>
    <x v="114"/>
    <n v="10365"/>
  </r>
  <r>
    <s v="TX0004-018"/>
    <x v="3"/>
    <s v="VEND0024"/>
    <x v="115"/>
    <n v="9551"/>
  </r>
  <r>
    <s v="TX0004-019"/>
    <x v="3"/>
    <s v="VEND0009"/>
    <x v="116"/>
    <n v="6016"/>
  </r>
  <r>
    <s v="TX0004-020"/>
    <x v="3"/>
    <s v="VEND0014"/>
    <x v="117"/>
    <n v="12430"/>
  </r>
  <r>
    <s v="TX0004-021"/>
    <x v="3"/>
    <s v="VEND0010"/>
    <x v="118"/>
    <n v="10888"/>
  </r>
  <r>
    <s v="TX0004-022"/>
    <x v="3"/>
    <s v="VEND0018"/>
    <x v="89"/>
    <n v="5821"/>
  </r>
  <r>
    <s v="TX0004-023"/>
    <x v="3"/>
    <s v="VEND0022"/>
    <x v="119"/>
    <n v="8906"/>
  </r>
  <r>
    <s v="TX0004-024"/>
    <x v="3"/>
    <s v="VEND0017"/>
    <x v="120"/>
    <n v="5604"/>
  </r>
  <r>
    <s v="TX0004-025"/>
    <x v="3"/>
    <s v="VEND0018"/>
    <x v="121"/>
    <n v="5740"/>
  </r>
  <r>
    <s v="TX0004-026"/>
    <x v="3"/>
    <s v="VEND0002"/>
    <x v="122"/>
    <n v="10987"/>
  </r>
  <r>
    <s v="TX0004-027"/>
    <x v="3"/>
    <s v="VEND0020"/>
    <x v="123"/>
    <n v="13221"/>
  </r>
  <r>
    <s v="TX0004-028"/>
    <x v="3"/>
    <s v="VEND0005"/>
    <x v="124"/>
    <n v="9549"/>
  </r>
  <r>
    <s v="TX0004-029"/>
    <x v="3"/>
    <s v="VEND0003"/>
    <x v="125"/>
    <n v="10606"/>
  </r>
  <r>
    <s v="TX0004-030"/>
    <x v="3"/>
    <s v="VEND0004"/>
    <x v="126"/>
    <n v="9203"/>
  </r>
  <r>
    <s v="TX0004-031"/>
    <x v="3"/>
    <s v="VEND0023"/>
    <x v="127"/>
    <n v="10755"/>
  </r>
  <r>
    <s v="TX0004-032"/>
    <x v="3"/>
    <s v="VEND0005"/>
    <x v="128"/>
    <n v="10264"/>
  </r>
  <r>
    <s v="TX0004-033"/>
    <x v="3"/>
    <s v="VEND0018"/>
    <x v="129"/>
    <n v="10717"/>
  </r>
  <r>
    <s v="TX0004-034"/>
    <x v="3"/>
    <s v="VEND0018"/>
    <x v="130"/>
    <n v="11308"/>
  </r>
  <r>
    <s v="TX0004-035"/>
    <x v="3"/>
    <s v="VEND0008"/>
    <x v="131"/>
    <n v="12207"/>
  </r>
  <r>
    <s v="TX0004-036"/>
    <x v="3"/>
    <s v="VEND0014"/>
    <x v="132"/>
    <n v="6492"/>
  </r>
  <r>
    <s v="TX0004-037"/>
    <x v="3"/>
    <s v="VEND0013"/>
    <x v="133"/>
    <n v="10179"/>
  </r>
  <r>
    <s v="TX0004-038"/>
    <x v="3"/>
    <s v="VEND0002"/>
    <x v="134"/>
    <n v="10171"/>
  </r>
  <r>
    <s v="TX0004-039"/>
    <x v="3"/>
    <s v="VEND0018"/>
    <x v="135"/>
    <n v="11079"/>
  </r>
  <r>
    <s v="TX0004-040"/>
    <x v="3"/>
    <s v="VEND0015"/>
    <x v="136"/>
    <n v="12437"/>
  </r>
  <r>
    <s v="TX0004-041"/>
    <x v="3"/>
    <s v="VEND0024"/>
    <x v="136"/>
    <n v="9232"/>
  </r>
  <r>
    <s v="TX0004-042"/>
    <x v="3"/>
    <s v="VEND0009"/>
    <x v="137"/>
    <n v="8190"/>
  </r>
  <r>
    <s v="TX0004-043"/>
    <x v="3"/>
    <s v="VEND0005"/>
    <x v="138"/>
    <n v="6558"/>
  </r>
  <r>
    <s v="TX0004-044"/>
    <x v="3"/>
    <s v="VEND0011"/>
    <x v="139"/>
    <n v="5826"/>
  </r>
  <r>
    <s v="TX0004-045"/>
    <x v="3"/>
    <s v="VEND0021"/>
    <x v="140"/>
    <n v="7422"/>
  </r>
  <r>
    <s v="TX0004-046"/>
    <x v="3"/>
    <s v="VEND0004"/>
    <x v="141"/>
    <n v="6020"/>
  </r>
  <r>
    <s v="TX0004-047"/>
    <x v="3"/>
    <s v="VEND0025"/>
    <x v="142"/>
    <n v="8384"/>
  </r>
  <r>
    <s v="TX0004-048"/>
    <x v="3"/>
    <s v="VEND0019"/>
    <x v="143"/>
    <n v="11789"/>
  </r>
  <r>
    <s v="TX0004-049"/>
    <x v="3"/>
    <s v="VEND0019"/>
    <x v="144"/>
    <n v="15263"/>
  </r>
  <r>
    <s v="TX0004-050"/>
    <x v="3"/>
    <s v="VEND0020"/>
    <x v="54"/>
    <n v="10433"/>
  </r>
  <r>
    <s v="TX0004-051"/>
    <x v="3"/>
    <s v="VEND0022"/>
    <x v="54"/>
    <n v="9003"/>
  </r>
  <r>
    <s v="TX0004-052"/>
    <x v="3"/>
    <s v="VEND0011"/>
    <x v="145"/>
    <n v="4572"/>
  </r>
  <r>
    <s v="TX0005-001"/>
    <x v="4"/>
    <s v="VEND0007"/>
    <x v="74"/>
    <n v="253420"/>
  </r>
  <r>
    <s v="TX0005-002"/>
    <x v="4"/>
    <s v="VEND0012"/>
    <x v="76"/>
    <n v="171221"/>
  </r>
  <r>
    <s v="TX0005-003"/>
    <x v="4"/>
    <s v="VEND0013"/>
    <x v="146"/>
    <n v="125293"/>
  </r>
  <r>
    <s v="TX0005-004"/>
    <x v="4"/>
    <s v="VEND0013"/>
    <x v="11"/>
    <n v="159629"/>
  </r>
  <r>
    <s v="TX0005-005"/>
    <x v="4"/>
    <s v="VEND0011"/>
    <x v="147"/>
    <n v="559874"/>
  </r>
  <r>
    <s v="TX0005-006"/>
    <x v="4"/>
    <s v="VEND0003"/>
    <x v="147"/>
    <n v="177637"/>
  </r>
  <r>
    <s v="TX0005-007"/>
    <x v="4"/>
    <s v="VEND0006"/>
    <x v="148"/>
    <n v="204414"/>
  </r>
  <r>
    <s v="TX0005-008"/>
    <x v="4"/>
    <s v="VEND0020"/>
    <x v="149"/>
    <n v="155220"/>
  </r>
  <r>
    <s v="TX0005-009"/>
    <x v="4"/>
    <s v="VEND0003"/>
    <x v="150"/>
    <n v="110240"/>
  </r>
  <r>
    <s v="TX0005-010"/>
    <x v="4"/>
    <s v="VEND0008"/>
    <x v="151"/>
    <n v="293448"/>
  </r>
  <r>
    <s v="TX0005-011"/>
    <x v="4"/>
    <s v="VEND0022"/>
    <x v="152"/>
    <n v="243984"/>
  </r>
  <r>
    <s v="TX0005-012"/>
    <x v="4"/>
    <s v="VEND0014"/>
    <x v="152"/>
    <n v="180971"/>
  </r>
  <r>
    <s v="TX0005-013"/>
    <x v="4"/>
    <s v="VEND0003"/>
    <x v="153"/>
    <n v="136186"/>
  </r>
  <r>
    <s v="TX0005-014"/>
    <x v="4"/>
    <s v="VEND0004"/>
    <x v="82"/>
    <n v="292804"/>
  </r>
  <r>
    <s v="TX0005-015"/>
    <x v="4"/>
    <s v="VEND0002"/>
    <x v="154"/>
    <n v="723079"/>
  </r>
  <r>
    <s v="TX0005-016"/>
    <x v="4"/>
    <s v="VEND0008"/>
    <x v="155"/>
    <n v="192070"/>
  </r>
  <r>
    <s v="TX0005-017"/>
    <x v="4"/>
    <s v="VEND0007"/>
    <x v="156"/>
    <n v="184231"/>
  </r>
  <r>
    <s v="TX0005-018"/>
    <x v="4"/>
    <s v="VEND0007"/>
    <x v="157"/>
    <n v="248400"/>
  </r>
  <r>
    <s v="TX0005-019"/>
    <x v="4"/>
    <s v="VEND0024"/>
    <x v="158"/>
    <n v="141286"/>
  </r>
  <r>
    <s v="TX0005-020"/>
    <x v="4"/>
    <s v="VEND0016"/>
    <x v="159"/>
    <n v="119990"/>
  </r>
  <r>
    <s v="TX0005-021"/>
    <x v="4"/>
    <s v="VEND0006"/>
    <x v="61"/>
    <n v="120809"/>
  </r>
  <r>
    <s v="TX0005-022"/>
    <x v="4"/>
    <s v="VEND0009"/>
    <x v="62"/>
    <n v="250278"/>
  </r>
  <r>
    <s v="TX0005-023"/>
    <x v="4"/>
    <s v="VEND0005"/>
    <x v="28"/>
    <n v="142652"/>
  </r>
  <r>
    <s v="TX0005-024"/>
    <x v="4"/>
    <s v="VEND0007"/>
    <x v="160"/>
    <n v="220912"/>
  </r>
  <r>
    <s v="TX0005-025"/>
    <x v="4"/>
    <s v="VEND0014"/>
    <x v="161"/>
    <n v="199956"/>
  </r>
  <r>
    <s v="TX0005-026"/>
    <x v="4"/>
    <s v="VEND0002"/>
    <x v="162"/>
    <n v="153339"/>
  </r>
  <r>
    <s v="TX0005-027"/>
    <x v="4"/>
    <s v="VEND0010"/>
    <x v="115"/>
    <n v="119513"/>
  </r>
  <r>
    <s v="TX0005-028"/>
    <x v="4"/>
    <s v="VEND0008"/>
    <x v="163"/>
    <n v="187156"/>
  </r>
  <r>
    <s v="TX0005-029"/>
    <x v="4"/>
    <s v="VEND0009"/>
    <x v="119"/>
    <n v="152143"/>
  </r>
  <r>
    <s v="TX0005-030"/>
    <x v="4"/>
    <s v="VEND0006"/>
    <x v="121"/>
    <n v="167838"/>
  </r>
  <r>
    <s v="TX0005-031"/>
    <x v="4"/>
    <s v="VEND0006"/>
    <x v="164"/>
    <n v="268552"/>
  </r>
  <r>
    <s v="TX0005-032"/>
    <x v="4"/>
    <s v="VEND0001"/>
    <x v="165"/>
    <n v="222787"/>
  </r>
  <r>
    <s v="TX0005-033"/>
    <x v="4"/>
    <s v="VEND0021"/>
    <x v="166"/>
    <n v="293287"/>
  </r>
  <r>
    <s v="TX0005-034"/>
    <x v="4"/>
    <s v="VEND0004"/>
    <x v="36"/>
    <n v="176905"/>
  </r>
  <r>
    <s v="TX0005-035"/>
    <x v="4"/>
    <s v="VEND0013"/>
    <x v="167"/>
    <n v="153055"/>
  </r>
  <r>
    <s v="TX0005-036"/>
    <x v="4"/>
    <s v="VEND0016"/>
    <x v="167"/>
    <n v="234895"/>
  </r>
  <r>
    <s v="TX0005-037"/>
    <x v="4"/>
    <s v="VEND0018"/>
    <x v="168"/>
    <n v="88648"/>
  </r>
  <r>
    <s v="TX0005-038"/>
    <x v="4"/>
    <s v="VEND0020"/>
    <x v="169"/>
    <n v="142599"/>
  </r>
  <r>
    <s v="TX0005-039"/>
    <x v="4"/>
    <s v="VEND0001"/>
    <x v="170"/>
    <n v="110002"/>
  </r>
  <r>
    <s v="TX0005-040"/>
    <x v="4"/>
    <s v="VEND0006"/>
    <x v="171"/>
    <n v="104695"/>
  </r>
  <r>
    <s v="TX0005-041"/>
    <x v="4"/>
    <s v="VEND0024"/>
    <x v="172"/>
    <n v="232293"/>
  </r>
  <r>
    <s v="TX0005-042"/>
    <x v="4"/>
    <s v="VEND0021"/>
    <x v="130"/>
    <n v="236456"/>
  </r>
  <r>
    <s v="TX0005-043"/>
    <x v="4"/>
    <s v="VEND0021"/>
    <x v="173"/>
    <n v="98766"/>
  </r>
  <r>
    <s v="TX0005-044"/>
    <x v="4"/>
    <s v="VEND0018"/>
    <x v="174"/>
    <n v="104766"/>
  </r>
  <r>
    <s v="TX0005-045"/>
    <x v="4"/>
    <s v="VEND0010"/>
    <x v="175"/>
    <n v="173510"/>
  </r>
  <r>
    <s v="TX0006-001"/>
    <x v="5"/>
    <s v="VEND0003"/>
    <x v="176"/>
    <n v="208476"/>
  </r>
  <r>
    <s v="TX0006-002"/>
    <x v="5"/>
    <s v="VEND0001"/>
    <x v="177"/>
    <n v="86071"/>
  </r>
  <r>
    <s v="TX0006-003"/>
    <x v="5"/>
    <s v="VEND0003"/>
    <x v="3"/>
    <n v="59491"/>
  </r>
  <r>
    <s v="TX0006-004"/>
    <x v="5"/>
    <s v="VEND0010"/>
    <x v="178"/>
    <n v="84472"/>
  </r>
  <r>
    <s v="TX0006-005"/>
    <x v="5"/>
    <s v="VEND0010"/>
    <x v="179"/>
    <n v="92903"/>
  </r>
  <r>
    <s v="TX0006-006"/>
    <x v="5"/>
    <s v="VEND0025"/>
    <x v="180"/>
    <n v="101889"/>
  </r>
  <r>
    <s v="TX0006-007"/>
    <x v="5"/>
    <s v="VEND0009"/>
    <x v="181"/>
    <n v="64599"/>
  </r>
  <r>
    <s v="TX0006-008"/>
    <x v="5"/>
    <s v="VEND0020"/>
    <x v="182"/>
    <n v="315709"/>
  </r>
  <r>
    <s v="TX0006-009"/>
    <x v="5"/>
    <s v="VEND0006"/>
    <x v="146"/>
    <n v="74921"/>
  </r>
  <r>
    <s v="TX0006-010"/>
    <x v="5"/>
    <s v="VEND0008"/>
    <x v="10"/>
    <n v="57283"/>
  </r>
  <r>
    <s v="TX0006-011"/>
    <x v="5"/>
    <s v="VEND0023"/>
    <x v="147"/>
    <n v="60875"/>
  </r>
  <r>
    <s v="TX0006-012"/>
    <x v="5"/>
    <s v="VEND0017"/>
    <x v="183"/>
    <n v="88912"/>
  </r>
  <r>
    <s v="TX0006-013"/>
    <x v="5"/>
    <s v="VEND0024"/>
    <x v="184"/>
    <n v="47883"/>
  </r>
  <r>
    <s v="TX0006-014"/>
    <x v="5"/>
    <s v="VEND0022"/>
    <x v="185"/>
    <n v="110321"/>
  </r>
  <r>
    <s v="TX0006-015"/>
    <x v="5"/>
    <s v="VEND0022"/>
    <x v="186"/>
    <n v="92093"/>
  </r>
  <r>
    <s v="TX0006-016"/>
    <x v="5"/>
    <s v="VEND0002"/>
    <x v="187"/>
    <n v="51423"/>
  </r>
  <r>
    <s v="TX0006-017"/>
    <x v="5"/>
    <s v="VEND0003"/>
    <x v="188"/>
    <n v="73703"/>
  </r>
  <r>
    <s v="TX0006-018"/>
    <x v="5"/>
    <s v="VEND0007"/>
    <x v="189"/>
    <n v="70540"/>
  </r>
  <r>
    <s v="TX0006-019"/>
    <x v="5"/>
    <s v="VEND0010"/>
    <x v="190"/>
    <n v="82520"/>
  </r>
  <r>
    <s v="TX0006-020"/>
    <x v="5"/>
    <s v="VEND0003"/>
    <x v="191"/>
    <n v="90975"/>
  </r>
  <r>
    <s v="TX0006-021"/>
    <x v="5"/>
    <s v="VEND0020"/>
    <x v="192"/>
    <n v="49688"/>
  </r>
  <r>
    <s v="TX0006-022"/>
    <x v="5"/>
    <s v="VEND0016"/>
    <x v="193"/>
    <n v="60434"/>
  </r>
  <r>
    <s v="TX0006-023"/>
    <x v="5"/>
    <s v="VEND0023"/>
    <x v="194"/>
    <n v="42080"/>
  </r>
  <r>
    <s v="TX0006-024"/>
    <x v="5"/>
    <s v="VEND0016"/>
    <x v="195"/>
    <n v="84739"/>
  </r>
  <r>
    <s v="TX0006-025"/>
    <x v="5"/>
    <s v="VEND0002"/>
    <x v="196"/>
    <n v="99332"/>
  </r>
  <r>
    <s v="TX0006-026"/>
    <x v="5"/>
    <s v="VEND0018"/>
    <x v="87"/>
    <n v="39417"/>
  </r>
  <r>
    <s v="TX0006-027"/>
    <x v="5"/>
    <s v="VEND0015"/>
    <x v="197"/>
    <n v="61072"/>
  </r>
  <r>
    <s v="TX0006-028"/>
    <x v="5"/>
    <s v="VEND0025"/>
    <x v="197"/>
    <n v="41092"/>
  </r>
  <r>
    <s v="TX0006-029"/>
    <x v="5"/>
    <s v="VEND0010"/>
    <x v="30"/>
    <n v="59140"/>
  </r>
  <r>
    <s v="TX0006-030"/>
    <x v="5"/>
    <s v="VEND0009"/>
    <x v="198"/>
    <n v="42778"/>
  </r>
  <r>
    <s v="TX0006-031"/>
    <x v="5"/>
    <s v="VEND0019"/>
    <x v="198"/>
    <n v="92008"/>
  </r>
  <r>
    <s v="TX0006-032"/>
    <x v="5"/>
    <s v="VEND0023"/>
    <x v="66"/>
    <n v="100128"/>
  </r>
  <r>
    <s v="TX0006-033"/>
    <x v="5"/>
    <s v="VEND0010"/>
    <x v="199"/>
    <n v="82076"/>
  </r>
  <r>
    <s v="TX0006-034"/>
    <x v="5"/>
    <s v="VEND0024"/>
    <x v="200"/>
    <n v="76155"/>
  </r>
  <r>
    <s v="TX0006-035"/>
    <x v="5"/>
    <s v="VEND0023"/>
    <x v="34"/>
    <n v="90877"/>
  </r>
  <r>
    <s v="TX0006-036"/>
    <x v="5"/>
    <s v="VEND0020"/>
    <x v="201"/>
    <n v="40559"/>
  </r>
  <r>
    <s v="TX0006-037"/>
    <x v="5"/>
    <s v="VEND0019"/>
    <x v="202"/>
    <n v="84287"/>
  </r>
  <r>
    <s v="TX0006-038"/>
    <x v="5"/>
    <s v="VEND0013"/>
    <x v="203"/>
    <n v="77717"/>
  </r>
  <r>
    <s v="TX0006-039"/>
    <x v="5"/>
    <s v="VEND0004"/>
    <x v="204"/>
    <n v="86286"/>
  </r>
  <r>
    <s v="TX0006-040"/>
    <x v="5"/>
    <s v="VEND0005"/>
    <x v="205"/>
    <n v="62590"/>
  </r>
  <r>
    <s v="TX0006-041"/>
    <x v="5"/>
    <s v="VEND0018"/>
    <x v="206"/>
    <n v="40563"/>
  </r>
  <r>
    <s v="TX0006-042"/>
    <x v="5"/>
    <s v="VEND0001"/>
    <x v="207"/>
    <n v="84551"/>
  </r>
  <r>
    <s v="TX0006-043"/>
    <x v="5"/>
    <s v="VEND0024"/>
    <x v="208"/>
    <n v="89590"/>
  </r>
  <r>
    <s v="TX0006-044"/>
    <x v="5"/>
    <s v="VEND0017"/>
    <x v="209"/>
    <n v="44430"/>
  </r>
  <r>
    <s v="TX0006-045"/>
    <x v="5"/>
    <s v="VEND0011"/>
    <x v="42"/>
    <n v="40495"/>
  </r>
  <r>
    <s v="TX0006-046"/>
    <x v="5"/>
    <s v="VEND0012"/>
    <x v="174"/>
    <n v="49214"/>
  </r>
  <r>
    <s v="TX0006-047"/>
    <x v="5"/>
    <s v="VEND0002"/>
    <x v="210"/>
    <n v="92738"/>
  </r>
  <r>
    <s v="TX0006-048"/>
    <x v="5"/>
    <s v="VEND0021"/>
    <x v="133"/>
    <n v="75474"/>
  </r>
  <r>
    <s v="TX0006-049"/>
    <x v="5"/>
    <s v="VEND0006"/>
    <x v="211"/>
    <n v="36556"/>
  </r>
  <r>
    <s v="TX0006-050"/>
    <x v="5"/>
    <s v="VEND0011"/>
    <x v="212"/>
    <n v="82382"/>
  </r>
  <r>
    <s v="TX0006-051"/>
    <x v="5"/>
    <s v="VEND0012"/>
    <x v="213"/>
    <n v="57187"/>
  </r>
  <r>
    <s v="TX0006-052"/>
    <x v="5"/>
    <s v="VEND0013"/>
    <x v="214"/>
    <n v="65535"/>
  </r>
  <r>
    <s v="TX0006-053"/>
    <x v="5"/>
    <s v="VEND0023"/>
    <x v="215"/>
    <n v="69702"/>
  </r>
  <r>
    <s v="TX0006-054"/>
    <x v="5"/>
    <s v="VEND0006"/>
    <x v="216"/>
    <n v="85912"/>
  </r>
  <r>
    <s v="TX0006-055"/>
    <x v="5"/>
    <s v="VEND0011"/>
    <x v="217"/>
    <n v="44422"/>
  </r>
  <r>
    <s v="TX0006-056"/>
    <x v="5"/>
    <s v="VEND0016"/>
    <x v="218"/>
    <n v="49528"/>
  </r>
  <r>
    <s v="TX0006-057"/>
    <x v="5"/>
    <s v="VEND0023"/>
    <x v="219"/>
    <n v="56874"/>
  </r>
  <r>
    <s v="TX0006-058"/>
    <x v="5"/>
    <s v="VEND0013"/>
    <x v="220"/>
    <n v="76062"/>
  </r>
  <r>
    <s v="TX0006-059"/>
    <x v="5"/>
    <s v="VEND0011"/>
    <x v="221"/>
    <n v="56350"/>
  </r>
  <r>
    <s v="TX0006-060"/>
    <x v="5"/>
    <s v="VEND0004"/>
    <x v="222"/>
    <n v="51038"/>
  </r>
  <r>
    <s v="TX0007-001"/>
    <x v="6"/>
    <s v="VEND0002"/>
    <x v="101"/>
    <n v="59362"/>
  </r>
  <r>
    <s v="TX0007-002"/>
    <x v="6"/>
    <s v="VEND0019"/>
    <x v="223"/>
    <n v="33769"/>
  </r>
  <r>
    <s v="TX0007-003"/>
    <x v="6"/>
    <s v="VEND0025"/>
    <x v="147"/>
    <n v="50307"/>
  </r>
  <r>
    <s v="TX0007-004"/>
    <x v="6"/>
    <s v="VEND0010"/>
    <x v="16"/>
    <n v="89751"/>
  </r>
  <r>
    <s v="TX0007-005"/>
    <x v="6"/>
    <s v="VEND0020"/>
    <x v="224"/>
    <n v="56507"/>
  </r>
  <r>
    <s v="TX0007-006"/>
    <x v="6"/>
    <s v="VEND0017"/>
    <x v="183"/>
    <n v="28237"/>
  </r>
  <r>
    <s v="TX0007-007"/>
    <x v="6"/>
    <s v="VEND0005"/>
    <x v="225"/>
    <n v="42779"/>
  </r>
  <r>
    <s v="TX0007-008"/>
    <x v="6"/>
    <s v="VEND0014"/>
    <x v="226"/>
    <n v="75439"/>
  </r>
  <r>
    <s v="TX0007-009"/>
    <x v="6"/>
    <s v="VEND0021"/>
    <x v="227"/>
    <n v="56104"/>
  </r>
  <r>
    <s v="TX0007-010"/>
    <x v="6"/>
    <s v="VEND0002"/>
    <x v="110"/>
    <n v="73334"/>
  </r>
  <r>
    <s v="TX0007-011"/>
    <x v="6"/>
    <s v="VEND0007"/>
    <x v="26"/>
    <n v="64520"/>
  </r>
  <r>
    <s v="TX0007-012"/>
    <x v="6"/>
    <s v="VEND0019"/>
    <x v="111"/>
    <n v="42384"/>
  </r>
  <r>
    <s v="TX0007-013"/>
    <x v="6"/>
    <s v="VEND0025"/>
    <x v="189"/>
    <n v="71907"/>
  </r>
  <r>
    <s v="TX0007-014"/>
    <x v="6"/>
    <s v="VEND0016"/>
    <x v="228"/>
    <n v="35340"/>
  </r>
  <r>
    <s v="TX0007-015"/>
    <x v="6"/>
    <s v="VEND0014"/>
    <x v="158"/>
    <n v="70845"/>
  </r>
  <r>
    <s v="TX0007-016"/>
    <x v="6"/>
    <s v="VEND0009"/>
    <x v="192"/>
    <n v="62724"/>
  </r>
  <r>
    <s v="TX0007-017"/>
    <x v="6"/>
    <s v="VEND0017"/>
    <x v="229"/>
    <n v="38900"/>
  </r>
  <r>
    <s v="TX0007-018"/>
    <x v="6"/>
    <s v="VEND0016"/>
    <x v="162"/>
    <n v="48086"/>
  </r>
  <r>
    <s v="TX0007-019"/>
    <x v="6"/>
    <s v="VEND0015"/>
    <x v="230"/>
    <n v="61938"/>
  </r>
  <r>
    <s v="TX0007-020"/>
    <x v="6"/>
    <s v="VEND0017"/>
    <x v="118"/>
    <n v="48916"/>
  </r>
  <r>
    <s v="TX0007-021"/>
    <x v="6"/>
    <s v="VEND0001"/>
    <x v="119"/>
    <n v="76938"/>
  </r>
  <r>
    <s v="TX0007-022"/>
    <x v="6"/>
    <s v="VEND0007"/>
    <x v="231"/>
    <n v="71961"/>
  </r>
  <r>
    <s v="TX0007-023"/>
    <x v="6"/>
    <s v="VEND0018"/>
    <x v="93"/>
    <n v="56048"/>
  </r>
  <r>
    <s v="TX0007-024"/>
    <x v="6"/>
    <s v="VEND0018"/>
    <x v="232"/>
    <n v="65501"/>
  </r>
  <r>
    <s v="TX0007-025"/>
    <x v="6"/>
    <s v="VEND0008"/>
    <x v="233"/>
    <n v="46842"/>
  </r>
  <r>
    <s v="TX0007-026"/>
    <x v="6"/>
    <s v="VEND0008"/>
    <x v="234"/>
    <n v="36563"/>
  </r>
  <r>
    <s v="TX0007-027"/>
    <x v="6"/>
    <s v="VEND0009"/>
    <x v="235"/>
    <n v="58289"/>
  </r>
  <r>
    <s v="TX0007-028"/>
    <x v="6"/>
    <s v="VEND0015"/>
    <x v="98"/>
    <n v="58472"/>
  </r>
  <r>
    <s v="TX0007-029"/>
    <x v="6"/>
    <s v="VEND0024"/>
    <x v="236"/>
    <n v="25598"/>
  </r>
  <r>
    <s v="TX0007-030"/>
    <x v="6"/>
    <s v="VEND0006"/>
    <x v="237"/>
    <n v="42599"/>
  </r>
  <r>
    <s v="TX0007-031"/>
    <x v="6"/>
    <s v="VEND0001"/>
    <x v="71"/>
    <n v="151465"/>
  </r>
  <r>
    <s v="TX0007-032"/>
    <x v="6"/>
    <s v="VEND0024"/>
    <x v="238"/>
    <n v="227963"/>
  </r>
  <r>
    <s v="TX0007-033"/>
    <x v="6"/>
    <s v="VEND0025"/>
    <x v="127"/>
    <n v="26688"/>
  </r>
  <r>
    <s v="TX0007-034"/>
    <x v="6"/>
    <s v="VEND0004"/>
    <x v="239"/>
    <n v="34074"/>
  </r>
  <r>
    <s v="TX0007-035"/>
    <x v="6"/>
    <s v="VEND0020"/>
    <x v="42"/>
    <n v="46301"/>
  </r>
  <r>
    <s v="TX0007-036"/>
    <x v="6"/>
    <s v="VEND0008"/>
    <x v="132"/>
    <n v="56890"/>
  </r>
  <r>
    <s v="TX0007-037"/>
    <x v="6"/>
    <s v="VEND0006"/>
    <x v="240"/>
    <n v="41850"/>
  </r>
  <r>
    <s v="TX0007-038"/>
    <x v="6"/>
    <s v="VEND0022"/>
    <x v="241"/>
    <n v="47915"/>
  </r>
  <r>
    <s v="TX0007-039"/>
    <x v="6"/>
    <s v="VEND0013"/>
    <x v="242"/>
    <n v="57736"/>
  </r>
  <r>
    <s v="TX0007-040"/>
    <x v="6"/>
    <s v="VEND0007"/>
    <x v="46"/>
    <n v="37735"/>
  </r>
  <r>
    <s v="TX0007-041"/>
    <x v="6"/>
    <s v="VEND0001"/>
    <x v="243"/>
    <n v="38124"/>
  </r>
  <r>
    <s v="TX0007-042"/>
    <x v="6"/>
    <s v="VEND0006"/>
    <x v="211"/>
    <n v="58525"/>
  </r>
  <r>
    <s v="TX0007-043"/>
    <x v="6"/>
    <s v="VEND0008"/>
    <x v="244"/>
    <n v="33438"/>
  </r>
  <r>
    <s v="TX0007-044"/>
    <x v="6"/>
    <s v="VEND0019"/>
    <x v="245"/>
    <n v="52915"/>
  </r>
  <r>
    <s v="TX0007-045"/>
    <x v="6"/>
    <s v="VEND0008"/>
    <x v="141"/>
    <n v="43121"/>
  </r>
  <r>
    <s v="TX0007-046"/>
    <x v="6"/>
    <s v="VEND0013"/>
    <x v="142"/>
    <n v="65091"/>
  </r>
  <r>
    <s v="TX0007-047"/>
    <x v="6"/>
    <s v="VEND0013"/>
    <x v="246"/>
    <n v="29944"/>
  </r>
  <r>
    <s v="TX0007-048"/>
    <x v="6"/>
    <s v="VEND0019"/>
    <x v="52"/>
    <n v="63758"/>
  </r>
  <r>
    <s v="TX0007-049"/>
    <x v="6"/>
    <s v="VEND0025"/>
    <x v="247"/>
    <n v="52501"/>
  </r>
  <r>
    <s v="TX0007-050"/>
    <x v="6"/>
    <s v="VEND0004"/>
    <x v="248"/>
    <n v="47979"/>
  </r>
  <r>
    <s v="TX0007-051"/>
    <x v="6"/>
    <s v="VEND0001"/>
    <x v="249"/>
    <n v="66563"/>
  </r>
  <r>
    <s v="TX0007-052"/>
    <x v="6"/>
    <s v="VEND0004"/>
    <x v="250"/>
    <n v="52902"/>
  </r>
  <r>
    <s v="TX0008-001"/>
    <x v="7"/>
    <s v="VEND0015"/>
    <x v="176"/>
    <n v="71013"/>
  </r>
  <r>
    <s v="TX0008-002"/>
    <x v="7"/>
    <s v="VEND0019"/>
    <x v="251"/>
    <n v="113923"/>
  </r>
  <r>
    <s v="TX0008-003"/>
    <x v="7"/>
    <s v="VEND0025"/>
    <x v="252"/>
    <n v="112677"/>
  </r>
  <r>
    <s v="TX0008-004"/>
    <x v="7"/>
    <s v="VEND0012"/>
    <x v="253"/>
    <n v="122785"/>
  </r>
  <r>
    <s v="TX0008-005"/>
    <x v="7"/>
    <s v="VEND0007"/>
    <x v="254"/>
    <n v="169057"/>
  </r>
  <r>
    <s v="TX0008-006"/>
    <x v="7"/>
    <s v="VEND0008"/>
    <x v="255"/>
    <n v="175070"/>
  </r>
  <r>
    <s v="TX0008-007"/>
    <x v="7"/>
    <s v="VEND0022"/>
    <x v="256"/>
    <n v="157916"/>
  </r>
  <r>
    <s v="TX0008-008"/>
    <x v="7"/>
    <s v="VEND0010"/>
    <x v="257"/>
    <n v="168660"/>
  </r>
  <r>
    <s v="TX0008-009"/>
    <x v="7"/>
    <s v="VEND0023"/>
    <x v="258"/>
    <n v="96838"/>
  </r>
  <r>
    <s v="TX0008-010"/>
    <x v="7"/>
    <s v="VEND0025"/>
    <x v="10"/>
    <n v="107803"/>
  </r>
  <r>
    <s v="TX0008-011"/>
    <x v="7"/>
    <s v="VEND0016"/>
    <x v="259"/>
    <n v="131603"/>
  </r>
  <r>
    <s v="TX0008-012"/>
    <x v="7"/>
    <s v="VEND0004"/>
    <x v="260"/>
    <n v="66234"/>
  </r>
  <r>
    <s v="TX0008-013"/>
    <x v="7"/>
    <s v="VEND0002"/>
    <x v="261"/>
    <n v="59025"/>
  </r>
  <r>
    <s v="TX0008-014"/>
    <x v="7"/>
    <s v="VEND0003"/>
    <x v="262"/>
    <n v="130699"/>
  </r>
  <r>
    <s v="TX0008-015"/>
    <x v="7"/>
    <s v="VEND0006"/>
    <x v="79"/>
    <n v="228107"/>
  </r>
  <r>
    <s v="TX0008-016"/>
    <x v="7"/>
    <s v="VEND0020"/>
    <x v="25"/>
    <n v="174690"/>
  </r>
  <r>
    <s v="TX0008-017"/>
    <x v="7"/>
    <s v="VEND0022"/>
    <x v="188"/>
    <n v="163131"/>
  </r>
  <r>
    <s v="TX0008-018"/>
    <x v="7"/>
    <s v="VEND0007"/>
    <x v="111"/>
    <n v="96298"/>
  </r>
  <r>
    <s v="TX0008-019"/>
    <x v="7"/>
    <s v="VEND0017"/>
    <x v="58"/>
    <n v="153787"/>
  </r>
  <r>
    <s v="TX0008-020"/>
    <x v="7"/>
    <s v="VEND0022"/>
    <x v="263"/>
    <n v="200275"/>
  </r>
  <r>
    <s v="TX0008-021"/>
    <x v="7"/>
    <s v="VEND0021"/>
    <x v="264"/>
    <n v="190613"/>
  </r>
  <r>
    <s v="TX0008-022"/>
    <x v="7"/>
    <s v="VEND0023"/>
    <x v="192"/>
    <n v="117818"/>
  </r>
  <r>
    <s v="TX0008-023"/>
    <x v="7"/>
    <s v="VEND0018"/>
    <x v="265"/>
    <n v="110585"/>
  </r>
  <r>
    <s v="TX0008-024"/>
    <x v="7"/>
    <s v="VEND0009"/>
    <x v="266"/>
    <n v="202007"/>
  </r>
  <r>
    <s v="TX0008-025"/>
    <x v="7"/>
    <s v="VEND0021"/>
    <x v="28"/>
    <n v="77724"/>
  </r>
  <r>
    <s v="TX0008-026"/>
    <x v="7"/>
    <s v="VEND0006"/>
    <x v="115"/>
    <n v="189542"/>
  </r>
  <r>
    <s v="TX0008-027"/>
    <x v="7"/>
    <s v="VEND0007"/>
    <x v="267"/>
    <n v="189721"/>
  </r>
  <r>
    <s v="TX0008-028"/>
    <x v="7"/>
    <s v="VEND0015"/>
    <x v="268"/>
    <n v="81451"/>
  </r>
  <r>
    <s v="TX0008-029"/>
    <x v="7"/>
    <s v="VEND0005"/>
    <x v="269"/>
    <n v="157270"/>
  </r>
  <r>
    <s v="TX0008-030"/>
    <x v="7"/>
    <s v="VEND0014"/>
    <x v="92"/>
    <n v="152908"/>
  </r>
  <r>
    <s v="TX0008-031"/>
    <x v="7"/>
    <s v="VEND0010"/>
    <x v="93"/>
    <n v="190153"/>
  </r>
  <r>
    <s v="TX0008-032"/>
    <x v="7"/>
    <s v="VEND0022"/>
    <x v="232"/>
    <n v="150889"/>
  </r>
  <r>
    <s v="TX0008-033"/>
    <x v="7"/>
    <s v="VEND0021"/>
    <x v="123"/>
    <n v="150521"/>
  </r>
  <r>
    <s v="TX0008-034"/>
    <x v="7"/>
    <s v="VEND0003"/>
    <x v="97"/>
    <n v="170304"/>
  </r>
  <r>
    <s v="TX0008-035"/>
    <x v="7"/>
    <s v="VEND0016"/>
    <x v="270"/>
    <n v="156686"/>
  </r>
  <r>
    <s v="TX0008-036"/>
    <x v="7"/>
    <s v="VEND0005"/>
    <x v="271"/>
    <n v="94108"/>
  </r>
  <r>
    <s v="TX0008-037"/>
    <x v="7"/>
    <s v="VEND0022"/>
    <x v="272"/>
    <n v="102967"/>
  </r>
  <r>
    <s v="TX0008-038"/>
    <x v="7"/>
    <s v="VEND0011"/>
    <x v="238"/>
    <n v="140869"/>
  </r>
  <r>
    <s v="TX0008-039"/>
    <x v="7"/>
    <s v="VEND0006"/>
    <x v="273"/>
    <n v="172427"/>
  </r>
  <r>
    <s v="TX0008-040"/>
    <x v="7"/>
    <s v="VEND0004"/>
    <x v="274"/>
    <n v="91331"/>
  </r>
  <r>
    <s v="TX0008-041"/>
    <x v="7"/>
    <s v="VEND0020"/>
    <x v="169"/>
    <n v="154503"/>
  </r>
  <r>
    <s v="TX0008-042"/>
    <x v="7"/>
    <s v="VEND0013"/>
    <x v="275"/>
    <n v="169206"/>
  </r>
  <r>
    <s v="TX0008-043"/>
    <x v="7"/>
    <s v="VEND0001"/>
    <x v="276"/>
    <n v="105931"/>
  </r>
  <r>
    <s v="TX0008-044"/>
    <x v="7"/>
    <s v="VEND0012"/>
    <x v="277"/>
    <n v="76929"/>
  </r>
  <r>
    <s v="TX0008-045"/>
    <x v="7"/>
    <s v="VEND0021"/>
    <x v="127"/>
    <n v="354643"/>
  </r>
  <r>
    <s v="TX0008-046"/>
    <x v="7"/>
    <s v="VEND0012"/>
    <x v="278"/>
    <n v="569069"/>
  </r>
  <r>
    <s v="TX0008-047"/>
    <x v="7"/>
    <s v="VEND0016"/>
    <x v="279"/>
    <n v="109458"/>
  </r>
  <r>
    <s v="TX0008-048"/>
    <x v="7"/>
    <s v="VEND0006"/>
    <x v="136"/>
    <n v="82151"/>
  </r>
  <r>
    <s v="TX0008-049"/>
    <x v="7"/>
    <s v="VEND0013"/>
    <x v="46"/>
    <n v="110680"/>
  </r>
  <r>
    <s v="TX0008-050"/>
    <x v="7"/>
    <s v="VEND0003"/>
    <x v="47"/>
    <n v="157748"/>
  </r>
  <r>
    <s v="TX0008-051"/>
    <x v="7"/>
    <s v="VEND0023"/>
    <x v="244"/>
    <n v="96431"/>
  </r>
  <r>
    <s v="TX0008-052"/>
    <x v="7"/>
    <s v="VEND0006"/>
    <x v="280"/>
    <n v="83987"/>
  </r>
  <r>
    <s v="TX0008-053"/>
    <x v="7"/>
    <s v="VEND0012"/>
    <x v="281"/>
    <n v="145241"/>
  </r>
  <r>
    <s v="TX0008-054"/>
    <x v="7"/>
    <s v="VEND0011"/>
    <x v="282"/>
    <n v="216600"/>
  </r>
  <r>
    <s v="TX0008-055"/>
    <x v="7"/>
    <s v="VEND0025"/>
    <x v="283"/>
    <n v="67999"/>
  </r>
  <r>
    <s v="TX0008-056"/>
    <x v="7"/>
    <s v="VEND0015"/>
    <x v="248"/>
    <n v="166321"/>
  </r>
  <r>
    <s v="TX0008-057"/>
    <x v="7"/>
    <s v="VEND0004"/>
    <x v="284"/>
    <n v="151937"/>
  </r>
  <r>
    <s v="TX0008-058"/>
    <x v="7"/>
    <s v="VEND0006"/>
    <x v="285"/>
    <n v="162172"/>
  </r>
  <r>
    <s v="TX0008-059"/>
    <x v="7"/>
    <s v="VEND0013"/>
    <x v="219"/>
    <n v="123188"/>
  </r>
  <r>
    <s v="TX0008-060"/>
    <x v="7"/>
    <s v="VEND0025"/>
    <x v="57"/>
    <n v="124462"/>
  </r>
  <r>
    <s v="TX0009-001"/>
    <x v="8"/>
    <s v="VEND0007"/>
    <x v="286"/>
    <n v="278463"/>
  </r>
  <r>
    <s v="TX0009-002"/>
    <x v="8"/>
    <s v="VEND0016"/>
    <x v="287"/>
    <n v="1067516"/>
  </r>
  <r>
    <s v="TX0009-003"/>
    <x v="8"/>
    <s v="VEND0002"/>
    <x v="288"/>
    <n v="245154"/>
  </r>
  <r>
    <s v="TX0009-004"/>
    <x v="8"/>
    <s v="VEND0002"/>
    <x v="289"/>
    <n v="187184"/>
  </r>
  <r>
    <s v="TX0009-005"/>
    <x v="8"/>
    <s v="VEND0018"/>
    <x v="290"/>
    <n v="421899"/>
  </r>
  <r>
    <s v="TX0009-006"/>
    <x v="8"/>
    <s v="VEND0010"/>
    <x v="291"/>
    <n v="506077"/>
  </r>
  <r>
    <s v="TX0009-007"/>
    <x v="8"/>
    <s v="VEND0023"/>
    <x v="292"/>
    <n v="251999"/>
  </r>
  <r>
    <s v="TX0009-008"/>
    <x v="8"/>
    <s v="VEND0014"/>
    <x v="293"/>
    <n v="235109"/>
  </r>
  <r>
    <s v="TX0009-009"/>
    <x v="8"/>
    <s v="VEND0021"/>
    <x v="165"/>
    <n v="379281"/>
  </r>
  <r>
    <s v="TX0009-010"/>
    <x v="8"/>
    <s v="VEND0015"/>
    <x v="123"/>
    <n v="404247"/>
  </r>
  <r>
    <s v="TX0009-011"/>
    <x v="8"/>
    <s v="VEND0021"/>
    <x v="124"/>
    <n v="230337"/>
  </r>
  <r>
    <s v="TX0009-012"/>
    <x v="8"/>
    <s v="VEND0002"/>
    <x v="294"/>
    <n v="353847"/>
  </r>
  <r>
    <s v="TX0009-013"/>
    <x v="8"/>
    <s v="VEND0023"/>
    <x v="295"/>
    <n v="310727"/>
  </r>
  <r>
    <s v="TX0009-014"/>
    <x v="8"/>
    <s v="VEND0009"/>
    <x v="296"/>
    <n v="438387"/>
  </r>
  <r>
    <s v="TX0009-015"/>
    <x v="8"/>
    <s v="VEND0017"/>
    <x v="273"/>
    <n v="301516"/>
  </r>
  <r>
    <s v="TX0009-016"/>
    <x v="8"/>
    <s v="VEND0004"/>
    <x v="126"/>
    <n v="203047"/>
  </r>
  <r>
    <s v="TX0009-017"/>
    <x v="8"/>
    <s v="VEND0019"/>
    <x v="171"/>
    <n v="424329"/>
  </r>
  <r>
    <s v="TX0009-018"/>
    <x v="8"/>
    <s v="VEND0020"/>
    <x v="206"/>
    <n v="157500"/>
  </r>
  <r>
    <s v="TX0009-019"/>
    <x v="8"/>
    <s v="VEND0005"/>
    <x v="297"/>
    <n v="298594"/>
  </r>
  <r>
    <s v="TX0009-020"/>
    <x v="8"/>
    <s v="VEND0013"/>
    <x v="208"/>
    <n v="366263"/>
  </r>
  <r>
    <s v="TX0010-001"/>
    <x v="9"/>
    <s v="VEND0019"/>
    <x v="298"/>
    <n v="421691"/>
  </r>
  <r>
    <s v="TX0010-002"/>
    <x v="9"/>
    <s v="VEND0016"/>
    <x v="25"/>
    <n v="351855"/>
  </r>
  <r>
    <s v="TX0010-003"/>
    <x v="9"/>
    <s v="VEND0010"/>
    <x v="299"/>
    <n v="432607"/>
  </r>
  <r>
    <s v="TX0010-004"/>
    <x v="9"/>
    <s v="VEND0021"/>
    <x v="111"/>
    <n v="366624"/>
  </r>
  <r>
    <s v="TX0010-005"/>
    <x v="9"/>
    <s v="VEND0012"/>
    <x v="111"/>
    <n v="398480"/>
  </r>
  <r>
    <s v="TX0010-006"/>
    <x v="9"/>
    <s v="VEND0001"/>
    <x v="300"/>
    <n v="483199"/>
  </r>
  <r>
    <s v="TX0010-007"/>
    <x v="9"/>
    <s v="VEND0001"/>
    <x v="301"/>
    <n v="283870"/>
  </r>
  <r>
    <s v="TX0010-008"/>
    <x v="9"/>
    <s v="VEND0014"/>
    <x v="302"/>
    <n v="243724"/>
  </r>
  <r>
    <s v="TX0010-009"/>
    <x v="9"/>
    <s v="VEND0008"/>
    <x v="60"/>
    <n v="402320"/>
  </r>
  <r>
    <s v="TX0010-010"/>
    <x v="9"/>
    <s v="VEND0011"/>
    <x v="28"/>
    <n v="395123"/>
  </r>
  <r>
    <s v="TX0010-011"/>
    <x v="9"/>
    <s v="VEND0015"/>
    <x v="303"/>
    <n v="248933"/>
  </r>
  <r>
    <s v="TX0010-012"/>
    <x v="9"/>
    <s v="VEND0020"/>
    <x v="31"/>
    <n v="411237"/>
  </r>
  <r>
    <s v="TX0010-013"/>
    <x v="9"/>
    <s v="VEND0023"/>
    <x v="304"/>
    <n v="234448"/>
  </r>
  <r>
    <s v="TX0010-014"/>
    <x v="9"/>
    <s v="VEND0007"/>
    <x v="290"/>
    <n v="545292"/>
  </r>
  <r>
    <s v="TX0010-015"/>
    <x v="9"/>
    <s v="VEND0013"/>
    <x v="269"/>
    <n v="382838"/>
  </r>
  <r>
    <s v="TX0010-016"/>
    <x v="9"/>
    <s v="VEND0023"/>
    <x v="69"/>
    <n v="597273"/>
  </r>
  <r>
    <s v="TX0010-017"/>
    <x v="9"/>
    <s v="VEND0006"/>
    <x v="305"/>
    <n v="354183"/>
  </r>
  <r>
    <s v="TX0010-018"/>
    <x v="9"/>
    <s v="VEND0023"/>
    <x v="306"/>
    <n v="234200"/>
  </r>
  <r>
    <s v="TX0010-019"/>
    <x v="9"/>
    <s v="VEND0019"/>
    <x v="99"/>
    <n v="346045"/>
  </r>
  <r>
    <s v="TX0010-020"/>
    <x v="9"/>
    <s v="VEND0014"/>
    <x v="71"/>
    <n v="515295"/>
  </r>
  <r>
    <s v="TX0010-021"/>
    <x v="9"/>
    <s v="VEND0003"/>
    <x v="307"/>
    <n v="295022"/>
  </r>
  <r>
    <s v="TX0010-022"/>
    <x v="9"/>
    <s v="VEND0020"/>
    <x v="272"/>
    <n v="219778"/>
  </r>
  <r>
    <s v="TX0011-001"/>
    <x v="10"/>
    <s v="VEND0012"/>
    <x v="308"/>
    <n v="143775"/>
  </r>
  <r>
    <s v="TX0011-002"/>
    <x v="10"/>
    <s v="VEND0024"/>
    <x v="309"/>
    <n v="53083"/>
  </r>
  <r>
    <s v="TX0011-003"/>
    <x v="10"/>
    <s v="VEND0014"/>
    <x v="310"/>
    <n v="60235"/>
  </r>
  <r>
    <s v="TX0011-004"/>
    <x v="10"/>
    <s v="VEND0025"/>
    <x v="73"/>
    <n v="34014"/>
  </r>
  <r>
    <s v="TX0011-005"/>
    <x v="10"/>
    <s v="VEND0009"/>
    <x v="311"/>
    <n v="65520"/>
  </r>
  <r>
    <s v="TX0011-006"/>
    <x v="10"/>
    <s v="VEND0023"/>
    <x v="312"/>
    <n v="41270"/>
  </r>
  <r>
    <s v="TX0011-007"/>
    <x v="10"/>
    <s v="VEND0013"/>
    <x v="313"/>
    <n v="42874"/>
  </r>
  <r>
    <s v="TX0011-008"/>
    <x v="10"/>
    <s v="VEND0019"/>
    <x v="314"/>
    <n v="50442"/>
  </r>
  <r>
    <s v="TX0011-009"/>
    <x v="10"/>
    <s v="VEND0015"/>
    <x v="315"/>
    <n v="56250"/>
  </r>
  <r>
    <s v="TX0011-010"/>
    <x v="10"/>
    <s v="VEND0012"/>
    <x v="316"/>
    <n v="59314"/>
  </r>
  <r>
    <s v="TX0011-011"/>
    <x v="10"/>
    <s v="VEND0003"/>
    <x v="317"/>
    <n v="52398"/>
  </r>
  <r>
    <s v="TX0011-012"/>
    <x v="10"/>
    <s v="VEND0003"/>
    <x v="262"/>
    <n v="50157"/>
  </r>
  <r>
    <s v="TX0011-013"/>
    <x v="10"/>
    <s v="VEND0021"/>
    <x v="17"/>
    <n v="42863"/>
  </r>
  <r>
    <s v="TX0011-014"/>
    <x v="10"/>
    <s v="VEND0015"/>
    <x v="318"/>
    <n v="38320"/>
  </r>
  <r>
    <s v="TX0011-015"/>
    <x v="10"/>
    <s v="VEND0007"/>
    <x v="110"/>
    <n v="69884"/>
  </r>
  <r>
    <s v="TX0011-016"/>
    <x v="10"/>
    <s v="VEND0011"/>
    <x v="187"/>
    <n v="45995"/>
  </r>
  <r>
    <s v="TX0011-017"/>
    <x v="10"/>
    <s v="VEND0004"/>
    <x v="319"/>
    <n v="64914"/>
  </r>
  <r>
    <s v="TX0011-018"/>
    <x v="10"/>
    <s v="VEND0008"/>
    <x v="320"/>
    <n v="58946"/>
  </r>
  <r>
    <s v="TX0011-019"/>
    <x v="10"/>
    <s v="VEND0009"/>
    <x v="321"/>
    <n v="54115"/>
  </r>
  <r>
    <s v="TX0011-020"/>
    <x v="10"/>
    <s v="VEND0008"/>
    <x v="155"/>
    <n v="29541"/>
  </r>
  <r>
    <s v="TX0011-021"/>
    <x v="10"/>
    <s v="VEND0022"/>
    <x v="25"/>
    <n v="39942"/>
  </r>
  <r>
    <s v="TX0011-022"/>
    <x v="10"/>
    <s v="VEND0011"/>
    <x v="322"/>
    <n v="36780"/>
  </r>
  <r>
    <s v="TX0011-023"/>
    <x v="10"/>
    <s v="VEND0004"/>
    <x v="111"/>
    <n v="52153"/>
  </r>
  <r>
    <s v="TX0011-024"/>
    <x v="10"/>
    <s v="VEND0015"/>
    <x v="323"/>
    <n v="63531"/>
  </r>
  <r>
    <s v="TX0011-025"/>
    <x v="10"/>
    <s v="VEND0009"/>
    <x v="324"/>
    <n v="37899"/>
  </r>
  <r>
    <s v="TX0011-026"/>
    <x v="10"/>
    <s v="VEND0013"/>
    <x v="325"/>
    <n v="32657"/>
  </r>
  <r>
    <s v="TX0011-027"/>
    <x v="10"/>
    <s v="VEND0014"/>
    <x v="67"/>
    <n v="207389"/>
  </r>
  <r>
    <s v="TX0011-028"/>
    <x v="10"/>
    <s v="VEND0002"/>
    <x v="326"/>
    <n v="61384"/>
  </r>
  <r>
    <s v="TX0011-029"/>
    <x v="10"/>
    <s v="VEND0016"/>
    <x v="199"/>
    <n v="178021"/>
  </r>
  <r>
    <s v="TX0011-030"/>
    <x v="10"/>
    <s v="VEND0019"/>
    <x v="327"/>
    <n v="52377"/>
  </r>
  <r>
    <s v="TX0011-031"/>
    <x v="10"/>
    <s v="VEND0019"/>
    <x v="327"/>
    <n v="43837"/>
  </r>
  <r>
    <s v="TX0011-032"/>
    <x v="10"/>
    <s v="VEND0002"/>
    <x v="328"/>
    <n v="62421"/>
  </r>
  <r>
    <s v="TX0011-033"/>
    <x v="10"/>
    <s v="VEND0017"/>
    <x v="92"/>
    <n v="69762"/>
  </r>
  <r>
    <s v="TX0011-034"/>
    <x v="10"/>
    <s v="VEND0017"/>
    <x v="329"/>
    <n v="37615"/>
  </r>
  <r>
    <s v="TX0011-035"/>
    <x v="10"/>
    <s v="VEND0011"/>
    <x v="330"/>
    <n v="45081"/>
  </r>
  <r>
    <s v="TX0011-036"/>
    <x v="10"/>
    <s v="VEND0008"/>
    <x v="95"/>
    <n v="49237"/>
  </r>
  <r>
    <s v="TX0011-037"/>
    <x v="10"/>
    <s v="VEND0017"/>
    <x v="97"/>
    <n v="70182"/>
  </r>
  <r>
    <s v="TX0011-038"/>
    <x v="10"/>
    <s v="VEND0015"/>
    <x v="124"/>
    <n v="39785"/>
  </r>
  <r>
    <s v="TX0011-039"/>
    <x v="10"/>
    <s v="VEND0011"/>
    <x v="331"/>
    <n v="124296"/>
  </r>
  <r>
    <s v="TX0011-040"/>
    <x v="10"/>
    <s v="VEND0010"/>
    <x v="332"/>
    <n v="64813"/>
  </r>
  <r>
    <s v="TX0011-041"/>
    <x v="10"/>
    <s v="VEND0019"/>
    <x v="333"/>
    <n v="86547"/>
  </r>
  <r>
    <s v="TX0011-042"/>
    <x v="10"/>
    <s v="VEND0011"/>
    <x v="277"/>
    <n v="46639"/>
  </r>
  <r>
    <s v="TX0011-043"/>
    <x v="10"/>
    <s v="VEND0024"/>
    <x v="334"/>
    <n v="45429"/>
  </r>
  <r>
    <s v="TX0011-044"/>
    <x v="10"/>
    <s v="VEND0011"/>
    <x v="240"/>
    <n v="27599"/>
  </r>
  <r>
    <s v="TX0011-045"/>
    <x v="10"/>
    <s v="VEND0018"/>
    <x v="335"/>
    <n v="24830"/>
  </r>
  <r>
    <s v="TX0011-046"/>
    <x v="10"/>
    <s v="VEND0011"/>
    <x v="335"/>
    <n v="25505"/>
  </r>
  <r>
    <s v="TX0011-047"/>
    <x v="10"/>
    <s v="VEND0007"/>
    <x v="336"/>
    <n v="65739"/>
  </r>
  <r>
    <s v="TX0011-048"/>
    <x v="10"/>
    <s v="VEND0012"/>
    <x v="337"/>
    <n v="45088"/>
  </r>
  <r>
    <s v="TX0011-049"/>
    <x v="10"/>
    <s v="VEND0016"/>
    <x v="338"/>
    <n v="66970"/>
  </r>
  <r>
    <s v="TX0011-050"/>
    <x v="10"/>
    <s v="VEND0004"/>
    <x v="242"/>
    <n v="103587"/>
  </r>
  <r>
    <s v="TX0011-051"/>
    <x v="10"/>
    <s v="VEND0002"/>
    <x v="212"/>
    <n v="29209"/>
  </r>
  <r>
    <s v="TX0011-052"/>
    <x v="10"/>
    <s v="VEND0015"/>
    <x v="339"/>
    <n v="67189"/>
  </r>
  <r>
    <s v="TX0011-053"/>
    <x v="10"/>
    <s v="VEND0004"/>
    <x v="340"/>
    <n v="66848"/>
  </r>
  <r>
    <s v="TX0011-054"/>
    <x v="10"/>
    <s v="VEND0021"/>
    <x v="341"/>
    <n v="25605"/>
  </r>
  <r>
    <s v="TX0011-055"/>
    <x v="10"/>
    <s v="VEND0021"/>
    <x v="52"/>
    <n v="27710"/>
  </r>
  <r>
    <s v="TX0011-056"/>
    <x v="10"/>
    <s v="VEND0013"/>
    <x v="342"/>
    <n v="29695"/>
  </r>
  <r>
    <s v="TX0011-057"/>
    <x v="10"/>
    <s v="VEND0006"/>
    <x v="216"/>
    <n v="61137"/>
  </r>
  <r>
    <s v="TX0011-058"/>
    <x v="10"/>
    <s v="VEND0015"/>
    <x v="343"/>
    <n v="54966"/>
  </r>
  <r>
    <s v="TX0011-059"/>
    <x v="10"/>
    <s v="VEND0006"/>
    <x v="344"/>
    <n v="67497"/>
  </r>
  <r>
    <s v="TX0011-060"/>
    <x v="10"/>
    <s v="VEND0011"/>
    <x v="344"/>
    <n v="27344"/>
  </r>
  <r>
    <s v="TX0012-001"/>
    <x v="11"/>
    <s v="VEND0018"/>
    <x v="345"/>
    <n v="124454"/>
  </r>
  <r>
    <s v="TX0012-002"/>
    <x v="11"/>
    <s v="VEND0016"/>
    <x v="346"/>
    <n v="210410"/>
  </r>
  <r>
    <s v="TX0012-003"/>
    <x v="11"/>
    <s v="VEND0016"/>
    <x v="153"/>
    <n v="237300"/>
  </r>
  <r>
    <s v="TX0012-004"/>
    <x v="11"/>
    <s v="VEND0012"/>
    <x v="318"/>
    <n v="139837"/>
  </r>
  <r>
    <s v="TX0012-005"/>
    <x v="11"/>
    <s v="VEND0005"/>
    <x v="185"/>
    <n v="274246"/>
  </r>
  <r>
    <s v="TX0012-006"/>
    <x v="11"/>
    <s v="VEND0023"/>
    <x v="79"/>
    <n v="599546"/>
  </r>
  <r>
    <s v="TX0012-007"/>
    <x v="11"/>
    <s v="VEND0025"/>
    <x v="347"/>
    <n v="120846"/>
  </r>
  <r>
    <s v="TX0012-008"/>
    <x v="11"/>
    <s v="VEND0005"/>
    <x v="348"/>
    <n v="186377"/>
  </r>
  <r>
    <s v="TX0012-009"/>
    <x v="11"/>
    <s v="VEND0002"/>
    <x v="299"/>
    <n v="169318"/>
  </r>
  <r>
    <s v="TX0012-010"/>
    <x v="11"/>
    <s v="VEND0023"/>
    <x v="349"/>
    <n v="240247"/>
  </r>
  <r>
    <s v="TX0012-011"/>
    <x v="11"/>
    <s v="VEND0002"/>
    <x v="350"/>
    <n v="426098"/>
  </r>
  <r>
    <s v="TX0012-012"/>
    <x v="11"/>
    <s v="VEND0004"/>
    <x v="351"/>
    <n v="211048"/>
  </r>
  <r>
    <s v="TX0012-013"/>
    <x v="11"/>
    <s v="VEND0021"/>
    <x v="61"/>
    <n v="179522"/>
  </r>
  <r>
    <s v="TX0012-014"/>
    <x v="11"/>
    <s v="VEND0001"/>
    <x v="286"/>
    <n v="444480"/>
  </r>
  <r>
    <s v="TX0012-015"/>
    <x v="11"/>
    <s v="VEND0014"/>
    <x v="88"/>
    <n v="189168"/>
  </r>
  <r>
    <s v="TX0012-016"/>
    <x v="11"/>
    <s v="VEND0016"/>
    <x v="267"/>
    <n v="292638"/>
  </r>
  <r>
    <s v="TX0012-017"/>
    <x v="11"/>
    <s v="VEND0003"/>
    <x v="352"/>
    <n v="99100"/>
  </r>
  <r>
    <s v="TX0012-018"/>
    <x v="11"/>
    <s v="VEND0013"/>
    <x v="353"/>
    <n v="127293"/>
  </r>
  <r>
    <s v="TX0012-019"/>
    <x v="11"/>
    <s v="VEND0013"/>
    <x v="354"/>
    <n v="229962"/>
  </r>
  <r>
    <s v="TX0012-020"/>
    <x v="11"/>
    <s v="VEND0014"/>
    <x v="354"/>
    <n v="273885"/>
  </r>
  <r>
    <s v="TX0012-021"/>
    <x v="11"/>
    <s v="VEND0024"/>
    <x v="199"/>
    <n v="119764"/>
  </r>
  <r>
    <s v="TX0012-022"/>
    <x v="11"/>
    <s v="VEND0025"/>
    <x v="328"/>
    <n v="192659"/>
  </r>
  <r>
    <s v="TX0012-023"/>
    <x v="11"/>
    <s v="VEND0023"/>
    <x v="355"/>
    <n v="152690"/>
  </r>
  <r>
    <s v="TX0012-024"/>
    <x v="11"/>
    <s v="VEND0006"/>
    <x v="68"/>
    <n v="233562"/>
  </r>
  <r>
    <s v="TX0012-025"/>
    <x v="11"/>
    <s v="VEND0009"/>
    <x v="305"/>
    <n v="98489"/>
  </r>
  <r>
    <s v="TX0012-026"/>
    <x v="11"/>
    <s v="VEND0023"/>
    <x v="237"/>
    <n v="211607"/>
  </r>
  <r>
    <s v="TX0012-027"/>
    <x v="11"/>
    <s v="VEND0018"/>
    <x v="307"/>
    <n v="115377"/>
  </r>
  <r>
    <s v="TX0013-001"/>
    <x v="12"/>
    <s v="VEND0016"/>
    <x v="356"/>
    <n v="76646"/>
  </r>
  <r>
    <s v="TX0013-002"/>
    <x v="12"/>
    <s v="VEND0009"/>
    <x v="357"/>
    <n v="62474"/>
  </r>
  <r>
    <s v="TX0013-003"/>
    <x v="12"/>
    <s v="VEND0023"/>
    <x v="358"/>
    <n v="77748"/>
  </r>
  <r>
    <s v="TX0013-004"/>
    <x v="12"/>
    <s v="VEND0012"/>
    <x v="311"/>
    <n v="68511"/>
  </r>
  <r>
    <s v="TX0013-005"/>
    <x v="12"/>
    <s v="VEND0011"/>
    <x v="359"/>
    <n v="45992"/>
  </r>
  <r>
    <s v="TX0013-006"/>
    <x v="12"/>
    <s v="VEND0016"/>
    <x v="74"/>
    <n v="90565"/>
  </r>
  <r>
    <s v="TX0013-007"/>
    <x v="12"/>
    <s v="VEND0003"/>
    <x v="360"/>
    <n v="42248"/>
  </r>
  <r>
    <s v="TX0013-008"/>
    <x v="12"/>
    <s v="VEND0005"/>
    <x v="9"/>
    <n v="110651"/>
  </r>
  <r>
    <s v="TX0013-009"/>
    <x v="12"/>
    <s v="VEND0004"/>
    <x v="361"/>
    <n v="70528"/>
  </r>
  <r>
    <s v="TX0013-010"/>
    <x v="12"/>
    <s v="VEND0017"/>
    <x v="78"/>
    <n v="110302"/>
  </r>
  <r>
    <s v="TX0013-011"/>
    <x v="12"/>
    <s v="VEND0010"/>
    <x v="362"/>
    <n v="91940"/>
  </r>
  <r>
    <s v="TX0013-012"/>
    <x v="12"/>
    <s v="VEND0008"/>
    <x v="150"/>
    <n v="99085"/>
  </r>
  <r>
    <s v="TX0013-013"/>
    <x v="12"/>
    <s v="VEND0019"/>
    <x v="79"/>
    <n v="299329"/>
  </r>
  <r>
    <s v="TX0013-014"/>
    <x v="12"/>
    <s v="VEND0022"/>
    <x v="298"/>
    <n v="103388"/>
  </r>
  <r>
    <s v="TX0013-015"/>
    <x v="12"/>
    <s v="VEND0020"/>
    <x v="264"/>
    <n v="94591"/>
  </r>
  <r>
    <s v="TX0013-016"/>
    <x v="12"/>
    <s v="VEND0018"/>
    <x v="302"/>
    <n v="80605"/>
  </r>
  <r>
    <s v="TX0013-017"/>
    <x v="12"/>
    <s v="VEND0003"/>
    <x v="265"/>
    <n v="65229"/>
  </r>
  <r>
    <s v="TX0013-018"/>
    <x v="12"/>
    <s v="VEND0007"/>
    <x v="113"/>
    <n v="58301"/>
  </r>
  <r>
    <s v="TX0013-019"/>
    <x v="12"/>
    <s v="VEND0019"/>
    <x v="363"/>
    <n v="55050"/>
  </r>
  <r>
    <s v="TX0013-020"/>
    <x v="12"/>
    <s v="VEND0013"/>
    <x v="160"/>
    <n v="72605"/>
  </r>
  <r>
    <s v="TX0013-021"/>
    <x v="12"/>
    <s v="VEND0014"/>
    <x v="364"/>
    <n v="103158"/>
  </r>
  <r>
    <s v="TX0013-022"/>
    <x v="12"/>
    <s v="VEND0011"/>
    <x v="365"/>
    <n v="105993"/>
  </r>
  <r>
    <s v="TX0013-023"/>
    <x v="12"/>
    <s v="VEND0006"/>
    <x v="366"/>
    <n v="86180"/>
  </r>
  <r>
    <s v="TX0013-024"/>
    <x v="12"/>
    <s v="VEND0021"/>
    <x v="367"/>
    <n v="60782"/>
  </r>
  <r>
    <s v="TX0013-025"/>
    <x v="12"/>
    <s v="VEND0003"/>
    <x v="353"/>
    <n v="133886"/>
  </r>
  <r>
    <s v="TX0013-026"/>
    <x v="12"/>
    <s v="VEND0012"/>
    <x v="269"/>
    <n v="68965"/>
  </r>
  <r>
    <s v="TX0013-027"/>
    <x v="12"/>
    <s v="VEND0014"/>
    <x v="329"/>
    <n v="75265"/>
  </r>
  <r>
    <s v="TX0013-028"/>
    <x v="12"/>
    <s v="VEND0004"/>
    <x v="122"/>
    <n v="92687"/>
  </r>
  <r>
    <s v="TX0013-029"/>
    <x v="12"/>
    <s v="VEND0016"/>
    <x v="200"/>
    <n v="125843"/>
  </r>
  <r>
    <s v="TX0013-030"/>
    <x v="12"/>
    <s v="VEND0005"/>
    <x v="200"/>
    <n v="127708"/>
  </r>
  <r>
    <s v="TX0013-031"/>
    <x v="12"/>
    <s v="VEND0002"/>
    <x v="98"/>
    <n v="47353"/>
  </r>
  <r>
    <s v="TX0013-032"/>
    <x v="12"/>
    <s v="VEND0025"/>
    <x v="368"/>
    <n v="99793"/>
  </r>
  <r>
    <s v="TX0013-033"/>
    <x v="12"/>
    <s v="VEND0005"/>
    <x v="35"/>
    <n v="39319"/>
  </r>
  <r>
    <s v="TX0013-034"/>
    <x v="12"/>
    <s v="VEND0003"/>
    <x v="294"/>
    <n v="46107"/>
  </r>
  <r>
    <s v="TX0013-035"/>
    <x v="12"/>
    <s v="VEND0010"/>
    <x v="307"/>
    <n v="187968"/>
  </r>
  <r>
    <s v="TX0013-036"/>
    <x v="12"/>
    <s v="VEND0020"/>
    <x v="307"/>
    <n v="71864"/>
  </r>
  <r>
    <s v="TX0013-037"/>
    <x v="12"/>
    <s v="VEND0007"/>
    <x v="171"/>
    <n v="39188"/>
  </r>
  <r>
    <s v="TX0013-038"/>
    <x v="12"/>
    <s v="VEND0020"/>
    <x v="278"/>
    <n v="40176"/>
  </r>
  <r>
    <s v="TX0013-039"/>
    <x v="12"/>
    <s v="VEND0016"/>
    <x v="369"/>
    <n v="78901"/>
  </r>
  <r>
    <s v="TX0013-040"/>
    <x v="12"/>
    <s v="VEND0011"/>
    <x v="42"/>
    <n v="76566"/>
  </r>
  <r>
    <s v="TX0013-041"/>
    <x v="12"/>
    <s v="VEND0024"/>
    <x v="370"/>
    <n v="207649"/>
  </r>
  <r>
    <s v="TX0013-042"/>
    <x v="12"/>
    <s v="VEND0024"/>
    <x v="370"/>
    <n v="371223"/>
  </r>
  <r>
    <s v="TX0013-043"/>
    <x v="12"/>
    <s v="VEND0015"/>
    <x v="371"/>
    <n v="73380"/>
  </r>
  <r>
    <s v="TX0013-044"/>
    <x v="12"/>
    <s v="VEND0022"/>
    <x v="372"/>
    <n v="104724"/>
  </r>
  <r>
    <s v="TX0013-045"/>
    <x v="12"/>
    <s v="VEND0025"/>
    <x v="373"/>
    <n v="72539"/>
  </r>
  <r>
    <s v="TX0013-046"/>
    <x v="12"/>
    <s v="VEND0004"/>
    <x v="374"/>
    <n v="100022"/>
  </r>
  <r>
    <s v="TX0013-047"/>
    <x v="12"/>
    <s v="VEND0003"/>
    <x v="138"/>
    <n v="105782"/>
  </r>
  <r>
    <s v="TX0013-048"/>
    <x v="12"/>
    <s v="VEND0021"/>
    <x v="375"/>
    <n v="66546"/>
  </r>
  <r>
    <s v="TX0013-049"/>
    <x v="12"/>
    <s v="VEND0010"/>
    <x v="50"/>
    <n v="58598"/>
  </r>
  <r>
    <s v="TX0013-050"/>
    <x v="12"/>
    <s v="VEND0021"/>
    <x v="376"/>
    <n v="40714"/>
  </r>
  <r>
    <s v="TX0013-051"/>
    <x v="12"/>
    <s v="VEND0002"/>
    <x v="377"/>
    <n v="64018"/>
  </r>
  <r>
    <s v="TX0013-052"/>
    <x v="12"/>
    <s v="VEND0004"/>
    <x v="378"/>
    <n v="108510"/>
  </r>
  <r>
    <s v="TX0013-053"/>
    <x v="12"/>
    <s v="VEND0013"/>
    <x v="379"/>
    <n v="100229"/>
  </r>
  <r>
    <s v="TX0013-054"/>
    <x v="12"/>
    <s v="VEND0008"/>
    <x v="249"/>
    <n v="83829"/>
  </r>
  <r>
    <s v="TX0013-055"/>
    <x v="12"/>
    <s v="VEND0006"/>
    <x v="380"/>
    <n v="84516"/>
  </r>
  <r>
    <s v="TX0013-056"/>
    <x v="12"/>
    <s v="VEND0020"/>
    <x v="381"/>
    <n v="68013"/>
  </r>
  <r>
    <s v="TX0013-057"/>
    <x v="12"/>
    <s v="VEND0005"/>
    <x v="382"/>
    <n v="88501"/>
  </r>
  <r>
    <s v="TX0013-058"/>
    <x v="12"/>
    <s v="VEND0023"/>
    <x v="382"/>
    <n v="48319"/>
  </r>
  <r>
    <s v="TX0013-059"/>
    <x v="12"/>
    <s v="VEND0004"/>
    <x v="383"/>
    <n v="112336"/>
  </r>
  <r>
    <s v="TX0013-060"/>
    <x v="12"/>
    <s v="VEND0006"/>
    <x v="384"/>
    <n v="45706"/>
  </r>
  <r>
    <s v="TX0014-001"/>
    <x v="13"/>
    <s v="VEND0014"/>
    <x v="101"/>
    <n v="168095"/>
  </r>
  <r>
    <s v="TX0014-002"/>
    <x v="13"/>
    <s v="VEND0019"/>
    <x v="12"/>
    <n v="159935"/>
  </r>
  <r>
    <s v="TX0014-003"/>
    <x v="13"/>
    <s v="VEND0010"/>
    <x v="103"/>
    <n v="238784"/>
  </r>
  <r>
    <s v="TX0014-004"/>
    <x v="13"/>
    <s v="VEND0016"/>
    <x v="315"/>
    <n v="215596"/>
  </r>
  <r>
    <s v="TX0014-005"/>
    <x v="13"/>
    <s v="VEND0015"/>
    <x v="316"/>
    <n v="219035"/>
  </r>
  <r>
    <s v="TX0014-006"/>
    <x v="13"/>
    <s v="VEND0025"/>
    <x v="385"/>
    <n v="205674"/>
  </r>
  <r>
    <s v="TX0014-007"/>
    <x v="13"/>
    <s v="VEND0013"/>
    <x v="14"/>
    <n v="120772"/>
  </r>
  <r>
    <s v="TX0014-008"/>
    <x v="13"/>
    <s v="VEND0011"/>
    <x v="386"/>
    <n v="171134"/>
  </r>
  <r>
    <s v="TX0014-009"/>
    <x v="13"/>
    <s v="VEND0003"/>
    <x v="387"/>
    <n v="188085"/>
  </r>
  <r>
    <s v="TX0014-010"/>
    <x v="13"/>
    <s v="VEND0016"/>
    <x v="262"/>
    <n v="96639"/>
  </r>
  <r>
    <s v="TX0014-011"/>
    <x v="13"/>
    <s v="VEND0022"/>
    <x v="183"/>
    <n v="151672"/>
  </r>
  <r>
    <s v="TX0014-012"/>
    <x v="13"/>
    <s v="VEND0011"/>
    <x v="388"/>
    <n v="123261"/>
  </r>
  <r>
    <s v="TX0014-013"/>
    <x v="13"/>
    <s v="VEND0006"/>
    <x v="107"/>
    <n v="844085"/>
  </r>
  <r>
    <s v="TX0014-014"/>
    <x v="13"/>
    <s v="VEND0015"/>
    <x v="389"/>
    <n v="117506"/>
  </r>
  <r>
    <s v="TX0014-015"/>
    <x v="13"/>
    <s v="VEND0023"/>
    <x v="81"/>
    <n v="156151"/>
  </r>
  <r>
    <s v="TX0014-016"/>
    <x v="13"/>
    <s v="VEND0022"/>
    <x v="390"/>
    <n v="289737"/>
  </r>
  <r>
    <s v="TX0014-017"/>
    <x v="13"/>
    <s v="VEND0014"/>
    <x v="21"/>
    <n v="234797"/>
  </r>
  <r>
    <s v="TX0014-018"/>
    <x v="13"/>
    <s v="VEND0012"/>
    <x v="23"/>
    <n v="226045"/>
  </r>
  <r>
    <s v="TX0014-019"/>
    <x v="13"/>
    <s v="VEND0019"/>
    <x v="391"/>
    <n v="111437"/>
  </r>
  <r>
    <s v="TX0014-020"/>
    <x v="13"/>
    <s v="VEND0021"/>
    <x v="392"/>
    <n v="207403"/>
  </r>
  <r>
    <s v="TX0014-021"/>
    <x v="13"/>
    <s v="VEND0001"/>
    <x v="393"/>
    <n v="272966"/>
  </r>
  <r>
    <s v="TX0014-022"/>
    <x v="13"/>
    <s v="VEND0005"/>
    <x v="394"/>
    <n v="183832"/>
  </r>
  <r>
    <s v="TX0014-023"/>
    <x v="13"/>
    <s v="VEND0005"/>
    <x v="189"/>
    <n v="294553"/>
  </r>
  <r>
    <s v="TX0014-024"/>
    <x v="13"/>
    <s v="VEND0004"/>
    <x v="395"/>
    <n v="259933"/>
  </r>
  <r>
    <s v="TX0014-025"/>
    <x v="13"/>
    <s v="VEND0011"/>
    <x v="325"/>
    <n v="117192"/>
  </r>
  <r>
    <s v="TX0014-026"/>
    <x v="13"/>
    <s v="VEND0018"/>
    <x v="289"/>
    <n v="171289"/>
  </r>
  <r>
    <s v="TX0014-027"/>
    <x v="13"/>
    <s v="VEND0007"/>
    <x v="327"/>
    <n v="280861"/>
  </r>
  <r>
    <s v="TX0014-028"/>
    <x v="13"/>
    <s v="VEND0018"/>
    <x v="355"/>
    <n v="117169"/>
  </r>
  <r>
    <s v="TX0014-029"/>
    <x v="13"/>
    <s v="VEND0004"/>
    <x v="121"/>
    <n v="124636"/>
  </r>
  <r>
    <s v="TX0014-030"/>
    <x v="13"/>
    <s v="VEND0022"/>
    <x v="164"/>
    <n v="103399"/>
  </r>
  <r>
    <s v="TX0014-031"/>
    <x v="13"/>
    <s v="VEND0002"/>
    <x v="396"/>
    <n v="255753"/>
  </r>
  <r>
    <s v="TX0014-032"/>
    <x v="13"/>
    <s v="VEND0022"/>
    <x v="95"/>
    <n v="298388"/>
  </r>
  <r>
    <s v="TX0014-033"/>
    <x v="13"/>
    <s v="VEND0002"/>
    <x v="397"/>
    <n v="267830"/>
  </r>
  <r>
    <s v="TX0014-034"/>
    <x v="13"/>
    <s v="VEND0024"/>
    <x v="201"/>
    <n v="164328"/>
  </r>
  <r>
    <s v="TX0014-035"/>
    <x v="13"/>
    <s v="VEND0017"/>
    <x v="35"/>
    <n v="183351"/>
  </r>
  <r>
    <s v="TX0014-036"/>
    <x v="13"/>
    <s v="VEND0010"/>
    <x v="398"/>
    <n v="234843"/>
  </r>
  <r>
    <s v="TX0014-037"/>
    <x v="13"/>
    <s v="VEND0002"/>
    <x v="399"/>
    <n v="557284"/>
  </r>
  <r>
    <s v="TX0014-038"/>
    <x v="13"/>
    <s v="VEND0004"/>
    <x v="400"/>
    <n v="116973"/>
  </r>
  <r>
    <s v="TX0014-039"/>
    <x v="13"/>
    <s v="VEND0022"/>
    <x v="334"/>
    <n v="129390"/>
  </r>
  <r>
    <s v="TX0014-040"/>
    <x v="13"/>
    <s v="VEND0021"/>
    <x v="401"/>
    <n v="206284"/>
  </r>
  <r>
    <s v="TX0014-041"/>
    <x v="13"/>
    <s v="VEND0019"/>
    <x v="128"/>
    <n v="124654"/>
  </r>
  <r>
    <s v="TX0014-042"/>
    <x v="13"/>
    <s v="VEND0009"/>
    <x v="402"/>
    <n v="213339"/>
  </r>
  <r>
    <s v="TX0014-043"/>
    <x v="13"/>
    <s v="VEND0008"/>
    <x v="42"/>
    <n v="170006"/>
  </r>
  <r>
    <s v="TX0014-044"/>
    <x v="13"/>
    <s v="VEND0004"/>
    <x v="241"/>
    <n v="90248"/>
  </r>
  <r>
    <s v="TX0014-045"/>
    <x v="13"/>
    <s v="VEND0005"/>
    <x v="371"/>
    <n v="125479"/>
  </r>
  <r>
    <s v="TX0015-001"/>
    <x v="14"/>
    <s v="VEND0015"/>
    <x v="3"/>
    <n v="31135"/>
  </r>
  <r>
    <s v="TX0015-002"/>
    <x v="14"/>
    <s v="VEND0014"/>
    <x v="403"/>
    <n v="18097"/>
  </r>
  <r>
    <s v="TX0015-003"/>
    <x v="14"/>
    <s v="VEND0009"/>
    <x v="74"/>
    <n v="26583"/>
  </r>
  <r>
    <s v="TX0015-004"/>
    <x v="14"/>
    <s v="VEND0015"/>
    <x v="255"/>
    <n v="19389"/>
  </r>
  <r>
    <s v="TX0015-005"/>
    <x v="14"/>
    <s v="VEND0012"/>
    <x v="404"/>
    <n v="34088"/>
  </r>
  <r>
    <s v="TX0015-006"/>
    <x v="14"/>
    <s v="VEND0013"/>
    <x v="9"/>
    <n v="24459"/>
  </r>
  <r>
    <s v="TX0015-007"/>
    <x v="14"/>
    <s v="VEND0010"/>
    <x v="76"/>
    <n v="31940"/>
  </r>
  <r>
    <s v="TX0015-008"/>
    <x v="14"/>
    <s v="VEND0006"/>
    <x v="147"/>
    <n v="36071"/>
  </r>
  <r>
    <s v="TX0015-009"/>
    <x v="14"/>
    <s v="VEND0010"/>
    <x v="15"/>
    <n v="40349"/>
  </r>
  <r>
    <s v="TX0015-010"/>
    <x v="14"/>
    <s v="VEND0016"/>
    <x v="405"/>
    <n v="23671"/>
  </r>
  <r>
    <s v="TX0015-011"/>
    <x v="14"/>
    <s v="VEND0013"/>
    <x v="107"/>
    <n v="29733"/>
  </r>
  <r>
    <s v="TX0015-012"/>
    <x v="14"/>
    <s v="VEND0013"/>
    <x v="80"/>
    <n v="34230"/>
  </r>
  <r>
    <s v="TX0015-013"/>
    <x v="14"/>
    <s v="VEND0015"/>
    <x v="406"/>
    <n v="51509"/>
  </r>
  <r>
    <s v="TX0015-014"/>
    <x v="14"/>
    <s v="VEND0019"/>
    <x v="389"/>
    <n v="51877"/>
  </r>
  <r>
    <s v="TX0015-015"/>
    <x v="14"/>
    <s v="VEND0023"/>
    <x v="110"/>
    <n v="27403"/>
  </r>
  <r>
    <s v="TX0015-016"/>
    <x v="14"/>
    <s v="VEND0021"/>
    <x v="407"/>
    <n v="42001"/>
  </r>
  <r>
    <s v="TX0015-017"/>
    <x v="14"/>
    <s v="VEND0018"/>
    <x v="319"/>
    <n v="49821"/>
  </r>
  <r>
    <s v="TX0015-018"/>
    <x v="14"/>
    <s v="VEND0013"/>
    <x v="408"/>
    <n v="44294"/>
  </r>
  <r>
    <s v="TX0015-019"/>
    <x v="14"/>
    <s v="VEND0013"/>
    <x v="58"/>
    <n v="36595"/>
  </r>
  <r>
    <s v="TX0015-020"/>
    <x v="14"/>
    <s v="VEND0006"/>
    <x v="83"/>
    <n v="27827"/>
  </r>
  <r>
    <s v="TX0015-021"/>
    <x v="14"/>
    <s v="VEND0016"/>
    <x v="84"/>
    <n v="40907"/>
  </r>
  <r>
    <s v="TX0015-022"/>
    <x v="14"/>
    <s v="VEND0008"/>
    <x v="409"/>
    <n v="104402"/>
  </r>
  <r>
    <s v="TX0016-001"/>
    <x v="15"/>
    <s v="VEND0008"/>
    <x v="410"/>
    <n v="37361"/>
  </r>
  <r>
    <s v="TX0016-002"/>
    <x v="15"/>
    <s v="VEND0001"/>
    <x v="411"/>
    <n v="35682"/>
  </r>
  <r>
    <s v="TX0016-003"/>
    <x v="15"/>
    <s v="VEND0019"/>
    <x v="308"/>
    <n v="48553"/>
  </r>
  <r>
    <s v="TX0016-004"/>
    <x v="15"/>
    <s v="VEND0016"/>
    <x v="357"/>
    <n v="35897"/>
  </r>
  <r>
    <s v="TX0016-005"/>
    <x v="15"/>
    <s v="VEND0008"/>
    <x v="412"/>
    <n v="36065"/>
  </r>
  <r>
    <s v="TX0016-006"/>
    <x v="15"/>
    <s v="VEND0001"/>
    <x v="412"/>
    <n v="53398"/>
  </r>
  <r>
    <s v="TX0016-007"/>
    <x v="15"/>
    <s v="VEND0020"/>
    <x v="311"/>
    <n v="33494"/>
  </r>
  <r>
    <s v="TX0016-008"/>
    <x v="15"/>
    <s v="VEND0022"/>
    <x v="182"/>
    <n v="39629"/>
  </r>
  <r>
    <s v="TX0016-009"/>
    <x v="15"/>
    <s v="VEND0010"/>
    <x v="413"/>
    <n v="52153"/>
  </r>
  <r>
    <s v="TX0016-010"/>
    <x v="15"/>
    <s v="VEND0004"/>
    <x v="103"/>
    <n v="39246"/>
  </r>
  <r>
    <s v="TX0016-011"/>
    <x v="15"/>
    <s v="VEND0002"/>
    <x v="414"/>
    <n v="52290"/>
  </r>
  <r>
    <s v="TX0016-012"/>
    <x v="15"/>
    <s v="VEND0013"/>
    <x v="149"/>
    <n v="54988"/>
  </r>
  <r>
    <s v="TX0016-013"/>
    <x v="15"/>
    <s v="VEND0021"/>
    <x v="387"/>
    <n v="60541"/>
  </r>
  <r>
    <s v="TX0016-014"/>
    <x v="15"/>
    <s v="VEND0011"/>
    <x v="261"/>
    <n v="42380"/>
  </r>
  <r>
    <s v="TX0016-015"/>
    <x v="15"/>
    <s v="VEND0014"/>
    <x v="224"/>
    <n v="25108"/>
  </r>
  <r>
    <s v="TX0016-016"/>
    <x v="15"/>
    <s v="VEND0005"/>
    <x v="415"/>
    <n v="65587"/>
  </r>
  <r>
    <s v="TX0016-017"/>
    <x v="15"/>
    <s v="VEND0004"/>
    <x v="388"/>
    <n v="41892"/>
  </r>
  <r>
    <s v="TX0016-018"/>
    <x v="15"/>
    <s v="VEND0009"/>
    <x v="416"/>
    <n v="33477"/>
  </r>
  <r>
    <s v="TX0016-019"/>
    <x v="15"/>
    <s v="VEND0001"/>
    <x v="417"/>
    <n v="28871"/>
  </r>
  <r>
    <s v="TX0016-020"/>
    <x v="15"/>
    <s v="VEND0013"/>
    <x v="406"/>
    <n v="53404"/>
  </r>
  <r>
    <s v="TX0016-021"/>
    <x v="15"/>
    <s v="VEND0002"/>
    <x v="418"/>
    <n v="101220"/>
  </r>
  <r>
    <s v="TX0016-022"/>
    <x v="15"/>
    <s v="VEND0006"/>
    <x v="226"/>
    <n v="35093"/>
  </r>
  <r>
    <s v="TX0016-023"/>
    <x v="15"/>
    <s v="VEND0004"/>
    <x v="419"/>
    <n v="60736"/>
  </r>
  <r>
    <s v="TX0016-024"/>
    <x v="15"/>
    <s v="VEND0014"/>
    <x v="408"/>
    <n v="43111"/>
  </r>
  <r>
    <s v="TX0016-025"/>
    <x v="15"/>
    <s v="VEND0004"/>
    <x v="188"/>
    <n v="37111"/>
  </r>
  <r>
    <s v="TX0016-026"/>
    <x v="15"/>
    <s v="VEND0011"/>
    <x v="60"/>
    <n v="37044"/>
  </r>
  <r>
    <s v="TX0016-027"/>
    <x v="15"/>
    <s v="VEND0025"/>
    <x v="420"/>
    <n v="186597"/>
  </r>
  <r>
    <s v="TX0016-028"/>
    <x v="15"/>
    <s v="VEND0001"/>
    <x v="351"/>
    <n v="46199"/>
  </r>
  <r>
    <s v="TX0016-029"/>
    <x v="15"/>
    <s v="VEND0017"/>
    <x v="88"/>
    <n v="72277"/>
  </r>
  <r>
    <s v="TX0016-030"/>
    <x v="15"/>
    <s v="VEND0013"/>
    <x v="421"/>
    <n v="35837"/>
  </r>
  <r>
    <s v="TX0016-031"/>
    <x v="15"/>
    <s v="VEND0001"/>
    <x v="422"/>
    <n v="34933"/>
  </r>
  <r>
    <s v="TX0016-032"/>
    <x v="15"/>
    <s v="VEND0002"/>
    <x v="328"/>
    <n v="62716"/>
  </r>
  <r>
    <s v="TX0016-033"/>
    <x v="15"/>
    <s v="VEND0001"/>
    <x v="268"/>
    <n v="61550"/>
  </r>
  <r>
    <s v="TX0016-034"/>
    <x v="15"/>
    <s v="VEND0009"/>
    <x v="93"/>
    <n v="59220"/>
  </r>
  <r>
    <s v="TX0016-035"/>
    <x v="15"/>
    <s v="VEND0011"/>
    <x v="233"/>
    <n v="228508"/>
  </r>
  <r>
    <s v="TX0016-036"/>
    <x v="15"/>
    <s v="VEND0021"/>
    <x v="293"/>
    <n v="45225"/>
  </r>
  <r>
    <s v="TX0016-037"/>
    <x v="15"/>
    <s v="VEND0003"/>
    <x v="97"/>
    <n v="53809"/>
  </r>
  <r>
    <s v="TX0016-038"/>
    <x v="15"/>
    <s v="VEND0006"/>
    <x v="236"/>
    <n v="27984"/>
  </r>
  <r>
    <s v="TX0016-039"/>
    <x v="15"/>
    <s v="VEND0013"/>
    <x v="368"/>
    <n v="74874"/>
  </r>
  <r>
    <s v="TX0016-040"/>
    <x v="15"/>
    <s v="VEND0010"/>
    <x v="35"/>
    <n v="39042"/>
  </r>
  <r>
    <s v="TX0016-041"/>
    <x v="15"/>
    <s v="VEND0013"/>
    <x v="423"/>
    <n v="58109"/>
  </r>
  <r>
    <s v="TX0016-042"/>
    <x v="15"/>
    <s v="VEND0002"/>
    <x v="271"/>
    <n v="62527"/>
  </r>
  <r>
    <s v="TX0016-043"/>
    <x v="15"/>
    <s v="VEND0013"/>
    <x v="424"/>
    <n v="25557"/>
  </r>
  <r>
    <s v="TX0016-044"/>
    <x v="15"/>
    <s v="VEND0020"/>
    <x v="274"/>
    <n v="23968"/>
  </r>
  <r>
    <s v="TX0016-045"/>
    <x v="15"/>
    <s v="VEND0002"/>
    <x v="204"/>
    <n v="22424"/>
  </r>
  <r>
    <s v="TX0016-046"/>
    <x v="15"/>
    <s v="VEND0018"/>
    <x v="204"/>
    <n v="52749"/>
  </r>
  <r>
    <s v="TX0016-047"/>
    <x v="15"/>
    <s v="VEND0012"/>
    <x v="168"/>
    <n v="41982"/>
  </r>
  <r>
    <s v="TX0016-048"/>
    <x v="15"/>
    <s v="VEND0001"/>
    <x v="425"/>
    <n v="22306"/>
  </r>
  <r>
    <s v="TX0016-049"/>
    <x v="15"/>
    <s v="VEND0020"/>
    <x v="172"/>
    <n v="24172"/>
  </r>
  <r>
    <s v="TX0016-050"/>
    <x v="15"/>
    <s v="VEND0022"/>
    <x v="278"/>
    <n v="44135"/>
  </r>
  <r>
    <s v="TX0016-051"/>
    <x v="15"/>
    <s v="VEND0006"/>
    <x v="426"/>
    <n v="44137"/>
  </r>
  <r>
    <s v="TX0016-052"/>
    <x v="15"/>
    <s v="VEND0020"/>
    <x v="173"/>
    <n v="27021"/>
  </r>
  <r>
    <s v="TX0016-053"/>
    <x v="15"/>
    <s v="VEND0005"/>
    <x v="427"/>
    <n v="38661"/>
  </r>
  <r>
    <s v="TX0016-054"/>
    <x v="15"/>
    <s v="VEND0020"/>
    <x v="428"/>
    <n v="23520"/>
  </r>
  <r>
    <s v="TX0016-055"/>
    <x v="15"/>
    <s v="VEND0005"/>
    <x v="429"/>
    <n v="48574"/>
  </r>
  <r>
    <s v="TX0016-056"/>
    <x v="15"/>
    <s v="VEND0008"/>
    <x v="430"/>
    <n v="34631"/>
  </r>
  <r>
    <s v="TX0016-057"/>
    <x v="15"/>
    <s v="VEND0025"/>
    <x v="431"/>
    <n v="34095"/>
  </r>
  <r>
    <s v="TX0016-058"/>
    <x v="15"/>
    <s v="VEND0005"/>
    <x v="285"/>
    <n v="32363"/>
  </r>
  <r>
    <s v="TX0016-059"/>
    <x v="15"/>
    <s v="VEND0013"/>
    <x v="432"/>
    <n v="30728"/>
  </r>
  <r>
    <s v="TX0016-060"/>
    <x v="15"/>
    <s v="VEND0014"/>
    <x v="433"/>
    <n v="49265"/>
  </r>
  <r>
    <s v="TX0017-001"/>
    <x v="16"/>
    <s v="VEND0010"/>
    <x v="103"/>
    <n v="45390"/>
  </r>
  <r>
    <s v="TX0017-002"/>
    <x v="16"/>
    <s v="VEND0020"/>
    <x v="434"/>
    <n v="23859"/>
  </r>
  <r>
    <s v="TX0017-003"/>
    <x v="16"/>
    <s v="VEND0002"/>
    <x v="78"/>
    <n v="52386"/>
  </r>
  <r>
    <s v="TX0017-004"/>
    <x v="16"/>
    <s v="VEND0004"/>
    <x v="435"/>
    <n v="28636"/>
  </r>
  <r>
    <s v="TX0017-005"/>
    <x v="16"/>
    <s v="VEND0002"/>
    <x v="436"/>
    <n v="46842"/>
  </r>
  <r>
    <s v="TX0017-006"/>
    <x v="16"/>
    <s v="VEND0024"/>
    <x v="437"/>
    <n v="31610"/>
  </r>
  <r>
    <s v="TX0017-007"/>
    <x v="16"/>
    <s v="VEND0016"/>
    <x v="416"/>
    <n v="42082"/>
  </r>
  <r>
    <s v="TX0017-008"/>
    <x v="16"/>
    <s v="VEND0001"/>
    <x v="108"/>
    <n v="23521"/>
  </r>
  <r>
    <s v="TX0017-009"/>
    <x v="16"/>
    <s v="VEND0010"/>
    <x v="438"/>
    <n v="26211"/>
  </r>
  <r>
    <s v="TX0017-010"/>
    <x v="16"/>
    <s v="VEND0007"/>
    <x v="439"/>
    <n v="26524"/>
  </r>
  <r>
    <s v="TX0017-011"/>
    <x v="16"/>
    <s v="VEND0017"/>
    <x v="440"/>
    <n v="44730"/>
  </r>
  <r>
    <s v="TX0017-012"/>
    <x v="16"/>
    <s v="VEND0014"/>
    <x v="298"/>
    <n v="30088"/>
  </r>
  <r>
    <s v="TX0017-013"/>
    <x v="16"/>
    <s v="VEND0020"/>
    <x v="322"/>
    <n v="49007"/>
  </r>
  <r>
    <s v="TX0017-014"/>
    <x v="16"/>
    <s v="VEND0024"/>
    <x v="83"/>
    <n v="70516"/>
  </r>
  <r>
    <s v="TX0017-015"/>
    <x v="16"/>
    <s v="VEND0023"/>
    <x v="158"/>
    <n v="20485"/>
  </r>
  <r>
    <s v="TX0017-016"/>
    <x v="16"/>
    <s v="VEND0007"/>
    <x v="301"/>
    <n v="26740"/>
  </r>
  <r>
    <s v="TX0017-017"/>
    <x v="16"/>
    <s v="VEND0016"/>
    <x v="409"/>
    <n v="26654"/>
  </r>
  <r>
    <s v="TX0017-018"/>
    <x v="16"/>
    <s v="VEND0020"/>
    <x v="441"/>
    <n v="52982"/>
  </r>
  <r>
    <s v="TX0017-019"/>
    <x v="16"/>
    <s v="VEND0011"/>
    <x v="61"/>
    <n v="46973"/>
  </r>
  <r>
    <s v="TX0017-020"/>
    <x v="16"/>
    <s v="VEND0001"/>
    <x v="195"/>
    <n v="32214"/>
  </r>
  <r>
    <s v="TX0017-021"/>
    <x v="16"/>
    <s v="VEND0008"/>
    <x v="122"/>
    <n v="52414"/>
  </r>
  <r>
    <s v="TX0017-022"/>
    <x v="16"/>
    <s v="VEND0004"/>
    <x v="123"/>
    <n v="43619"/>
  </r>
  <r>
    <s v="TX0017-023"/>
    <x v="16"/>
    <s v="VEND0025"/>
    <x v="442"/>
    <n v="34458"/>
  </r>
  <r>
    <s v="TX0017-024"/>
    <x v="16"/>
    <s v="VEND0021"/>
    <x v="443"/>
    <n v="43442"/>
  </r>
  <r>
    <s v="TX0017-025"/>
    <x v="16"/>
    <s v="VEND0010"/>
    <x v="444"/>
    <n v="41580"/>
  </r>
  <r>
    <s v="TX0017-026"/>
    <x v="16"/>
    <s v="VEND0019"/>
    <x v="36"/>
    <n v="44420"/>
  </r>
  <r>
    <s v="TX0017-027"/>
    <x v="16"/>
    <s v="VEND0003"/>
    <x v="272"/>
    <n v="51145"/>
  </r>
  <r>
    <s v="TX0017-028"/>
    <x v="16"/>
    <s v="VEND0023"/>
    <x v="203"/>
    <n v="69175"/>
  </r>
  <r>
    <s v="TX0017-029"/>
    <x v="16"/>
    <s v="VEND0002"/>
    <x v="274"/>
    <n v="47860"/>
  </r>
  <r>
    <s v="TX0017-030"/>
    <x v="16"/>
    <s v="VEND0014"/>
    <x v="445"/>
    <n v="42571"/>
  </r>
  <r>
    <s v="TX0017-031"/>
    <x v="16"/>
    <s v="VEND0022"/>
    <x v="446"/>
    <n v="21020"/>
  </r>
  <r>
    <s v="TX0017-032"/>
    <x v="16"/>
    <s v="VEND0022"/>
    <x v="447"/>
    <n v="19073"/>
  </r>
  <r>
    <s v="TX0017-033"/>
    <x v="16"/>
    <s v="VEND0022"/>
    <x v="448"/>
    <n v="45545"/>
  </r>
  <r>
    <s v="TX0017-034"/>
    <x v="16"/>
    <s v="VEND0025"/>
    <x v="449"/>
    <n v="37408"/>
  </r>
  <r>
    <s v="TX0017-035"/>
    <x v="16"/>
    <s v="VEND0008"/>
    <x v="450"/>
    <n v="21290"/>
  </r>
  <r>
    <s v="TX0017-036"/>
    <x v="16"/>
    <s v="VEND0002"/>
    <x v="451"/>
    <n v="19200"/>
  </r>
  <r>
    <s v="TX0017-037"/>
    <x v="16"/>
    <s v="VEND0020"/>
    <x v="452"/>
    <n v="24817"/>
  </r>
  <r>
    <s v="TX0017-038"/>
    <x v="16"/>
    <s v="VEND0014"/>
    <x v="453"/>
    <n v="18486"/>
  </r>
  <r>
    <s v="TX0017-039"/>
    <x v="16"/>
    <s v="VEND0009"/>
    <x v="454"/>
    <n v="18436"/>
  </r>
  <r>
    <s v="TX0017-040"/>
    <x v="16"/>
    <s v="VEND0005"/>
    <x v="455"/>
    <n v="29299"/>
  </r>
  <r>
    <s v="TX0017-041"/>
    <x v="16"/>
    <s v="VEND0011"/>
    <x v="133"/>
    <n v="40835"/>
  </r>
  <r>
    <s v="TX0017-042"/>
    <x v="16"/>
    <s v="VEND0019"/>
    <x v="456"/>
    <n v="41881"/>
  </r>
  <r>
    <s v="TX0017-043"/>
    <x v="16"/>
    <s v="VEND0018"/>
    <x v="372"/>
    <n v="37527"/>
  </r>
  <r>
    <s v="TX0017-044"/>
    <x v="16"/>
    <s v="VEND0018"/>
    <x v="457"/>
    <n v="36774"/>
  </r>
  <r>
    <s v="TX0017-045"/>
    <x v="16"/>
    <s v="VEND0004"/>
    <x v="458"/>
    <n v="23599"/>
  </r>
  <r>
    <s v="TX0017-046"/>
    <x v="16"/>
    <s v="VEND0009"/>
    <x v="340"/>
    <n v="34766"/>
  </r>
  <r>
    <s v="TX0017-047"/>
    <x v="16"/>
    <s v="VEND0004"/>
    <x v="459"/>
    <n v="33316"/>
  </r>
  <r>
    <s v="TX0018-001"/>
    <x v="17"/>
    <s v="VEND0010"/>
    <x v="404"/>
    <n v="46669"/>
  </r>
  <r>
    <s v="TX0018-002"/>
    <x v="17"/>
    <s v="VEND0018"/>
    <x v="460"/>
    <n v="45244"/>
  </r>
  <r>
    <s v="TX0018-003"/>
    <x v="17"/>
    <s v="VEND0018"/>
    <x v="314"/>
    <n v="52124"/>
  </r>
  <r>
    <s v="TX0018-004"/>
    <x v="17"/>
    <s v="VEND0007"/>
    <x v="461"/>
    <n v="26306"/>
  </r>
  <r>
    <s v="TX0018-005"/>
    <x v="17"/>
    <s v="VEND0014"/>
    <x v="434"/>
    <n v="53493"/>
  </r>
  <r>
    <s v="TX0018-006"/>
    <x v="17"/>
    <s v="VEND0003"/>
    <x v="15"/>
    <n v="40850"/>
  </r>
  <r>
    <s v="TX0018-007"/>
    <x v="17"/>
    <s v="VEND0013"/>
    <x v="462"/>
    <n v="21591"/>
  </r>
  <r>
    <s v="TX0018-008"/>
    <x v="17"/>
    <s v="VEND0010"/>
    <x v="345"/>
    <n v="45171"/>
  </r>
  <r>
    <s v="TX0018-009"/>
    <x v="17"/>
    <s v="VEND0017"/>
    <x v="463"/>
    <n v="62269"/>
  </r>
  <r>
    <s v="TX0018-010"/>
    <x v="17"/>
    <s v="VEND0012"/>
    <x v="225"/>
    <n v="43430"/>
  </r>
  <r>
    <s v="TX0018-011"/>
    <x v="17"/>
    <s v="VEND0001"/>
    <x v="347"/>
    <n v="22307"/>
  </r>
  <r>
    <s v="TX0018-012"/>
    <x v="17"/>
    <s v="VEND0015"/>
    <x v="464"/>
    <n v="33882"/>
  </r>
  <r>
    <s v="TX0018-013"/>
    <x v="17"/>
    <s v="VEND0003"/>
    <x v="465"/>
    <n v="44909"/>
  </r>
  <r>
    <s v="TX0018-014"/>
    <x v="17"/>
    <s v="VEND0012"/>
    <x v="407"/>
    <n v="62815"/>
  </r>
  <r>
    <s v="TX0018-015"/>
    <x v="17"/>
    <s v="VEND0014"/>
    <x v="419"/>
    <n v="40108"/>
  </r>
  <r>
    <s v="TX0018-016"/>
    <x v="17"/>
    <s v="VEND0004"/>
    <x v="466"/>
    <n v="54128"/>
  </r>
  <r>
    <s v="TX0018-017"/>
    <x v="17"/>
    <s v="VEND0015"/>
    <x v="84"/>
    <n v="49595"/>
  </r>
  <r>
    <s v="TX0018-018"/>
    <x v="17"/>
    <s v="VEND0012"/>
    <x v="302"/>
    <n v="25211"/>
  </r>
  <r>
    <s v="TX0018-019"/>
    <x v="17"/>
    <s v="VEND0002"/>
    <x v="86"/>
    <n v="24343"/>
  </r>
  <r>
    <s v="TX0018-020"/>
    <x v="17"/>
    <s v="VEND0023"/>
    <x v="29"/>
    <n v="32542"/>
  </r>
  <r>
    <s v="TX0018-021"/>
    <x v="17"/>
    <s v="VEND0023"/>
    <x v="88"/>
    <n v="58720"/>
  </r>
  <r>
    <s v="TX0018-022"/>
    <x v="17"/>
    <s v="VEND0011"/>
    <x v="230"/>
    <n v="25298"/>
  </r>
  <r>
    <s v="TX0018-023"/>
    <x v="17"/>
    <s v="VEND0017"/>
    <x v="90"/>
    <n v="55658"/>
  </r>
  <r>
    <s v="TX0018-024"/>
    <x v="17"/>
    <s v="VEND0003"/>
    <x v="467"/>
    <n v="43064"/>
  </r>
  <r>
    <s v="TX0018-025"/>
    <x v="17"/>
    <s v="VEND0018"/>
    <x v="468"/>
    <n v="38772"/>
  </r>
  <r>
    <s v="TX0018-026"/>
    <x v="17"/>
    <s v="VEND0024"/>
    <x v="120"/>
    <n v="25945"/>
  </r>
  <r>
    <s v="TX0018-027"/>
    <x v="17"/>
    <s v="VEND0001"/>
    <x v="327"/>
    <n v="55985"/>
  </r>
  <r>
    <s v="TX0018-028"/>
    <x v="17"/>
    <s v="VEND0020"/>
    <x v="469"/>
    <n v="50916"/>
  </r>
  <r>
    <s v="TX0018-029"/>
    <x v="17"/>
    <s v="VEND0018"/>
    <x v="442"/>
    <n v="53829"/>
  </r>
  <r>
    <s v="TX0018-030"/>
    <x v="17"/>
    <s v="VEND0020"/>
    <x v="470"/>
    <n v="49307"/>
  </r>
  <r>
    <s v="TX0018-031"/>
    <x v="17"/>
    <s v="VEND0013"/>
    <x v="471"/>
    <n v="51463"/>
  </r>
  <r>
    <s v="TX0018-032"/>
    <x v="17"/>
    <s v="VEND0020"/>
    <x v="239"/>
    <n v="50669"/>
  </r>
  <r>
    <s v="TX0018-033"/>
    <x v="17"/>
    <s v="VEND0001"/>
    <x v="401"/>
    <n v="39168"/>
  </r>
  <r>
    <s v="TX0018-034"/>
    <x v="17"/>
    <s v="VEND0007"/>
    <x v="40"/>
    <n v="47863"/>
  </r>
  <r>
    <s v="TX0018-035"/>
    <x v="17"/>
    <s v="VEND0019"/>
    <x v="451"/>
    <n v="49692"/>
  </r>
  <r>
    <s v="TX0018-036"/>
    <x v="17"/>
    <s v="VEND0014"/>
    <x v="453"/>
    <n v="20561"/>
  </r>
  <r>
    <s v="TX0018-037"/>
    <x v="17"/>
    <s v="VEND0004"/>
    <x v="240"/>
    <n v="29940"/>
  </r>
  <r>
    <s v="TX0018-038"/>
    <x v="17"/>
    <s v="VEND0007"/>
    <x v="455"/>
    <n v="107366"/>
  </r>
  <r>
    <s v="TX0018-039"/>
    <x v="17"/>
    <s v="VEND0003"/>
    <x v="472"/>
    <n v="27785"/>
  </r>
  <r>
    <s v="TX0018-040"/>
    <x v="17"/>
    <s v="VEND0011"/>
    <x v="473"/>
    <n v="31152"/>
  </r>
  <r>
    <s v="TX0018-041"/>
    <x v="17"/>
    <s v="VEND0011"/>
    <x v="428"/>
    <n v="31181"/>
  </r>
  <r>
    <s v="TX0018-042"/>
    <x v="17"/>
    <s v="VEND0002"/>
    <x v="474"/>
    <n v="41445"/>
  </r>
  <r>
    <s v="TX0018-043"/>
    <x v="17"/>
    <s v="VEND0014"/>
    <x v="475"/>
    <n v="21736"/>
  </r>
  <r>
    <s v="TX0018-044"/>
    <x v="17"/>
    <s v="VEND0012"/>
    <x v="47"/>
    <n v="30304"/>
  </r>
  <r>
    <s v="TX0018-045"/>
    <x v="17"/>
    <s v="VEND0021"/>
    <x v="49"/>
    <n v="51400"/>
  </r>
  <r>
    <s v="TX0018-046"/>
    <x v="17"/>
    <s v="VEND0021"/>
    <x v="49"/>
    <n v="53242"/>
  </r>
  <r>
    <s v="TX0018-047"/>
    <x v="17"/>
    <s v="VEND0020"/>
    <x v="476"/>
    <n v="37443"/>
  </r>
  <r>
    <s v="TX0018-048"/>
    <x v="17"/>
    <s v="VEND0017"/>
    <x v="477"/>
    <n v="52980"/>
  </r>
  <r>
    <s v="TX0018-049"/>
    <x v="17"/>
    <s v="VEND0024"/>
    <x v="375"/>
    <n v="54448"/>
  </r>
  <r>
    <s v="TX0018-050"/>
    <x v="17"/>
    <s v="VEND0003"/>
    <x v="478"/>
    <n v="20304"/>
  </r>
  <r>
    <s v="TX0018-051"/>
    <x v="17"/>
    <s v="VEND0004"/>
    <x v="51"/>
    <n v="19275"/>
  </r>
  <r>
    <s v="TX0018-052"/>
    <x v="17"/>
    <s v="VEND0011"/>
    <x v="479"/>
    <n v="39466"/>
  </r>
  <r>
    <s v="TX0018-053"/>
    <x v="17"/>
    <s v="VEND0007"/>
    <x v="480"/>
    <n v="52231"/>
  </r>
  <r>
    <s v="TX0018-054"/>
    <x v="17"/>
    <s v="VEND0005"/>
    <x v="217"/>
    <n v="32192"/>
  </r>
  <r>
    <s v="TX0018-055"/>
    <x v="17"/>
    <s v="VEND0018"/>
    <x v="481"/>
    <n v="46242"/>
  </r>
  <r>
    <s v="TX0018-056"/>
    <x v="17"/>
    <s v="VEND0018"/>
    <x v="285"/>
    <n v="48048"/>
  </r>
  <r>
    <s v="TX0018-057"/>
    <x v="17"/>
    <s v="VEND0011"/>
    <x v="482"/>
    <n v="43042"/>
  </r>
  <r>
    <s v="TX0018-058"/>
    <x v="17"/>
    <s v="VEND0006"/>
    <x v="483"/>
    <n v="42816"/>
  </r>
  <r>
    <s v="TX0018-059"/>
    <x v="17"/>
    <s v="VEND0012"/>
    <x v="484"/>
    <n v="40550"/>
  </r>
  <r>
    <s v="TX0018-060"/>
    <x v="17"/>
    <s v="VEND0023"/>
    <x v="485"/>
    <n v="47080"/>
  </r>
  <r>
    <s v="TX0019-001"/>
    <x v="18"/>
    <s v="VEND0009"/>
    <x v="486"/>
    <n v="93126"/>
  </r>
  <r>
    <s v="TX0019-002"/>
    <x v="18"/>
    <s v="VEND0016"/>
    <x v="73"/>
    <n v="169373"/>
  </r>
  <r>
    <s v="TX0019-003"/>
    <x v="18"/>
    <s v="VEND0007"/>
    <x v="179"/>
    <n v="34891"/>
  </r>
  <r>
    <s v="TX0019-004"/>
    <x v="18"/>
    <s v="VEND0020"/>
    <x v="257"/>
    <n v="99532"/>
  </r>
  <r>
    <s v="TX0019-005"/>
    <x v="18"/>
    <s v="VEND0005"/>
    <x v="102"/>
    <n v="56294"/>
  </r>
  <r>
    <s v="TX0019-006"/>
    <x v="18"/>
    <s v="VEND0003"/>
    <x v="361"/>
    <n v="94570"/>
  </r>
  <r>
    <s v="TX0019-007"/>
    <x v="18"/>
    <s v="VEND0005"/>
    <x v="487"/>
    <n v="41045"/>
  </r>
  <r>
    <s v="TX0019-008"/>
    <x v="18"/>
    <s v="VEND0025"/>
    <x v="461"/>
    <n v="59407"/>
  </r>
  <r>
    <s v="TX0019-009"/>
    <x v="18"/>
    <s v="VEND0003"/>
    <x v="316"/>
    <n v="52389"/>
  </r>
  <r>
    <s v="TX0019-010"/>
    <x v="18"/>
    <s v="VEND0020"/>
    <x v="14"/>
    <n v="97011"/>
  </r>
  <r>
    <s v="TX0019-011"/>
    <x v="18"/>
    <s v="VEND0024"/>
    <x v="261"/>
    <n v="48029"/>
  </r>
  <r>
    <s v="TX0019-012"/>
    <x v="18"/>
    <s v="VEND0023"/>
    <x v="183"/>
    <n v="37346"/>
  </r>
  <r>
    <s v="TX0019-013"/>
    <x v="18"/>
    <s v="VEND0010"/>
    <x v="151"/>
    <n v="40284"/>
  </r>
  <r>
    <s v="TX0019-014"/>
    <x v="18"/>
    <s v="VEND0010"/>
    <x v="488"/>
    <n v="43206"/>
  </r>
  <r>
    <s v="TX0019-015"/>
    <x v="18"/>
    <s v="VEND0016"/>
    <x v="440"/>
    <n v="113448"/>
  </r>
  <r>
    <s v="TX0019-016"/>
    <x v="18"/>
    <s v="VEND0020"/>
    <x v="489"/>
    <n v="54618"/>
  </r>
  <r>
    <s v="TX0019-017"/>
    <x v="18"/>
    <s v="VEND0005"/>
    <x v="188"/>
    <n v="57862"/>
  </r>
  <r>
    <s v="TX0019-018"/>
    <x v="18"/>
    <s v="VEND0010"/>
    <x v="490"/>
    <n v="69353"/>
  </r>
  <r>
    <s v="TX0019-019"/>
    <x v="18"/>
    <s v="VEND0010"/>
    <x v="190"/>
    <n v="60890"/>
  </r>
  <r>
    <s v="TX0019-020"/>
    <x v="18"/>
    <s v="VEND0022"/>
    <x v="409"/>
    <n v="109954"/>
  </r>
  <r>
    <s v="TX0019-021"/>
    <x v="18"/>
    <s v="VEND0005"/>
    <x v="441"/>
    <n v="61657"/>
  </r>
  <r>
    <s v="TX0019-022"/>
    <x v="18"/>
    <s v="VEND0013"/>
    <x v="160"/>
    <n v="117334"/>
  </r>
  <r>
    <s v="TX0019-023"/>
    <x v="18"/>
    <s v="VEND0013"/>
    <x v="88"/>
    <n v="93118"/>
  </r>
  <r>
    <s v="TX0019-024"/>
    <x v="18"/>
    <s v="VEND0020"/>
    <x v="90"/>
    <n v="56666"/>
  </r>
  <r>
    <s v="TX0019-025"/>
    <x v="18"/>
    <s v="VEND0025"/>
    <x v="267"/>
    <n v="110135"/>
  </r>
  <r>
    <s v="TX0019-026"/>
    <x v="18"/>
    <s v="VEND0007"/>
    <x v="163"/>
    <n v="71686"/>
  </r>
  <r>
    <s v="TX0019-027"/>
    <x v="18"/>
    <s v="VEND0016"/>
    <x v="491"/>
    <n v="292300"/>
  </r>
  <r>
    <s v="TX0019-028"/>
    <x v="18"/>
    <s v="VEND0017"/>
    <x v="199"/>
    <n v="99060"/>
  </r>
  <r>
    <s v="TX0019-029"/>
    <x v="18"/>
    <s v="VEND0021"/>
    <x v="291"/>
    <n v="48065"/>
  </r>
  <r>
    <s v="TX0019-030"/>
    <x v="18"/>
    <s v="VEND0001"/>
    <x v="233"/>
    <n v="94405"/>
  </r>
  <r>
    <s v="TX0019-031"/>
    <x v="18"/>
    <s v="VEND0014"/>
    <x v="164"/>
    <n v="45567"/>
  </r>
  <r>
    <s v="TX0019-032"/>
    <x v="18"/>
    <s v="VEND0003"/>
    <x v="122"/>
    <n v="109655"/>
  </r>
  <r>
    <s v="TX0019-033"/>
    <x v="18"/>
    <s v="VEND0023"/>
    <x v="165"/>
    <n v="81136"/>
  </r>
  <r>
    <s v="TX0019-034"/>
    <x v="18"/>
    <s v="VEND0009"/>
    <x v="69"/>
    <n v="90985"/>
  </r>
  <r>
    <s v="TX0019-035"/>
    <x v="18"/>
    <s v="VEND0001"/>
    <x v="442"/>
    <n v="61106"/>
  </r>
  <r>
    <s v="TX0019-036"/>
    <x v="18"/>
    <s v="VEND0003"/>
    <x v="236"/>
    <n v="46182"/>
  </r>
  <r>
    <s v="TX0019-037"/>
    <x v="18"/>
    <s v="VEND0021"/>
    <x v="492"/>
    <n v="48321"/>
  </r>
  <r>
    <s v="TX0019-038"/>
    <x v="18"/>
    <s v="VEND0021"/>
    <x v="493"/>
    <n v="96065"/>
  </r>
  <r>
    <s v="TX0019-039"/>
    <x v="18"/>
    <s v="VEND0018"/>
    <x v="494"/>
    <n v="43642"/>
  </r>
  <r>
    <s v="TX0019-040"/>
    <x v="18"/>
    <s v="VEND0014"/>
    <x v="125"/>
    <n v="66312"/>
  </r>
  <r>
    <s v="TX0019-041"/>
    <x v="18"/>
    <s v="VEND0019"/>
    <x v="239"/>
    <n v="43216"/>
  </r>
  <r>
    <s v="TX0019-042"/>
    <x v="18"/>
    <s v="VEND0018"/>
    <x v="40"/>
    <n v="147443"/>
  </r>
  <r>
    <s v="TX0019-043"/>
    <x v="18"/>
    <s v="VEND0005"/>
    <x v="495"/>
    <n v="55952"/>
  </r>
  <r>
    <s v="TX0019-044"/>
    <x v="18"/>
    <s v="VEND0025"/>
    <x v="402"/>
    <n v="51476"/>
  </r>
  <r>
    <s v="TX0019-045"/>
    <x v="18"/>
    <s v="VEND0002"/>
    <x v="402"/>
    <n v="67019"/>
  </r>
  <r>
    <s v="TX0019-046"/>
    <x v="18"/>
    <s v="VEND0016"/>
    <x v="210"/>
    <n v="74151"/>
  </r>
  <r>
    <s v="TX0019-047"/>
    <x v="18"/>
    <s v="VEND0016"/>
    <x v="473"/>
    <n v="84364"/>
  </r>
  <r>
    <s v="TX0019-048"/>
    <x v="18"/>
    <s v="VEND0015"/>
    <x v="371"/>
    <n v="84229"/>
  </r>
  <r>
    <s v="TX0019-049"/>
    <x v="18"/>
    <s v="VEND0008"/>
    <x v="496"/>
    <n v="54870"/>
  </r>
  <r>
    <s v="TX0019-050"/>
    <x v="18"/>
    <s v="VEND0011"/>
    <x v="47"/>
    <n v="80641"/>
  </r>
  <r>
    <s v="TX0019-051"/>
    <x v="18"/>
    <s v="VEND0012"/>
    <x v="245"/>
    <n v="57854"/>
  </r>
  <r>
    <s v="TX0019-052"/>
    <x v="18"/>
    <s v="VEND0006"/>
    <x v="497"/>
    <n v="54241"/>
  </r>
  <r>
    <s v="TX0019-053"/>
    <x v="18"/>
    <s v="VEND0006"/>
    <x v="498"/>
    <n v="45369"/>
  </r>
  <r>
    <s v="TX0019-054"/>
    <x v="18"/>
    <s v="VEND0021"/>
    <x v="53"/>
    <n v="77744"/>
  </r>
  <r>
    <s v="TX0019-055"/>
    <x v="18"/>
    <s v="VEND0012"/>
    <x v="499"/>
    <n v="64704"/>
  </r>
  <r>
    <s v="TX0019-056"/>
    <x v="18"/>
    <s v="VEND0007"/>
    <x v="221"/>
    <n v="64852"/>
  </r>
  <r>
    <s v="TX0019-057"/>
    <x v="18"/>
    <s v="VEND0001"/>
    <x v="500"/>
    <n v="33854"/>
  </r>
  <r>
    <s v="TX0019-058"/>
    <x v="18"/>
    <s v="VEND0016"/>
    <x v="501"/>
    <n v="35337"/>
  </r>
  <r>
    <s v="TX0019-059"/>
    <x v="18"/>
    <s v="VEND0022"/>
    <x v="502"/>
    <n v="67730"/>
  </r>
  <r>
    <s v="TX0019-060"/>
    <x v="18"/>
    <s v="VEND0021"/>
    <x v="222"/>
    <n v="67150"/>
  </r>
  <r>
    <s v="TX0020-001"/>
    <x v="19"/>
    <s v="VEND0015"/>
    <x v="503"/>
    <n v="128092"/>
  </r>
  <r>
    <s v="TX0020-002"/>
    <x v="19"/>
    <s v="VEND0008"/>
    <x v="229"/>
    <n v="67784"/>
  </r>
  <r>
    <s v="TX0020-003"/>
    <x v="19"/>
    <s v="VEND0010"/>
    <x v="86"/>
    <n v="108402"/>
  </r>
  <r>
    <s v="TX0020-004"/>
    <x v="19"/>
    <s v="VEND0018"/>
    <x v="504"/>
    <n v="62514"/>
  </r>
  <r>
    <s v="TX0020-005"/>
    <x v="19"/>
    <s v="VEND0003"/>
    <x v="88"/>
    <n v="72536"/>
  </r>
  <r>
    <s v="TX0020-006"/>
    <x v="19"/>
    <s v="VEND0021"/>
    <x v="505"/>
    <n v="183497"/>
  </r>
  <r>
    <s v="TX0020-007"/>
    <x v="19"/>
    <s v="VEND0004"/>
    <x v="117"/>
    <n v="129559"/>
  </r>
  <r>
    <s v="TX0020-008"/>
    <x v="19"/>
    <s v="VEND0012"/>
    <x v="64"/>
    <n v="79988"/>
  </r>
  <r>
    <s v="TX0020-009"/>
    <x v="19"/>
    <s v="VEND0008"/>
    <x v="421"/>
    <n v="65403"/>
  </r>
  <r>
    <s v="TX0020-010"/>
    <x v="19"/>
    <s v="VEND0023"/>
    <x v="304"/>
    <n v="109199"/>
  </r>
  <r>
    <s v="TX0020-011"/>
    <x v="19"/>
    <s v="VEND0001"/>
    <x v="422"/>
    <n v="51367"/>
  </r>
  <r>
    <s v="TX0020-012"/>
    <x v="19"/>
    <s v="VEND0017"/>
    <x v="491"/>
    <n v="97889"/>
  </r>
  <r>
    <s v="TX0020-013"/>
    <x v="19"/>
    <s v="VEND0012"/>
    <x v="396"/>
    <n v="57768"/>
  </r>
  <r>
    <s v="TX0020-014"/>
    <x v="19"/>
    <s v="VEND0019"/>
    <x v="200"/>
    <n v="108586"/>
  </r>
  <r>
    <s v="TX0020-015"/>
    <x v="19"/>
    <s v="VEND0022"/>
    <x v="34"/>
    <n v="119973"/>
  </r>
  <r>
    <s v="TX0020-016"/>
    <x v="19"/>
    <s v="VEND0009"/>
    <x v="97"/>
    <n v="71785"/>
  </r>
  <r>
    <s v="TX0020-017"/>
    <x v="19"/>
    <s v="VEND0001"/>
    <x v="423"/>
    <n v="94666"/>
  </r>
  <r>
    <s v="TX0020-018"/>
    <x v="19"/>
    <s v="VEND0025"/>
    <x v="506"/>
    <n v="52103"/>
  </r>
  <r>
    <s v="TX0020-019"/>
    <x v="19"/>
    <s v="VEND0004"/>
    <x v="492"/>
    <n v="54450"/>
  </r>
  <r>
    <s v="TX0020-020"/>
    <x v="19"/>
    <s v="VEND0005"/>
    <x v="238"/>
    <n v="54657"/>
  </r>
  <r>
    <s v="TX0020-021"/>
    <x v="19"/>
    <s v="VEND0025"/>
    <x v="507"/>
    <n v="105971"/>
  </r>
  <r>
    <s v="TX0020-022"/>
    <x v="19"/>
    <s v="VEND0016"/>
    <x v="275"/>
    <n v="70438"/>
  </r>
  <r>
    <s v="TX0020-023"/>
    <x v="19"/>
    <s v="VEND0023"/>
    <x v="401"/>
    <n v="96839"/>
  </r>
  <r>
    <s v="TX0020-024"/>
    <x v="19"/>
    <s v="VEND0005"/>
    <x v="41"/>
    <n v="61638"/>
  </r>
  <r>
    <s v="TX0020-025"/>
    <x v="19"/>
    <s v="VEND0021"/>
    <x v="508"/>
    <n v="85337"/>
  </r>
  <r>
    <s v="TX0020-026"/>
    <x v="19"/>
    <s v="VEND0008"/>
    <x v="509"/>
    <n v="104627"/>
  </r>
  <r>
    <s v="TX0020-027"/>
    <x v="19"/>
    <s v="VEND0022"/>
    <x v="454"/>
    <n v="91551"/>
  </r>
  <r>
    <s v="TX0020-028"/>
    <x v="19"/>
    <s v="VEND0013"/>
    <x v="455"/>
    <n v="91599"/>
  </r>
  <r>
    <s v="TX0020-029"/>
    <x v="19"/>
    <s v="VEND0001"/>
    <x v="241"/>
    <n v="79433"/>
  </r>
  <r>
    <s v="TX0020-030"/>
    <x v="19"/>
    <s v="VEND0018"/>
    <x v="134"/>
    <n v="100754"/>
  </r>
  <r>
    <s v="TX0020-031"/>
    <x v="19"/>
    <s v="VEND0012"/>
    <x v="337"/>
    <n v="144862"/>
  </r>
  <r>
    <s v="TX0020-032"/>
    <x v="19"/>
    <s v="VEND0017"/>
    <x v="510"/>
    <n v="79203"/>
  </r>
  <r>
    <s v="TX0020-033"/>
    <x v="19"/>
    <s v="VEND0009"/>
    <x v="510"/>
    <n v="54602"/>
  </r>
  <r>
    <s v="TX0020-034"/>
    <x v="19"/>
    <s v="VEND0006"/>
    <x v="45"/>
    <n v="43058"/>
  </r>
  <r>
    <s v="TX0020-035"/>
    <x v="19"/>
    <s v="VEND0006"/>
    <x v="511"/>
    <n v="40731"/>
  </r>
  <r>
    <s v="TX0020-036"/>
    <x v="19"/>
    <s v="VEND0019"/>
    <x v="512"/>
    <n v="63348"/>
  </r>
  <r>
    <s v="TX0020-037"/>
    <x v="19"/>
    <s v="VEND0003"/>
    <x v="513"/>
    <n v="62185"/>
  </r>
  <r>
    <s v="TX0020-038"/>
    <x v="19"/>
    <s v="VEND0020"/>
    <x v="49"/>
    <n v="91323"/>
  </r>
  <r>
    <s v="TX0020-039"/>
    <x v="19"/>
    <s v="VEND0010"/>
    <x v="514"/>
    <n v="79106"/>
  </r>
  <r>
    <s v="TX0020-040"/>
    <x v="19"/>
    <s v="VEND0009"/>
    <x v="515"/>
    <n v="85395"/>
  </r>
  <r>
    <s v="TX0021-001"/>
    <x v="20"/>
    <s v="VEND0017"/>
    <x v="301"/>
    <n v="225960"/>
  </r>
  <r>
    <s v="TX0021-002"/>
    <x v="20"/>
    <s v="VEND0023"/>
    <x v="62"/>
    <n v="219405"/>
  </r>
  <r>
    <s v="TX0021-003"/>
    <x v="20"/>
    <s v="VEND0018"/>
    <x v="62"/>
    <n v="117182"/>
  </r>
  <r>
    <s v="TX0021-004"/>
    <x v="20"/>
    <s v="VEND0017"/>
    <x v="324"/>
    <n v="290576"/>
  </r>
  <r>
    <s v="TX0021-005"/>
    <x v="20"/>
    <s v="VEND0018"/>
    <x v="505"/>
    <n v="166386"/>
  </r>
  <r>
    <s v="TX0021-006"/>
    <x v="20"/>
    <s v="VEND0013"/>
    <x v="516"/>
    <n v="292268"/>
  </r>
  <r>
    <s v="TX0021-007"/>
    <x v="20"/>
    <s v="VEND0019"/>
    <x v="491"/>
    <n v="281062"/>
  </r>
  <r>
    <s v="TX0021-008"/>
    <x v="20"/>
    <s v="VEND0009"/>
    <x v="469"/>
    <n v="318521"/>
  </r>
  <r>
    <s v="TX0021-009"/>
    <x v="20"/>
    <s v="VEND0006"/>
    <x v="269"/>
    <n v="308927"/>
  </r>
  <r>
    <s v="TX0021-010"/>
    <x v="20"/>
    <s v="VEND0002"/>
    <x v="92"/>
    <n v="312010"/>
  </r>
  <r>
    <s v="TX0021-011"/>
    <x v="20"/>
    <s v="VEND0002"/>
    <x v="93"/>
    <n v="199389"/>
  </r>
  <r>
    <s v="TX0021-012"/>
    <x v="20"/>
    <s v="VEND0008"/>
    <x v="329"/>
    <n v="215126"/>
  </r>
  <r>
    <s v="TX0021-013"/>
    <x v="20"/>
    <s v="VEND0018"/>
    <x v="330"/>
    <n v="317730"/>
  </r>
  <r>
    <s v="TX0021-014"/>
    <x v="20"/>
    <s v="VEND0004"/>
    <x v="517"/>
    <n v="135879"/>
  </r>
  <r>
    <s v="TX0021-015"/>
    <x v="20"/>
    <s v="VEND0004"/>
    <x v="69"/>
    <n v="150242"/>
  </r>
  <r>
    <s v="TX0021-016"/>
    <x v="20"/>
    <s v="VEND0022"/>
    <x v="96"/>
    <n v="169801"/>
  </r>
  <r>
    <s v="TX0021-017"/>
    <x v="20"/>
    <s v="VEND0025"/>
    <x v="398"/>
    <n v="178190"/>
  </r>
  <r>
    <s v="TX0022-001"/>
    <x v="21"/>
    <s v="VEND0019"/>
    <x v="518"/>
    <n v="81231"/>
  </r>
  <r>
    <s v="TX0022-002"/>
    <x v="21"/>
    <s v="VEND0010"/>
    <x v="519"/>
    <n v="133560"/>
  </r>
  <r>
    <s v="TX0022-003"/>
    <x v="21"/>
    <s v="VEND0014"/>
    <x v="520"/>
    <n v="110491"/>
  </r>
  <r>
    <s v="TX0022-004"/>
    <x v="21"/>
    <s v="VEND0004"/>
    <x v="310"/>
    <n v="148894"/>
  </r>
  <r>
    <s v="TX0022-005"/>
    <x v="21"/>
    <s v="VEND0022"/>
    <x v="360"/>
    <n v="59911"/>
  </r>
  <r>
    <s v="TX0022-006"/>
    <x v="21"/>
    <s v="VEND0016"/>
    <x v="9"/>
    <n v="85946"/>
  </r>
  <r>
    <s v="TX0022-007"/>
    <x v="21"/>
    <s v="VEND0022"/>
    <x v="521"/>
    <n v="156703"/>
  </r>
  <r>
    <s v="TX0022-008"/>
    <x v="21"/>
    <s v="VEND0008"/>
    <x v="522"/>
    <n v="57291"/>
  </r>
  <r>
    <s v="TX0022-009"/>
    <x v="21"/>
    <s v="VEND0016"/>
    <x v="523"/>
    <n v="129491"/>
  </r>
  <r>
    <s v="TX0022-010"/>
    <x v="21"/>
    <s v="VEND0013"/>
    <x v="13"/>
    <n v="90311"/>
  </r>
  <r>
    <s v="TX0022-011"/>
    <x v="21"/>
    <s v="VEND0008"/>
    <x v="524"/>
    <n v="109389"/>
  </r>
  <r>
    <s v="TX0022-012"/>
    <x v="21"/>
    <s v="VEND0022"/>
    <x v="461"/>
    <n v="88190"/>
  </r>
  <r>
    <s v="TX0022-013"/>
    <x v="21"/>
    <s v="VEND0014"/>
    <x v="148"/>
    <n v="74872"/>
  </r>
  <r>
    <s v="TX0022-014"/>
    <x v="21"/>
    <s v="VEND0011"/>
    <x v="16"/>
    <n v="104029"/>
  </r>
  <r>
    <s v="TX0022-015"/>
    <x v="21"/>
    <s v="VEND0014"/>
    <x v="462"/>
    <n v="79504"/>
  </r>
  <r>
    <s v="TX0022-016"/>
    <x v="21"/>
    <s v="VEND0018"/>
    <x v="415"/>
    <n v="143916"/>
  </r>
  <r>
    <s v="TX0022-017"/>
    <x v="21"/>
    <s v="VEND0014"/>
    <x v="151"/>
    <n v="81330"/>
  </r>
  <r>
    <s v="TX0022-018"/>
    <x v="21"/>
    <s v="VEND0025"/>
    <x v="463"/>
    <n v="121800"/>
  </r>
  <r>
    <s v="TX0022-019"/>
    <x v="21"/>
    <s v="VEND0006"/>
    <x v="525"/>
    <n v="376769"/>
  </r>
  <r>
    <s v="TX0022-020"/>
    <x v="21"/>
    <s v="VEND0002"/>
    <x v="20"/>
    <n v="78174"/>
  </r>
  <r>
    <s v="TX0022-021"/>
    <x v="21"/>
    <s v="VEND0012"/>
    <x v="464"/>
    <n v="137461"/>
  </r>
  <r>
    <s v="TX0022-022"/>
    <x v="21"/>
    <s v="VEND0021"/>
    <x v="226"/>
    <n v="126734"/>
  </r>
  <r>
    <s v="TX0022-023"/>
    <x v="21"/>
    <s v="VEND0020"/>
    <x v="390"/>
    <n v="489120"/>
  </r>
  <r>
    <s v="TX0022-024"/>
    <x v="21"/>
    <s v="VEND0025"/>
    <x v="319"/>
    <n v="85780"/>
  </r>
  <r>
    <s v="TX0022-025"/>
    <x v="21"/>
    <s v="VEND0002"/>
    <x v="526"/>
    <n v="191723"/>
  </r>
  <r>
    <s v="TX0022-026"/>
    <x v="21"/>
    <s v="VEND0023"/>
    <x v="466"/>
    <n v="167163"/>
  </r>
  <r>
    <s v="TX0022-027"/>
    <x v="21"/>
    <s v="VEND0009"/>
    <x v="490"/>
    <n v="108322"/>
  </r>
  <r>
    <s v="TX0022-028"/>
    <x v="21"/>
    <s v="VEND0007"/>
    <x v="189"/>
    <n v="180048"/>
  </r>
  <r>
    <s v="TX0022-029"/>
    <x v="21"/>
    <s v="VEND0001"/>
    <x v="527"/>
    <n v="163258"/>
  </r>
  <r>
    <s v="TX0022-030"/>
    <x v="21"/>
    <s v="VEND0003"/>
    <x v="528"/>
    <n v="84639"/>
  </r>
  <r>
    <s v="TX0022-031"/>
    <x v="21"/>
    <s v="VEND0022"/>
    <x v="265"/>
    <n v="187671"/>
  </r>
  <r>
    <s v="TX0022-032"/>
    <x v="21"/>
    <s v="VEND0001"/>
    <x v="113"/>
    <n v="141065"/>
  </r>
  <r>
    <s v="TX0022-033"/>
    <x v="21"/>
    <s v="VEND0003"/>
    <x v="529"/>
    <n v="158242"/>
  </r>
  <r>
    <s v="TX0022-034"/>
    <x v="21"/>
    <s v="VEND0021"/>
    <x v="529"/>
    <n v="112566"/>
  </r>
  <r>
    <s v="TX0022-035"/>
    <x v="21"/>
    <s v="VEND0011"/>
    <x v="324"/>
    <n v="100615"/>
  </r>
  <r>
    <s v="TX0022-036"/>
    <x v="21"/>
    <s v="VEND0002"/>
    <x v="516"/>
    <n v="76677"/>
  </r>
  <r>
    <s v="TX0022-037"/>
    <x v="21"/>
    <s v="VEND0007"/>
    <x v="232"/>
    <n v="119025"/>
  </r>
  <r>
    <s v="TX0022-038"/>
    <x v="21"/>
    <s v="VEND0006"/>
    <x v="330"/>
    <n v="130029"/>
  </r>
  <r>
    <s v="TX0022-039"/>
    <x v="21"/>
    <s v="VEND0009"/>
    <x v="36"/>
    <n v="140384"/>
  </r>
  <r>
    <s v="TX0022-040"/>
    <x v="21"/>
    <s v="VEND0023"/>
    <x v="332"/>
    <n v="138133"/>
  </r>
  <r>
    <s v="TX0022-041"/>
    <x v="21"/>
    <s v="VEND0006"/>
    <x v="447"/>
    <n v="104885"/>
  </r>
  <r>
    <s v="TX0022-042"/>
    <x v="21"/>
    <s v="VEND0022"/>
    <x v="530"/>
    <n v="91313"/>
  </r>
  <r>
    <s v="TX0022-043"/>
    <x v="21"/>
    <s v="VEND0013"/>
    <x v="531"/>
    <n v="69319"/>
  </r>
  <r>
    <s v="TX0022-044"/>
    <x v="21"/>
    <s v="VEND0010"/>
    <x v="172"/>
    <n v="135624"/>
  </r>
  <r>
    <s v="TX0022-045"/>
    <x v="21"/>
    <s v="VEND0006"/>
    <x v="532"/>
    <n v="155702"/>
  </r>
  <r>
    <s v="TX0022-046"/>
    <x v="21"/>
    <s v="VEND0005"/>
    <x v="472"/>
    <n v="158559"/>
  </r>
  <r>
    <s v="TX0022-047"/>
    <x v="21"/>
    <s v="VEND0012"/>
    <x v="475"/>
    <n v="140980"/>
  </r>
  <r>
    <s v="TX0022-048"/>
    <x v="21"/>
    <s v="VEND0020"/>
    <x v="212"/>
    <n v="85209"/>
  </r>
  <r>
    <s v="TX0022-049"/>
    <x v="21"/>
    <s v="VEND0005"/>
    <x v="512"/>
    <n v="111031"/>
  </r>
  <r>
    <s v="TX0022-050"/>
    <x v="21"/>
    <s v="VEND0022"/>
    <x v="533"/>
    <n v="94313"/>
  </r>
  <r>
    <s v="TX0022-051"/>
    <x v="21"/>
    <s v="VEND0001"/>
    <x v="142"/>
    <n v="97408"/>
  </r>
  <r>
    <s v="TX0022-052"/>
    <x v="21"/>
    <s v="VEND0021"/>
    <x v="534"/>
    <n v="166143"/>
  </r>
  <r>
    <s v="TX0022-053"/>
    <x v="21"/>
    <s v="VEND0021"/>
    <x v="215"/>
    <n v="108675"/>
  </r>
  <r>
    <s v="TX0022-054"/>
    <x v="21"/>
    <s v="VEND0019"/>
    <x v="53"/>
    <n v="98456"/>
  </r>
  <r>
    <s v="TX0022-055"/>
    <x v="21"/>
    <s v="VEND0018"/>
    <x v="535"/>
    <n v="58396"/>
  </r>
  <r>
    <s v="TX0022-056"/>
    <x v="21"/>
    <s v="VEND0016"/>
    <x v="218"/>
    <n v="161433"/>
  </r>
  <r>
    <s v="TX0022-057"/>
    <x v="21"/>
    <s v="VEND0004"/>
    <x v="536"/>
    <n v="150448"/>
  </r>
  <r>
    <s v="TX0022-058"/>
    <x v="21"/>
    <s v="VEND0014"/>
    <x v="57"/>
    <n v="168626"/>
  </r>
  <r>
    <s v="TX0022-059"/>
    <x v="21"/>
    <s v="VEND0004"/>
    <x v="537"/>
    <n v="125210"/>
  </r>
  <r>
    <s v="TX0022-060"/>
    <x v="21"/>
    <s v="VEND0007"/>
    <x v="538"/>
    <n v="62493"/>
  </r>
  <r>
    <s v="TX0023-001"/>
    <x v="22"/>
    <s v="VEND0020"/>
    <x v="418"/>
    <n v="601323"/>
  </r>
  <r>
    <s v="TX0023-002"/>
    <x v="22"/>
    <s v="VEND0020"/>
    <x v="539"/>
    <n v="208864"/>
  </r>
  <r>
    <s v="TX0023-003"/>
    <x v="22"/>
    <s v="VEND0013"/>
    <x v="23"/>
    <n v="292066"/>
  </r>
  <r>
    <s v="TX0023-004"/>
    <x v="22"/>
    <s v="VEND0025"/>
    <x v="540"/>
    <n v="163698"/>
  </r>
  <r>
    <s v="TX0023-005"/>
    <x v="22"/>
    <s v="VEND0016"/>
    <x v="25"/>
    <n v="136915"/>
  </r>
  <r>
    <s v="TX0023-006"/>
    <x v="22"/>
    <s v="VEND0017"/>
    <x v="408"/>
    <n v="116169"/>
  </r>
  <r>
    <s v="TX0023-007"/>
    <x v="22"/>
    <s v="VEND0011"/>
    <x v="541"/>
    <n v="97222"/>
  </r>
  <r>
    <s v="TX0023-008"/>
    <x v="22"/>
    <s v="VEND0007"/>
    <x v="189"/>
    <n v="175349"/>
  </r>
  <r>
    <s v="TX0023-009"/>
    <x v="22"/>
    <s v="VEND0022"/>
    <x v="156"/>
    <n v="121125"/>
  </r>
  <r>
    <s v="TX0023-010"/>
    <x v="22"/>
    <s v="VEND0014"/>
    <x v="527"/>
    <n v="290201"/>
  </r>
  <r>
    <s v="TX0023-011"/>
    <x v="22"/>
    <s v="VEND0022"/>
    <x v="542"/>
    <n v="296625"/>
  </r>
  <r>
    <s v="TX0023-012"/>
    <x v="22"/>
    <s v="VEND0016"/>
    <x v="157"/>
    <n v="277274"/>
  </r>
  <r>
    <s v="TX0023-013"/>
    <x v="22"/>
    <s v="VEND0009"/>
    <x v="86"/>
    <n v="155817"/>
  </r>
  <r>
    <s v="TX0023-014"/>
    <x v="22"/>
    <s v="VEND0016"/>
    <x v="543"/>
    <n v="254214"/>
  </r>
  <r>
    <s v="TX0023-015"/>
    <x v="22"/>
    <s v="VEND0003"/>
    <x v="116"/>
    <n v="243451"/>
  </r>
  <r>
    <s v="TX0023-016"/>
    <x v="22"/>
    <s v="VEND0002"/>
    <x v="288"/>
    <n v="272468"/>
  </r>
  <r>
    <s v="TX0023-017"/>
    <x v="22"/>
    <s v="VEND0020"/>
    <x v="544"/>
    <n v="124356"/>
  </r>
  <r>
    <s v="TX0023-018"/>
    <x v="22"/>
    <s v="VEND0001"/>
    <x v="33"/>
    <n v="457292"/>
  </r>
  <r>
    <s v="TX0023-019"/>
    <x v="22"/>
    <s v="VEND0006"/>
    <x v="70"/>
    <n v="152791"/>
  </r>
  <r>
    <s v="TX0023-020"/>
    <x v="22"/>
    <s v="VEND0006"/>
    <x v="166"/>
    <n v="208302"/>
  </r>
  <r>
    <s v="TX0023-021"/>
    <x v="22"/>
    <s v="VEND0019"/>
    <x v="99"/>
    <n v="216436"/>
  </r>
  <r>
    <s v="TX0023-022"/>
    <x v="22"/>
    <s v="VEND0010"/>
    <x v="237"/>
    <n v="179396"/>
  </r>
  <r>
    <s v="TX0023-023"/>
    <x v="22"/>
    <s v="VEND0004"/>
    <x v="545"/>
    <n v="174965"/>
  </r>
  <r>
    <s v="TX0023-024"/>
    <x v="22"/>
    <s v="VEND0018"/>
    <x v="170"/>
    <n v="150631"/>
  </r>
  <r>
    <s v="TX0023-025"/>
    <x v="22"/>
    <s v="VEND0009"/>
    <x v="239"/>
    <n v="150685"/>
  </r>
  <r>
    <s v="TX0023-026"/>
    <x v="22"/>
    <s v="VEND0011"/>
    <x v="495"/>
    <n v="182247"/>
  </r>
  <r>
    <s v="TX0023-027"/>
    <x v="22"/>
    <s v="VEND0001"/>
    <x v="130"/>
    <n v="127271"/>
  </r>
  <r>
    <s v="TX0023-028"/>
    <x v="22"/>
    <s v="VEND0013"/>
    <x v="546"/>
    <n v="103588"/>
  </r>
  <r>
    <s v="TX0023-029"/>
    <x v="22"/>
    <s v="VEND0014"/>
    <x v="240"/>
    <n v="149828"/>
  </r>
  <r>
    <s v="TX0023-030"/>
    <x v="22"/>
    <s v="VEND0017"/>
    <x v="454"/>
    <n v="145617"/>
  </r>
  <r>
    <s v="TX0023-031"/>
    <x v="22"/>
    <s v="VEND0006"/>
    <x v="372"/>
    <n v="208920"/>
  </r>
  <r>
    <s v="TX0023-032"/>
    <x v="22"/>
    <s v="VEND0025"/>
    <x v="475"/>
    <n v="130132"/>
  </r>
  <r>
    <s v="TX0023-033"/>
    <x v="22"/>
    <s v="VEND0006"/>
    <x v="47"/>
    <n v="235006"/>
  </r>
  <r>
    <s v="TX0023-034"/>
    <x v="22"/>
    <s v="VEND0021"/>
    <x v="243"/>
    <n v="230909"/>
  </r>
  <r>
    <s v="TX0023-035"/>
    <x v="22"/>
    <s v="VEND0017"/>
    <x v="280"/>
    <n v="89344"/>
  </r>
  <r>
    <s v="TX0023-036"/>
    <x v="22"/>
    <s v="VEND0007"/>
    <x v="533"/>
    <n v="174576"/>
  </r>
  <r>
    <s v="TX0023-037"/>
    <x v="22"/>
    <s v="VEND0023"/>
    <x v="340"/>
    <n v="365776"/>
  </r>
  <r>
    <s v="TX0023-038"/>
    <x v="22"/>
    <s v="VEND0004"/>
    <x v="547"/>
    <n v="149451"/>
  </r>
  <r>
    <s v="TX0023-039"/>
    <x v="22"/>
    <s v="VEND0015"/>
    <x v="514"/>
    <n v="247457"/>
  </r>
  <r>
    <s v="TX0023-040"/>
    <x v="22"/>
    <s v="VEND0022"/>
    <x v="548"/>
    <n v="233778"/>
  </r>
  <r>
    <s v="TX0023-041"/>
    <x v="22"/>
    <s v="VEND0023"/>
    <x v="549"/>
    <n v="92659"/>
  </r>
  <r>
    <s v="TX0023-042"/>
    <x v="22"/>
    <s v="VEND0006"/>
    <x v="246"/>
    <n v="189317"/>
  </r>
  <r>
    <s v="TX0023-043"/>
    <x v="22"/>
    <s v="VEND0015"/>
    <x v="53"/>
    <n v="143644"/>
  </r>
  <r>
    <s v="TX0023-044"/>
    <x v="22"/>
    <s v="VEND0001"/>
    <x v="550"/>
    <n v="138513"/>
  </r>
  <r>
    <s v="TX0023-045"/>
    <x v="22"/>
    <s v="VEND0019"/>
    <x v="551"/>
    <n v="228572"/>
  </r>
  <r>
    <s v="TX0024-001"/>
    <x v="23"/>
    <s v="VEND0002"/>
    <x v="552"/>
    <n v="12591"/>
  </r>
  <r>
    <s v="TX0024-002"/>
    <x v="23"/>
    <s v="VEND0011"/>
    <x v="308"/>
    <n v="13707"/>
  </r>
  <r>
    <s v="TX0024-003"/>
    <x v="23"/>
    <s v="VEND0023"/>
    <x v="486"/>
    <n v="16170"/>
  </r>
  <r>
    <s v="TX0024-004"/>
    <x v="23"/>
    <s v="VEND0010"/>
    <x v="553"/>
    <n v="12034"/>
  </r>
  <r>
    <s v="TX0024-005"/>
    <x v="23"/>
    <s v="VEND0001"/>
    <x v="554"/>
    <n v="16339"/>
  </r>
  <r>
    <s v="TX0024-006"/>
    <x v="23"/>
    <s v="VEND0014"/>
    <x v="8"/>
    <n v="14629"/>
  </r>
  <r>
    <s v="TX0024-007"/>
    <x v="23"/>
    <s v="VEND0011"/>
    <x v="76"/>
    <n v="8132"/>
  </r>
  <r>
    <s v="TX0024-008"/>
    <x v="23"/>
    <s v="VEND0018"/>
    <x v="104"/>
    <n v="6933"/>
  </r>
  <r>
    <s v="TX0024-009"/>
    <x v="23"/>
    <s v="VEND0019"/>
    <x v="16"/>
    <n v="10062"/>
  </r>
  <r>
    <s v="TX0024-010"/>
    <x v="23"/>
    <s v="VEND0016"/>
    <x v="463"/>
    <n v="15098"/>
  </r>
  <r>
    <s v="TX0024-011"/>
    <x v="23"/>
    <s v="VEND0019"/>
    <x v="555"/>
    <n v="12314"/>
  </r>
  <r>
    <s v="TX0024-012"/>
    <x v="23"/>
    <s v="VEND0024"/>
    <x v="488"/>
    <n v="18618"/>
  </r>
  <r>
    <s v="TX0024-013"/>
    <x v="23"/>
    <s v="VEND0004"/>
    <x v="556"/>
    <n v="12192"/>
  </r>
  <r>
    <s v="TX0024-014"/>
    <x v="23"/>
    <s v="VEND0010"/>
    <x v="389"/>
    <n v="38418"/>
  </r>
  <r>
    <s v="TX0024-015"/>
    <x v="23"/>
    <s v="VEND0001"/>
    <x v="21"/>
    <n v="11808"/>
  </r>
  <r>
    <s v="TX0024-016"/>
    <x v="23"/>
    <s v="VEND0009"/>
    <x v="227"/>
    <n v="9685"/>
  </r>
  <r>
    <s v="TX0024-017"/>
    <x v="23"/>
    <s v="VEND0025"/>
    <x v="319"/>
    <n v="9739"/>
  </r>
  <r>
    <s v="TX0024-018"/>
    <x v="23"/>
    <s v="VEND0025"/>
    <x v="557"/>
    <n v="16938"/>
  </r>
  <r>
    <s v="TX0024-019"/>
    <x v="23"/>
    <s v="VEND0023"/>
    <x v="299"/>
    <n v="7483"/>
  </r>
  <r>
    <s v="TX0024-020"/>
    <x v="23"/>
    <s v="VEND0007"/>
    <x v="349"/>
    <n v="11074"/>
  </r>
  <r>
    <s v="TX0024-021"/>
    <x v="23"/>
    <s v="VEND0017"/>
    <x v="558"/>
    <n v="22973"/>
  </r>
  <r>
    <s v="TX0024-022"/>
    <x v="23"/>
    <s v="VEND0011"/>
    <x v="59"/>
    <n v="18708"/>
  </r>
  <r>
    <s v="TX0024-023"/>
    <x v="23"/>
    <s v="VEND0010"/>
    <x v="559"/>
    <n v="18143"/>
  </r>
  <r>
    <s v="TX0024-024"/>
    <x v="23"/>
    <s v="VEND0003"/>
    <x v="160"/>
    <n v="7622"/>
  </r>
  <r>
    <s v="TX0024-025"/>
    <x v="23"/>
    <s v="VEND0025"/>
    <x v="162"/>
    <n v="9249"/>
  </r>
  <r>
    <s v="TX0024-026"/>
    <x v="23"/>
    <s v="VEND0013"/>
    <x v="560"/>
    <n v="16100"/>
  </r>
  <r>
    <s v="TX0024-027"/>
    <x v="23"/>
    <s v="VEND0010"/>
    <x v="395"/>
    <n v="7976"/>
  </r>
  <r>
    <s v="TX0024-028"/>
    <x v="23"/>
    <s v="VEND0011"/>
    <x v="367"/>
    <n v="18234"/>
  </r>
  <r>
    <s v="TX0024-029"/>
    <x v="23"/>
    <s v="VEND0022"/>
    <x v="327"/>
    <n v="9567"/>
  </r>
  <r>
    <s v="TX0024-030"/>
    <x v="23"/>
    <s v="VEND0014"/>
    <x v="355"/>
    <n v="7118"/>
  </r>
  <r>
    <s v="TX0024-031"/>
    <x v="23"/>
    <s v="VEND0018"/>
    <x v="544"/>
    <n v="9654"/>
  </r>
  <r>
    <s v="TX0024-032"/>
    <x v="23"/>
    <s v="VEND0016"/>
    <x v="201"/>
    <n v="7636"/>
  </r>
  <r>
    <s v="TX0024-033"/>
    <x v="23"/>
    <s v="VEND0016"/>
    <x v="201"/>
    <n v="10322"/>
  </r>
  <r>
    <s v="TX0024-034"/>
    <x v="23"/>
    <s v="VEND0020"/>
    <x v="98"/>
    <n v="8541"/>
  </r>
  <r>
    <s v="TX0024-035"/>
    <x v="23"/>
    <s v="VEND0016"/>
    <x v="36"/>
    <n v="14060"/>
  </r>
  <r>
    <s v="TX0024-036"/>
    <x v="23"/>
    <s v="VEND0002"/>
    <x v="561"/>
    <n v="14568"/>
  </r>
  <r>
    <s v="TX0024-037"/>
    <x v="23"/>
    <s v="VEND0003"/>
    <x v="562"/>
    <n v="8309"/>
  </r>
  <r>
    <s v="TX0024-038"/>
    <x v="23"/>
    <s v="VEND0020"/>
    <x v="471"/>
    <n v="18402"/>
  </r>
  <r>
    <s v="TX0024-039"/>
    <x v="23"/>
    <s v="VEND0019"/>
    <x v="446"/>
    <n v="13961"/>
  </r>
  <r>
    <s v="TX0024-040"/>
    <x v="23"/>
    <s v="VEND0013"/>
    <x v="507"/>
    <n v="5976"/>
  </r>
  <r>
    <s v="TX0024-041"/>
    <x v="23"/>
    <s v="VEND0007"/>
    <x v="563"/>
    <n v="9469"/>
  </r>
  <r>
    <s v="TX0024-042"/>
    <x v="23"/>
    <s v="VEND0006"/>
    <x v="426"/>
    <n v="13843"/>
  </r>
  <r>
    <s v="TX0024-043"/>
    <x v="23"/>
    <s v="VEND0008"/>
    <x v="209"/>
    <n v="15503"/>
  </r>
  <r>
    <s v="TX0024-044"/>
    <x v="23"/>
    <s v="VEND0015"/>
    <x v="132"/>
    <n v="9642"/>
  </r>
  <r>
    <s v="TX0024-045"/>
    <x v="23"/>
    <s v="VEND0021"/>
    <x v="564"/>
    <n v="12095"/>
  </r>
  <r>
    <s v="TX0024-046"/>
    <x v="23"/>
    <s v="VEND0022"/>
    <x v="565"/>
    <n v="15802"/>
  </r>
  <r>
    <s v="TX0024-047"/>
    <x v="23"/>
    <s v="VEND0024"/>
    <x v="456"/>
    <n v="10546"/>
  </r>
  <r>
    <s v="TX0024-048"/>
    <x v="23"/>
    <s v="VEND0020"/>
    <x v="371"/>
    <n v="8022"/>
  </r>
  <r>
    <s v="TX0024-049"/>
    <x v="23"/>
    <s v="VEND0025"/>
    <x v="511"/>
    <n v="5902"/>
  </r>
  <r>
    <s v="TX0024-050"/>
    <x v="23"/>
    <s v="VEND0021"/>
    <x v="566"/>
    <n v="8803"/>
  </r>
  <r>
    <s v="TX0024-051"/>
    <x v="23"/>
    <s v="VEND0024"/>
    <x v="567"/>
    <n v="8074"/>
  </r>
  <r>
    <s v="TX0024-052"/>
    <x v="23"/>
    <s v="VEND0022"/>
    <x v="512"/>
    <n v="12070"/>
  </r>
  <r>
    <s v="TX0024-053"/>
    <x v="23"/>
    <s v="VEND0007"/>
    <x v="568"/>
    <n v="15106"/>
  </r>
  <r>
    <s v="TX0024-054"/>
    <x v="23"/>
    <s v="VEND0017"/>
    <x v="376"/>
    <n v="6157"/>
  </r>
  <r>
    <s v="TX0024-055"/>
    <x v="23"/>
    <s v="VEND0023"/>
    <x v="247"/>
    <n v="13146"/>
  </r>
  <r>
    <s v="TX0024-056"/>
    <x v="23"/>
    <s v="VEND0017"/>
    <x v="283"/>
    <n v="15248"/>
  </r>
  <r>
    <s v="TX0024-057"/>
    <x v="23"/>
    <s v="VEND0011"/>
    <x v="483"/>
    <n v="9422"/>
  </r>
  <r>
    <s v="TX0024-058"/>
    <x v="23"/>
    <s v="VEND0011"/>
    <x v="569"/>
    <n v="13774"/>
  </r>
  <r>
    <s v="TX0024-059"/>
    <x v="23"/>
    <s v="VEND0025"/>
    <x v="570"/>
    <n v="15140"/>
  </r>
  <r>
    <s v="TX0024-060"/>
    <x v="23"/>
    <s v="VEND0009"/>
    <x v="571"/>
    <n v="5967"/>
  </r>
  <r>
    <s v="TX0025-001"/>
    <x v="24"/>
    <s v="VEND0024"/>
    <x v="168"/>
    <n v="67067"/>
  </r>
  <r>
    <s v="TX0025-002"/>
    <x v="24"/>
    <s v="VEND0007"/>
    <x v="170"/>
    <n v="79758"/>
  </r>
  <r>
    <s v="TX0025-003"/>
    <x v="24"/>
    <s v="VEND0017"/>
    <x v="276"/>
    <n v="86966"/>
  </r>
  <r>
    <s v="TX0025-004"/>
    <x v="24"/>
    <s v="VEND0002"/>
    <x v="531"/>
    <n v="35852"/>
  </r>
  <r>
    <s v="TX0025-005"/>
    <x v="24"/>
    <s v="VEND0008"/>
    <x v="297"/>
    <n v="99875"/>
  </r>
  <r>
    <s v="TX0025-006"/>
    <x v="24"/>
    <s v="VEND0003"/>
    <x v="572"/>
    <n v="96271"/>
  </r>
  <r>
    <s v="TX0025-007"/>
    <x v="24"/>
    <s v="VEND0017"/>
    <x v="369"/>
    <n v="75810"/>
  </r>
  <r>
    <s v="TX0025-008"/>
    <x v="24"/>
    <s v="VEND0019"/>
    <x v="573"/>
    <n v="104485"/>
  </r>
  <r>
    <s v="TX0025-009"/>
    <x v="24"/>
    <s v="VEND0014"/>
    <x v="473"/>
    <n v="46364"/>
  </r>
  <r>
    <s v="TX0025-010"/>
    <x v="24"/>
    <s v="VEND0023"/>
    <x v="574"/>
    <n v="56503"/>
  </r>
  <r>
    <s v="TX0025-011"/>
    <x v="24"/>
    <s v="VEND0015"/>
    <x v="46"/>
    <n v="43705"/>
  </r>
  <r>
    <s v="TX0025-012"/>
    <x v="24"/>
    <s v="VEND0020"/>
    <x v="511"/>
    <n v="81166"/>
  </r>
  <r>
    <s v="TX0025-013"/>
    <x v="24"/>
    <s v="VEND0009"/>
    <x v="575"/>
    <n v="102255"/>
  </r>
  <r>
    <s v="TX0025-014"/>
    <x v="24"/>
    <s v="VEND0022"/>
    <x v="374"/>
    <n v="76089"/>
  </r>
  <r>
    <s v="TX0025-015"/>
    <x v="24"/>
    <s v="VEND0018"/>
    <x v="534"/>
    <n v="96406"/>
  </r>
  <r>
    <s v="TX0025-016"/>
    <x v="24"/>
    <s v="VEND0023"/>
    <x v="53"/>
    <n v="93690"/>
  </r>
  <r>
    <s v="TX0025-017"/>
    <x v="24"/>
    <s v="VEND0025"/>
    <x v="550"/>
    <n v="49540"/>
  </r>
  <r>
    <s v="TX0025-018"/>
    <x v="24"/>
    <s v="VEND0025"/>
    <x v="54"/>
    <n v="57641"/>
  </r>
  <r>
    <s v="TX0025-019"/>
    <x v="24"/>
    <s v="VEND0008"/>
    <x v="576"/>
    <n v="39104"/>
  </r>
  <r>
    <s v="TX0025-020"/>
    <x v="24"/>
    <s v="VEND0009"/>
    <x v="249"/>
    <n v="68698"/>
  </r>
  <r>
    <s v="TX0025-021"/>
    <x v="24"/>
    <s v="VEND0013"/>
    <x v="551"/>
    <n v="95755"/>
  </r>
  <r>
    <s v="TX0025-022"/>
    <x v="24"/>
    <s v="VEND0012"/>
    <x v="577"/>
    <n v="104611"/>
  </r>
  <r>
    <s v="TX0025-023"/>
    <x v="24"/>
    <s v="VEND0014"/>
    <x v="578"/>
    <n v="78485"/>
  </r>
  <r>
    <s v="TX0025-024"/>
    <x v="24"/>
    <s v="VEND0017"/>
    <x v="433"/>
    <n v="100898"/>
  </r>
  <r>
    <s v="TX0025-025"/>
    <x v="24"/>
    <s v="VEND0017"/>
    <x v="579"/>
    <n v="37753"/>
  </r>
  <r>
    <s v="TX0026-001"/>
    <x v="25"/>
    <s v="VEND0001"/>
    <x v="580"/>
    <n v="106511"/>
  </r>
  <r>
    <s v="TX0026-002"/>
    <x v="25"/>
    <s v="VEND0014"/>
    <x v="581"/>
    <n v="132144"/>
  </r>
  <r>
    <s v="TX0026-003"/>
    <x v="25"/>
    <s v="VEND0021"/>
    <x v="582"/>
    <n v="162680"/>
  </r>
  <r>
    <s v="TX0026-004"/>
    <x v="25"/>
    <s v="VEND0020"/>
    <x v="582"/>
    <n v="167660"/>
  </r>
  <r>
    <s v="TX0026-005"/>
    <x v="25"/>
    <s v="VEND0017"/>
    <x v="403"/>
    <n v="175277"/>
  </r>
  <r>
    <s v="TX0026-006"/>
    <x v="25"/>
    <s v="VEND0018"/>
    <x v="583"/>
    <n v="98875"/>
  </r>
  <r>
    <s v="TX0026-007"/>
    <x v="25"/>
    <s v="VEND0018"/>
    <x v="104"/>
    <n v="172222"/>
  </r>
  <r>
    <s v="TX0026-008"/>
    <x v="25"/>
    <s v="VEND0005"/>
    <x v="15"/>
    <n v="104974"/>
  </r>
  <r>
    <s v="TX0026-009"/>
    <x v="25"/>
    <s v="VEND0008"/>
    <x v="183"/>
    <n v="206746"/>
  </r>
  <r>
    <s v="TX0026-010"/>
    <x v="25"/>
    <s v="VEND0013"/>
    <x v="107"/>
    <n v="221505"/>
  </r>
  <r>
    <s v="TX0026-011"/>
    <x v="25"/>
    <s v="VEND0021"/>
    <x v="584"/>
    <n v="95181"/>
  </r>
  <r>
    <s v="TX0026-012"/>
    <x v="25"/>
    <s v="VEND0009"/>
    <x v="20"/>
    <n v="102826"/>
  </r>
  <r>
    <s v="TX0026-013"/>
    <x v="25"/>
    <s v="VEND0014"/>
    <x v="418"/>
    <n v="254863"/>
  </r>
  <r>
    <s v="TX0026-014"/>
    <x v="25"/>
    <s v="VEND0022"/>
    <x v="585"/>
    <n v="230688"/>
  </r>
  <r>
    <s v="TX0026-015"/>
    <x v="25"/>
    <s v="VEND0008"/>
    <x v="539"/>
    <n v="101098"/>
  </r>
  <r>
    <s v="TX0026-016"/>
    <x v="25"/>
    <s v="VEND0023"/>
    <x v="187"/>
    <n v="178737"/>
  </r>
  <r>
    <s v="TX0026-017"/>
    <x v="25"/>
    <s v="VEND0018"/>
    <x v="391"/>
    <n v="95146"/>
  </r>
  <r>
    <s v="TX0026-018"/>
    <x v="25"/>
    <s v="VEND0016"/>
    <x v="392"/>
    <n v="148716"/>
  </r>
  <r>
    <s v="TX0026-019"/>
    <x v="25"/>
    <s v="VEND0013"/>
    <x v="349"/>
    <n v="320527"/>
  </r>
  <r>
    <s v="TX0026-020"/>
    <x v="25"/>
    <s v="VEND0022"/>
    <x v="541"/>
    <n v="184992"/>
  </r>
  <r>
    <s v="TX0026-021"/>
    <x v="25"/>
    <s v="VEND0013"/>
    <x v="586"/>
    <n v="96138"/>
  </r>
  <r>
    <s v="TX0026-022"/>
    <x v="25"/>
    <s v="VEND0011"/>
    <x v="587"/>
    <n v="156298"/>
  </r>
  <r>
    <s v="TX0026-023"/>
    <x v="25"/>
    <s v="VEND0011"/>
    <x v="587"/>
    <n v="171138"/>
  </r>
  <r>
    <s v="TX0026-024"/>
    <x v="25"/>
    <s v="VEND0014"/>
    <x v="302"/>
    <n v="249299"/>
  </r>
  <r>
    <s v="TX0026-025"/>
    <x v="25"/>
    <s v="VEND0008"/>
    <x v="266"/>
    <n v="246452"/>
  </r>
  <r>
    <s v="TX0026-026"/>
    <x v="25"/>
    <s v="VEND0002"/>
    <x v="63"/>
    <n v="92413"/>
  </r>
  <r>
    <s v="TX0026-027"/>
    <x v="25"/>
    <s v="VEND0011"/>
    <x v="116"/>
    <n v="256197"/>
  </r>
  <r>
    <s v="TX0026-028"/>
    <x v="25"/>
    <s v="VEND0006"/>
    <x v="267"/>
    <n v="159424"/>
  </r>
  <r>
    <s v="TX0026-029"/>
    <x v="25"/>
    <s v="VEND0018"/>
    <x v="199"/>
    <n v="148030"/>
  </r>
  <r>
    <s v="TX0026-030"/>
    <x v="25"/>
    <s v="VEND0017"/>
    <x v="290"/>
    <n v="275185"/>
  </r>
  <r>
    <s v="TX0026-031"/>
    <x v="25"/>
    <s v="VEND0012"/>
    <x v="268"/>
    <n v="168932"/>
  </r>
  <r>
    <s v="TX0026-032"/>
    <x v="25"/>
    <s v="VEND0019"/>
    <x v="200"/>
    <n v="273495"/>
  </r>
  <r>
    <s v="TX0026-033"/>
    <x v="25"/>
    <s v="VEND0025"/>
    <x v="235"/>
    <n v="201875"/>
  </r>
  <r>
    <s v="TX0026-034"/>
    <x v="25"/>
    <s v="VEND0016"/>
    <x v="306"/>
    <n v="721902"/>
  </r>
  <r>
    <s v="TX0026-035"/>
    <x v="25"/>
    <s v="VEND0010"/>
    <x v="442"/>
    <n v="204931"/>
  </r>
  <r>
    <s v="TX0027-001"/>
    <x v="26"/>
    <s v="VEND0005"/>
    <x v="128"/>
    <n v="161932"/>
  </r>
  <r>
    <s v="TX0027-002"/>
    <x v="26"/>
    <s v="VEND0005"/>
    <x v="128"/>
    <n v="160345"/>
  </r>
  <r>
    <s v="TX0027-003"/>
    <x v="26"/>
    <s v="VEND0010"/>
    <x v="278"/>
    <n v="187827"/>
  </r>
  <r>
    <s v="TX0027-004"/>
    <x v="26"/>
    <s v="VEND0004"/>
    <x v="41"/>
    <n v="190724"/>
  </r>
  <r>
    <s v="TX0027-005"/>
    <x v="26"/>
    <s v="VEND0003"/>
    <x v="130"/>
    <n v="163971"/>
  </r>
  <r>
    <s v="TX0027-006"/>
    <x v="26"/>
    <s v="VEND0015"/>
    <x v="369"/>
    <n v="160764"/>
  </r>
  <r>
    <s v="TX0027-007"/>
    <x v="26"/>
    <s v="VEND0007"/>
    <x v="509"/>
    <n v="152836"/>
  </r>
  <r>
    <s v="TX0027-008"/>
    <x v="26"/>
    <s v="VEND0023"/>
    <x v="175"/>
    <n v="174946"/>
  </r>
  <r>
    <s v="TX0027-009"/>
    <x v="26"/>
    <s v="VEND0019"/>
    <x v="472"/>
    <n v="193896"/>
  </r>
  <r>
    <s v="TX0027-010"/>
    <x v="26"/>
    <s v="VEND0006"/>
    <x v="373"/>
    <n v="80947"/>
  </r>
  <r>
    <s v="TX0027-011"/>
    <x v="26"/>
    <s v="VEND0002"/>
    <x v="588"/>
    <n v="132217"/>
  </r>
  <r>
    <s v="TX0027-012"/>
    <x v="26"/>
    <s v="VEND0021"/>
    <x v="588"/>
    <n v="131554"/>
  </r>
  <r>
    <s v="TX0027-013"/>
    <x v="26"/>
    <s v="VEND0002"/>
    <x v="589"/>
    <n v="99350"/>
  </r>
  <r>
    <s v="TX0027-014"/>
    <x v="26"/>
    <s v="VEND0006"/>
    <x v="590"/>
    <n v="182499"/>
  </r>
  <r>
    <s v="TX0027-015"/>
    <x v="26"/>
    <s v="VEND0002"/>
    <x v="566"/>
    <n v="121768"/>
  </r>
  <r>
    <s v="TX0027-016"/>
    <x v="26"/>
    <s v="VEND0016"/>
    <x v="211"/>
    <n v="128339"/>
  </r>
  <r>
    <s v="TX0027-017"/>
    <x v="26"/>
    <s v="VEND0002"/>
    <x v="140"/>
    <n v="98035"/>
  </r>
  <r>
    <s v="TX0027-018"/>
    <x v="26"/>
    <s v="VEND0017"/>
    <x v="478"/>
    <n v="191730"/>
  </r>
  <r>
    <s v="TX0027-019"/>
    <x v="26"/>
    <s v="VEND0002"/>
    <x v="591"/>
    <n v="77641"/>
  </r>
  <r>
    <s v="TX0027-020"/>
    <x v="26"/>
    <s v="VEND0024"/>
    <x v="246"/>
    <n v="88494"/>
  </r>
  <r>
    <s v="TX0027-021"/>
    <x v="26"/>
    <s v="VEND0016"/>
    <x v="480"/>
    <n v="67433"/>
  </r>
  <r>
    <s v="TX0027-022"/>
    <x v="26"/>
    <s v="VEND0014"/>
    <x v="382"/>
    <n v="172790"/>
  </r>
  <r>
    <s v="TX0028-001"/>
    <x v="27"/>
    <s v="VEND0024"/>
    <x v="120"/>
    <n v="76503"/>
  </r>
  <r>
    <s v="TX0028-002"/>
    <x v="27"/>
    <s v="VEND0020"/>
    <x v="330"/>
    <n v="100617"/>
  </r>
  <r>
    <s v="TX0028-003"/>
    <x v="27"/>
    <s v="VEND0007"/>
    <x v="165"/>
    <n v="192740"/>
  </r>
  <r>
    <s v="TX0028-004"/>
    <x v="27"/>
    <s v="VEND0012"/>
    <x v="166"/>
    <n v="114258"/>
  </r>
  <r>
    <s v="TX0028-005"/>
    <x v="27"/>
    <s v="VEND0006"/>
    <x v="166"/>
    <n v="55189"/>
  </r>
  <r>
    <s v="TX0028-006"/>
    <x v="27"/>
    <s v="VEND0023"/>
    <x v="98"/>
    <n v="116206"/>
  </r>
  <r>
    <s v="TX0028-007"/>
    <x v="27"/>
    <s v="VEND0023"/>
    <x v="36"/>
    <n v="109410"/>
  </r>
  <r>
    <s v="TX0028-008"/>
    <x v="27"/>
    <s v="VEND0018"/>
    <x v="294"/>
    <n v="65602"/>
  </r>
  <r>
    <s v="TX0028-009"/>
    <x v="27"/>
    <s v="VEND0003"/>
    <x v="399"/>
    <n v="72425"/>
  </r>
  <r>
    <s v="TX0028-010"/>
    <x v="27"/>
    <s v="VEND0002"/>
    <x v="506"/>
    <n v="40596"/>
  </r>
  <r>
    <s v="TX0028-011"/>
    <x v="27"/>
    <s v="VEND0001"/>
    <x v="204"/>
    <n v="58450"/>
  </r>
  <r>
    <s v="TX0028-012"/>
    <x v="27"/>
    <s v="VEND0014"/>
    <x v="507"/>
    <n v="132309"/>
  </r>
  <r>
    <s v="TX0028-013"/>
    <x v="27"/>
    <s v="VEND0002"/>
    <x v="170"/>
    <n v="112453"/>
  </r>
  <r>
    <s v="TX0028-014"/>
    <x v="27"/>
    <s v="VEND0019"/>
    <x v="563"/>
    <n v="79226"/>
  </r>
  <r>
    <s v="TX0028-015"/>
    <x v="27"/>
    <s v="VEND0004"/>
    <x v="277"/>
    <n v="88526"/>
  </r>
  <r>
    <s v="TX0028-016"/>
    <x v="27"/>
    <s v="VEND0016"/>
    <x v="531"/>
    <n v="39898"/>
  </r>
  <r>
    <s v="TX0028-017"/>
    <x v="27"/>
    <s v="VEND0020"/>
    <x v="131"/>
    <n v="44386"/>
  </r>
  <r>
    <s v="TX0028-018"/>
    <x v="27"/>
    <s v="VEND0004"/>
    <x v="427"/>
    <n v="109368"/>
  </r>
  <r>
    <s v="TX0028-019"/>
    <x v="27"/>
    <s v="VEND0002"/>
    <x v="508"/>
    <n v="94188"/>
  </r>
  <r>
    <s v="TX0028-020"/>
    <x v="27"/>
    <s v="VEND0003"/>
    <x v="455"/>
    <n v="100252"/>
  </r>
  <r>
    <s v="TX0028-021"/>
    <x v="27"/>
    <s v="VEND0024"/>
    <x v="175"/>
    <n v="47248"/>
  </r>
  <r>
    <s v="TX0028-022"/>
    <x v="27"/>
    <s v="VEND0004"/>
    <x v="429"/>
    <n v="116654"/>
  </r>
  <r>
    <s v="TX0028-023"/>
    <x v="27"/>
    <s v="VEND0016"/>
    <x v="574"/>
    <n v="50837"/>
  </r>
  <r>
    <s v="TX0028-024"/>
    <x v="27"/>
    <s v="VEND0019"/>
    <x v="592"/>
    <n v="380062"/>
  </r>
  <r>
    <s v="TX0028-025"/>
    <x v="27"/>
    <s v="VEND0010"/>
    <x v="513"/>
    <n v="61522"/>
  </r>
  <r>
    <s v="TX0028-026"/>
    <x v="27"/>
    <s v="VEND0012"/>
    <x v="547"/>
    <n v="111315"/>
  </r>
  <r>
    <s v="TX0028-027"/>
    <x v="27"/>
    <s v="VEND0010"/>
    <x v="281"/>
    <n v="51801"/>
  </r>
  <r>
    <s v="TX0029-001"/>
    <x v="28"/>
    <s v="VEND0017"/>
    <x v="409"/>
    <n v="113624"/>
  </r>
  <r>
    <s v="TX0029-002"/>
    <x v="28"/>
    <s v="VEND0014"/>
    <x v="441"/>
    <n v="80792"/>
  </r>
  <r>
    <s v="TX0029-003"/>
    <x v="28"/>
    <s v="VEND0009"/>
    <x v="197"/>
    <n v="70981"/>
  </r>
  <r>
    <s v="TX0029-004"/>
    <x v="28"/>
    <s v="VEND0009"/>
    <x v="504"/>
    <n v="103818"/>
  </r>
  <r>
    <s v="TX0029-005"/>
    <x v="28"/>
    <s v="VEND0022"/>
    <x v="286"/>
    <n v="74995"/>
  </r>
  <r>
    <s v="TX0029-006"/>
    <x v="28"/>
    <s v="VEND0013"/>
    <x v="352"/>
    <n v="87131"/>
  </r>
  <r>
    <s v="TX0029-007"/>
    <x v="28"/>
    <s v="VEND0007"/>
    <x v="293"/>
    <n v="109653"/>
  </r>
  <r>
    <s v="TX0029-008"/>
    <x v="28"/>
    <s v="VEND0021"/>
    <x v="294"/>
    <n v="55862"/>
  </r>
  <r>
    <s v="TX0029-009"/>
    <x v="28"/>
    <s v="VEND0009"/>
    <x v="296"/>
    <n v="56904"/>
  </r>
  <r>
    <s v="TX0029-010"/>
    <x v="28"/>
    <s v="VEND0008"/>
    <x v="271"/>
    <n v="34190"/>
  </r>
  <r>
    <s v="TX0029-011"/>
    <x v="28"/>
    <s v="VEND0008"/>
    <x v="399"/>
    <n v="85261"/>
  </r>
  <r>
    <s v="TX0029-012"/>
    <x v="28"/>
    <s v="VEND0022"/>
    <x v="506"/>
    <n v="74808"/>
  </r>
  <r>
    <s v="TX0029-013"/>
    <x v="28"/>
    <s v="VEND0012"/>
    <x v="471"/>
    <n v="37119"/>
  </r>
  <r>
    <s v="TX0029-014"/>
    <x v="28"/>
    <s v="VEND0004"/>
    <x v="333"/>
    <n v="63007"/>
  </r>
  <r>
    <s v="TX0029-015"/>
    <x v="28"/>
    <s v="VEND0022"/>
    <x v="530"/>
    <n v="85010"/>
  </r>
  <r>
    <s v="TX0029-016"/>
    <x v="28"/>
    <s v="VEND0011"/>
    <x v="507"/>
    <n v="94982"/>
  </r>
  <r>
    <s v="TX0029-017"/>
    <x v="28"/>
    <s v="VEND0019"/>
    <x v="40"/>
    <n v="95077"/>
  </r>
  <r>
    <s v="TX0029-018"/>
    <x v="28"/>
    <s v="VEND0011"/>
    <x v="131"/>
    <n v="65180"/>
  </r>
  <r>
    <s v="TX0029-019"/>
    <x v="28"/>
    <s v="VEND0022"/>
    <x v="565"/>
    <n v="92549"/>
  </r>
  <r>
    <s v="TX0029-020"/>
    <x v="28"/>
    <s v="VEND0024"/>
    <x v="593"/>
    <n v="70572"/>
  </r>
  <r>
    <s v="TX0029-021"/>
    <x v="28"/>
    <s v="VEND0004"/>
    <x v="594"/>
    <n v="98243"/>
  </r>
  <r>
    <s v="TX0029-022"/>
    <x v="28"/>
    <s v="VEND0009"/>
    <x v="588"/>
    <n v="66076"/>
  </r>
  <r>
    <s v="TX0029-023"/>
    <x v="28"/>
    <s v="VEND0018"/>
    <x v="590"/>
    <n v="39888"/>
  </r>
  <r>
    <s v="TX0029-024"/>
    <x v="28"/>
    <s v="VEND0012"/>
    <x v="243"/>
    <n v="63770"/>
  </r>
  <r>
    <s v="TX0029-025"/>
    <x v="28"/>
    <s v="VEND0025"/>
    <x v="458"/>
    <n v="50862"/>
  </r>
  <r>
    <s v="TX0029-026"/>
    <x v="28"/>
    <s v="VEND0011"/>
    <x v="595"/>
    <n v="33663"/>
  </r>
  <r>
    <s v="TX0029-027"/>
    <x v="28"/>
    <s v="VEND0025"/>
    <x v="138"/>
    <n v="52196"/>
  </r>
  <r>
    <s v="TX0029-028"/>
    <x v="28"/>
    <s v="VEND0024"/>
    <x v="340"/>
    <n v="59968"/>
  </r>
  <r>
    <s v="TX0029-029"/>
    <x v="28"/>
    <s v="VEND0015"/>
    <x v="340"/>
    <n v="90947"/>
  </r>
  <r>
    <s v="TX0029-030"/>
    <x v="28"/>
    <s v="VEND0014"/>
    <x v="375"/>
    <n v="94013"/>
  </r>
  <r>
    <s v="TX0029-031"/>
    <x v="28"/>
    <s v="VEND0012"/>
    <x v="50"/>
    <n v="60971"/>
  </r>
  <r>
    <s v="TX0029-032"/>
    <x v="28"/>
    <s v="VEND0022"/>
    <x v="596"/>
    <n v="79456"/>
  </r>
  <r>
    <s v="TX0029-033"/>
    <x v="28"/>
    <s v="VEND0015"/>
    <x v="597"/>
    <n v="96901"/>
  </r>
  <r>
    <s v="TX0029-034"/>
    <x v="28"/>
    <s v="VEND0015"/>
    <x v="144"/>
    <n v="61654"/>
  </r>
  <r>
    <s v="TX0029-035"/>
    <x v="28"/>
    <s v="VEND0023"/>
    <x v="378"/>
    <n v="87341"/>
  </r>
  <r>
    <s v="TX0029-036"/>
    <x v="28"/>
    <s v="VEND0006"/>
    <x v="550"/>
    <n v="68793"/>
  </r>
  <r>
    <s v="TX0029-037"/>
    <x v="28"/>
    <s v="VEND0022"/>
    <x v="576"/>
    <n v="79592"/>
  </r>
  <r>
    <s v="TX0030-001"/>
    <x v="29"/>
    <s v="VEND0025"/>
    <x v="487"/>
    <n v="56012"/>
  </r>
  <r>
    <s v="TX0030-002"/>
    <x v="29"/>
    <s v="VEND0015"/>
    <x v="598"/>
    <n v="52238"/>
  </r>
  <r>
    <s v="TX0030-003"/>
    <x v="29"/>
    <s v="VEND0007"/>
    <x v="151"/>
    <n v="43099"/>
  </r>
  <r>
    <s v="TX0030-004"/>
    <x v="29"/>
    <s v="VEND0017"/>
    <x v="388"/>
    <n v="71479"/>
  </r>
  <r>
    <s v="TX0030-005"/>
    <x v="29"/>
    <s v="VEND0025"/>
    <x v="437"/>
    <n v="57340"/>
  </r>
  <r>
    <s v="TX0030-006"/>
    <x v="29"/>
    <s v="VEND0007"/>
    <x v="599"/>
    <n v="68017"/>
  </r>
  <r>
    <s v="TX0030-007"/>
    <x v="29"/>
    <s v="VEND0005"/>
    <x v="600"/>
    <n v="44349"/>
  </r>
  <r>
    <s v="TX0030-008"/>
    <x v="29"/>
    <s v="VEND0001"/>
    <x v="601"/>
    <n v="58403"/>
  </r>
  <r>
    <s v="TX0030-009"/>
    <x v="29"/>
    <s v="VEND0015"/>
    <x v="298"/>
    <n v="50180"/>
  </r>
  <r>
    <s v="TX0030-010"/>
    <x v="29"/>
    <s v="VEND0005"/>
    <x v="321"/>
    <n v="71982"/>
  </r>
  <r>
    <s v="TX0030-011"/>
    <x v="29"/>
    <s v="VEND0024"/>
    <x v="321"/>
    <n v="27613"/>
  </r>
  <r>
    <s v="TX0030-012"/>
    <x v="29"/>
    <s v="VEND0025"/>
    <x v="155"/>
    <n v="249614"/>
  </r>
  <r>
    <s v="TX0030-013"/>
    <x v="29"/>
    <s v="VEND0002"/>
    <x v="586"/>
    <n v="30574"/>
  </r>
  <r>
    <s v="TX0030-014"/>
    <x v="29"/>
    <s v="VEND0020"/>
    <x v="602"/>
    <n v="59818"/>
  </r>
  <r>
    <s v="TX0030-015"/>
    <x v="29"/>
    <s v="VEND0017"/>
    <x v="528"/>
    <n v="65885"/>
  </r>
  <r>
    <s v="TX0030-016"/>
    <x v="29"/>
    <s v="VEND0015"/>
    <x v="441"/>
    <n v="27700"/>
  </r>
  <r>
    <s v="TX0030-017"/>
    <x v="29"/>
    <s v="VEND0006"/>
    <x v="159"/>
    <n v="68020"/>
  </r>
  <r>
    <s v="TX0030-018"/>
    <x v="29"/>
    <s v="VEND0008"/>
    <x v="115"/>
    <n v="70118"/>
  </r>
  <r>
    <s v="TX0030-019"/>
    <x v="29"/>
    <s v="VEND0015"/>
    <x v="516"/>
    <n v="27796"/>
  </r>
  <r>
    <s v="TX0030-020"/>
    <x v="29"/>
    <s v="VEND0011"/>
    <x v="467"/>
    <n v="40393"/>
  </r>
  <r>
    <s v="TX0030-021"/>
    <x v="29"/>
    <s v="VEND0019"/>
    <x v="352"/>
    <n v="44968"/>
  </r>
  <r>
    <s v="TX0030-022"/>
    <x v="29"/>
    <s v="VEND0014"/>
    <x v="354"/>
    <n v="77058"/>
  </r>
  <r>
    <s v="TX0030-023"/>
    <x v="29"/>
    <s v="VEND0018"/>
    <x v="290"/>
    <n v="69757"/>
  </r>
  <r>
    <s v="TX0030-024"/>
    <x v="29"/>
    <s v="VEND0005"/>
    <x v="293"/>
    <n v="68558"/>
  </r>
  <r>
    <s v="TX0030-025"/>
    <x v="29"/>
    <s v="VEND0021"/>
    <x v="329"/>
    <n v="57176"/>
  </r>
  <r>
    <s v="TX0030-026"/>
    <x v="29"/>
    <s v="VEND0001"/>
    <x v="234"/>
    <n v="44947"/>
  </r>
  <r>
    <s v="TX0030-027"/>
    <x v="29"/>
    <s v="VEND0001"/>
    <x v="235"/>
    <n v="47538"/>
  </r>
  <r>
    <s v="TX0030-028"/>
    <x v="29"/>
    <s v="VEND0008"/>
    <x v="167"/>
    <n v="35265"/>
  </r>
  <r>
    <s v="TX0030-029"/>
    <x v="29"/>
    <s v="VEND0025"/>
    <x v="603"/>
    <n v="64379"/>
  </r>
  <r>
    <s v="TX0030-030"/>
    <x v="29"/>
    <s v="VEND0013"/>
    <x v="296"/>
    <n v="63893"/>
  </r>
  <r>
    <s v="TX0030-031"/>
    <x v="29"/>
    <s v="VEND0014"/>
    <x v="470"/>
    <n v="31345"/>
  </r>
  <r>
    <s v="TX0030-032"/>
    <x v="29"/>
    <s v="VEND0021"/>
    <x v="400"/>
    <n v="59246"/>
  </r>
  <r>
    <s v="TX0030-033"/>
    <x v="29"/>
    <s v="VEND0004"/>
    <x v="445"/>
    <n v="48417"/>
  </r>
  <r>
    <s v="TX0030-034"/>
    <x v="29"/>
    <s v="VEND0012"/>
    <x v="545"/>
    <n v="63409"/>
  </r>
  <r>
    <s v="TX0030-035"/>
    <x v="29"/>
    <s v="VEND0004"/>
    <x v="507"/>
    <n v="50127"/>
  </r>
  <r>
    <s v="TX0030-036"/>
    <x v="29"/>
    <s v="VEND0001"/>
    <x v="126"/>
    <n v="26020"/>
  </r>
  <r>
    <s v="TX0030-037"/>
    <x v="29"/>
    <s v="VEND0012"/>
    <x v="206"/>
    <n v="57212"/>
  </r>
  <r>
    <s v="TX0030-038"/>
    <x v="29"/>
    <s v="VEND0011"/>
    <x v="604"/>
    <n v="32361"/>
  </r>
  <r>
    <s v="TX0030-039"/>
    <x v="29"/>
    <s v="VEND0001"/>
    <x v="605"/>
    <n v="24965"/>
  </r>
  <r>
    <s v="TX0030-040"/>
    <x v="29"/>
    <s v="VEND0015"/>
    <x v="425"/>
    <n v="45602"/>
  </r>
  <r>
    <s v="TX0030-041"/>
    <x v="29"/>
    <s v="VEND0022"/>
    <x v="572"/>
    <n v="37579"/>
  </r>
  <r>
    <s v="TX0030-042"/>
    <x v="29"/>
    <s v="VEND0009"/>
    <x v="495"/>
    <n v="46447"/>
  </r>
  <r>
    <s v="TX0030-043"/>
    <x v="29"/>
    <s v="VEND0004"/>
    <x v="509"/>
    <n v="45527"/>
  </r>
  <r>
    <s v="TX0030-044"/>
    <x v="29"/>
    <s v="VEND0007"/>
    <x v="240"/>
    <n v="64982"/>
  </r>
  <r>
    <s v="TX0030-045"/>
    <x v="29"/>
    <s v="VEND0012"/>
    <x v="240"/>
    <n v="38951"/>
  </r>
  <r>
    <s v="TX0030-046"/>
    <x v="29"/>
    <s v="VEND0021"/>
    <x v="565"/>
    <n v="52796"/>
  </r>
  <r>
    <s v="TX0030-047"/>
    <x v="29"/>
    <s v="VEND0021"/>
    <x v="133"/>
    <n v="49273"/>
  </r>
  <r>
    <s v="TX0030-048"/>
    <x v="29"/>
    <s v="VEND0024"/>
    <x v="47"/>
    <n v="61723"/>
  </r>
  <r>
    <s v="TX0030-049"/>
    <x v="29"/>
    <s v="VEND0003"/>
    <x v="511"/>
    <n v="54512"/>
  </r>
  <r>
    <s v="TX0030-050"/>
    <x v="29"/>
    <s v="VEND0010"/>
    <x v="280"/>
    <n v="33358"/>
  </r>
  <r>
    <s v="TX0030-051"/>
    <x v="29"/>
    <s v="VEND0007"/>
    <x v="374"/>
    <n v="24997"/>
  </r>
  <r>
    <s v="TX0030-052"/>
    <x v="29"/>
    <s v="VEND0015"/>
    <x v="50"/>
    <n v="24138"/>
  </r>
  <r>
    <s v="TX0030-053"/>
    <x v="29"/>
    <s v="VEND0001"/>
    <x v="51"/>
    <n v="61229"/>
  </r>
  <r>
    <s v="TX0030-054"/>
    <x v="29"/>
    <s v="VEND0008"/>
    <x v="141"/>
    <n v="24027"/>
  </r>
  <r>
    <s v="TX0030-055"/>
    <x v="29"/>
    <s v="VEND0005"/>
    <x v="606"/>
    <n v="30541"/>
  </r>
  <r>
    <s v="TX0030-056"/>
    <x v="29"/>
    <s v="VEND0006"/>
    <x v="535"/>
    <n v="57009"/>
  </r>
  <r>
    <s v="TX0030-057"/>
    <x v="29"/>
    <s v="VEND0005"/>
    <x v="216"/>
    <n v="59194"/>
  </r>
  <r>
    <s v="TX0030-058"/>
    <x v="29"/>
    <s v="VEND0005"/>
    <x v="481"/>
    <n v="64042"/>
  </r>
  <r>
    <s v="TX0030-059"/>
    <x v="29"/>
    <s v="VEND0025"/>
    <x v="570"/>
    <n v="40147"/>
  </r>
  <r>
    <s v="TX0030-060"/>
    <x v="29"/>
    <s v="VEND0014"/>
    <x v="343"/>
    <n v="48797"/>
  </r>
  <r>
    <s v="TX0031-001"/>
    <x v="30"/>
    <s v="VEND0016"/>
    <x v="607"/>
    <n v="433036"/>
  </r>
  <r>
    <s v="TX0031-002"/>
    <x v="30"/>
    <s v="VEND0021"/>
    <x v="608"/>
    <n v="131439"/>
  </r>
  <r>
    <s v="TX0031-003"/>
    <x v="30"/>
    <s v="VEND0016"/>
    <x v="226"/>
    <n v="128952"/>
  </r>
  <r>
    <s v="TX0031-004"/>
    <x v="30"/>
    <s v="VEND0014"/>
    <x v="227"/>
    <n v="160952"/>
  </r>
  <r>
    <s v="TX0031-005"/>
    <x v="30"/>
    <s v="VEND0013"/>
    <x v="82"/>
    <n v="205242"/>
  </r>
  <r>
    <s v="TX0031-006"/>
    <x v="30"/>
    <s v="VEND0004"/>
    <x v="83"/>
    <n v="240294"/>
  </r>
  <r>
    <s v="TX0031-007"/>
    <x v="30"/>
    <s v="VEND0005"/>
    <x v="228"/>
    <n v="255425"/>
  </r>
  <r>
    <s v="TX0031-008"/>
    <x v="30"/>
    <s v="VEND0010"/>
    <x v="228"/>
    <n v="212929"/>
  </r>
  <r>
    <s v="TX0031-009"/>
    <x v="30"/>
    <s v="VEND0015"/>
    <x v="27"/>
    <n v="244699"/>
  </r>
  <r>
    <s v="TX0031-010"/>
    <x v="30"/>
    <s v="VEND0009"/>
    <x v="60"/>
    <n v="140622"/>
  </r>
  <r>
    <s v="TX0031-011"/>
    <x v="30"/>
    <s v="VEND0002"/>
    <x v="609"/>
    <n v="164506"/>
  </r>
  <r>
    <s v="TX0031-012"/>
    <x v="30"/>
    <s v="VEND0002"/>
    <x v="62"/>
    <n v="177420"/>
  </r>
  <r>
    <s v="TX0031-013"/>
    <x v="30"/>
    <s v="VEND0005"/>
    <x v="28"/>
    <n v="201138"/>
  </r>
  <r>
    <s v="TX0031-014"/>
    <x v="30"/>
    <s v="VEND0008"/>
    <x v="197"/>
    <n v="147951"/>
  </r>
  <r>
    <s v="TX0031-015"/>
    <x v="30"/>
    <s v="VEND0015"/>
    <x v="365"/>
    <n v="111789"/>
  </r>
  <r>
    <s v="TX0031-016"/>
    <x v="30"/>
    <s v="VEND0024"/>
    <x v="516"/>
    <n v="221495"/>
  </r>
  <r>
    <s v="TX0031-017"/>
    <x v="30"/>
    <s v="VEND0015"/>
    <x v="469"/>
    <n v="139497"/>
  </r>
  <r>
    <s v="TX0031-018"/>
    <x v="30"/>
    <s v="VEND0006"/>
    <x v="397"/>
    <n v="164303"/>
  </r>
  <r>
    <s v="TX0031-019"/>
    <x v="30"/>
    <s v="VEND0006"/>
    <x v="97"/>
    <n v="165887"/>
  </r>
  <r>
    <s v="TX0031-020"/>
    <x v="30"/>
    <s v="VEND0023"/>
    <x v="610"/>
    <n v="189655"/>
  </r>
  <r>
    <s v="TX0031-021"/>
    <x v="30"/>
    <s v="VEND0006"/>
    <x v="603"/>
    <n v="114855"/>
  </r>
  <r>
    <s v="TX0031-022"/>
    <x v="30"/>
    <s v="VEND0015"/>
    <x v="296"/>
    <n v="216614"/>
  </r>
  <r>
    <s v="TX0031-023"/>
    <x v="30"/>
    <s v="VEND0014"/>
    <x v="271"/>
    <n v="415713"/>
  </r>
  <r>
    <s v="TX0031-024"/>
    <x v="30"/>
    <s v="VEND0013"/>
    <x v="331"/>
    <n v="696697"/>
  </r>
  <r>
    <s v="TX0031-025"/>
    <x v="30"/>
    <s v="VEND0013"/>
    <x v="399"/>
    <n v="146268"/>
  </r>
  <r>
    <s v="TX0031-026"/>
    <x v="30"/>
    <s v="VEND0008"/>
    <x v="273"/>
    <n v="122983"/>
  </r>
  <r>
    <s v="TX0031-027"/>
    <x v="30"/>
    <s v="VEND0002"/>
    <x v="563"/>
    <n v="116003"/>
  </r>
  <r>
    <s v="TX0031-028"/>
    <x v="30"/>
    <s v="VEND0017"/>
    <x v="402"/>
    <n v="152425"/>
  </r>
  <r>
    <s v="TX0031-029"/>
    <x v="30"/>
    <s v="VEND0001"/>
    <x v="611"/>
    <n v="181637"/>
  </r>
  <r>
    <s v="TX0031-030"/>
    <x v="30"/>
    <s v="VEND0019"/>
    <x v="611"/>
    <n v="88919"/>
  </r>
  <r>
    <s v="TX0031-031"/>
    <x v="30"/>
    <s v="VEND0005"/>
    <x v="209"/>
    <n v="188061"/>
  </r>
  <r>
    <s v="TX0031-032"/>
    <x v="30"/>
    <s v="VEND0004"/>
    <x v="132"/>
    <n v="104204"/>
  </r>
  <r>
    <s v="TX0031-033"/>
    <x v="30"/>
    <s v="VEND0014"/>
    <x v="174"/>
    <n v="139575"/>
  </r>
  <r>
    <s v="TX0031-034"/>
    <x v="30"/>
    <s v="VEND0008"/>
    <x v="565"/>
    <n v="92467"/>
  </r>
  <r>
    <s v="TX0031-035"/>
    <x v="30"/>
    <s v="VEND0002"/>
    <x v="44"/>
    <n v="215020"/>
  </r>
  <r>
    <s v="TX0031-036"/>
    <x v="30"/>
    <s v="VEND0016"/>
    <x v="612"/>
    <n v="103004"/>
  </r>
  <r>
    <s v="TX0031-037"/>
    <x v="30"/>
    <s v="VEND0022"/>
    <x v="458"/>
    <n v="204314"/>
  </r>
  <r>
    <s v="TX0031-038"/>
    <x v="30"/>
    <s v="VEND0002"/>
    <x v="137"/>
    <n v="202813"/>
  </r>
  <r>
    <s v="TX0031-039"/>
    <x v="30"/>
    <s v="VEND0019"/>
    <x v="212"/>
    <n v="200296"/>
  </r>
  <r>
    <s v="TX0031-040"/>
    <x v="30"/>
    <s v="VEND0019"/>
    <x v="476"/>
    <n v="309966"/>
  </r>
  <r>
    <s v="TX0031-041"/>
    <x v="30"/>
    <s v="VEND0014"/>
    <x v="478"/>
    <n v="73256"/>
  </r>
  <r>
    <s v="TX0031-042"/>
    <x v="30"/>
    <s v="VEND0004"/>
    <x v="281"/>
    <n v="78783"/>
  </r>
  <r>
    <s v="TX0031-043"/>
    <x v="30"/>
    <s v="VEND0009"/>
    <x v="282"/>
    <n v="110305"/>
  </r>
  <r>
    <s v="TX0031-044"/>
    <x v="30"/>
    <s v="VEND0006"/>
    <x v="283"/>
    <n v="147157"/>
  </r>
  <r>
    <s v="TX0031-045"/>
    <x v="30"/>
    <s v="VEND0006"/>
    <x v="378"/>
    <n v="79040"/>
  </r>
  <r>
    <s v="TX0031-046"/>
    <x v="30"/>
    <s v="VEND0019"/>
    <x v="480"/>
    <n v="174736"/>
  </r>
  <r>
    <s v="TX0031-047"/>
    <x v="30"/>
    <s v="VEND0009"/>
    <x v="536"/>
    <n v="159635"/>
  </r>
  <r>
    <s v="TX0032-001"/>
    <x v="31"/>
    <s v="VEND0005"/>
    <x v="4"/>
    <n v="29581"/>
  </r>
  <r>
    <s v="TX0032-002"/>
    <x v="31"/>
    <s v="VEND0023"/>
    <x v="6"/>
    <n v="12598"/>
  </r>
  <r>
    <s v="TX0032-003"/>
    <x v="31"/>
    <s v="VEND0011"/>
    <x v="460"/>
    <n v="16276"/>
  </r>
  <r>
    <s v="TX0032-004"/>
    <x v="31"/>
    <s v="VEND0020"/>
    <x v="487"/>
    <n v="18041"/>
  </r>
  <r>
    <s v="TX0032-005"/>
    <x v="31"/>
    <s v="VEND0010"/>
    <x v="223"/>
    <n v="24889"/>
  </r>
  <r>
    <s v="TX0032-006"/>
    <x v="31"/>
    <s v="VEND0017"/>
    <x v="613"/>
    <n v="12250"/>
  </r>
  <r>
    <s v="TX0032-007"/>
    <x v="31"/>
    <s v="VEND0013"/>
    <x v="385"/>
    <n v="21575"/>
  </r>
  <r>
    <s v="TX0032-008"/>
    <x v="31"/>
    <s v="VEND0008"/>
    <x v="148"/>
    <n v="24214"/>
  </r>
  <r>
    <s v="TX0032-009"/>
    <x v="31"/>
    <s v="VEND0001"/>
    <x v="462"/>
    <n v="18191"/>
  </r>
  <r>
    <s v="TX0032-010"/>
    <x v="31"/>
    <s v="VEND0014"/>
    <x v="435"/>
    <n v="30795"/>
  </r>
  <r>
    <s v="TX0032-011"/>
    <x v="31"/>
    <s v="VEND0023"/>
    <x v="345"/>
    <n v="17068"/>
  </r>
  <r>
    <s v="TX0032-012"/>
    <x v="31"/>
    <s v="VEND0009"/>
    <x v="150"/>
    <n v="34927"/>
  </r>
  <r>
    <s v="TX0032-013"/>
    <x v="31"/>
    <s v="VEND0009"/>
    <x v="107"/>
    <n v="28719"/>
  </r>
  <r>
    <s v="TX0032-014"/>
    <x v="31"/>
    <s v="VEND0013"/>
    <x v="600"/>
    <n v="46034"/>
  </r>
  <r>
    <s v="TX0032-015"/>
    <x v="31"/>
    <s v="VEND0019"/>
    <x v="347"/>
    <n v="15984"/>
  </r>
  <r>
    <s v="TX0032-016"/>
    <x v="31"/>
    <s v="VEND0006"/>
    <x v="464"/>
    <n v="13449"/>
  </r>
  <r>
    <s v="TX0032-017"/>
    <x v="31"/>
    <s v="VEND0010"/>
    <x v="389"/>
    <n v="22252"/>
  </r>
  <r>
    <s v="TX0032-018"/>
    <x v="31"/>
    <s v="VEND0011"/>
    <x v="440"/>
    <n v="22804"/>
  </r>
  <r>
    <s v="TX0032-019"/>
    <x v="31"/>
    <s v="VEND0019"/>
    <x v="85"/>
    <n v="35097"/>
  </r>
  <r>
    <s v="TX0032-020"/>
    <x v="31"/>
    <s v="VEND0008"/>
    <x v="409"/>
    <n v="17152"/>
  </r>
  <r>
    <s v="TX0032-021"/>
    <x v="31"/>
    <s v="VEND0017"/>
    <x v="113"/>
    <n v="23468"/>
  </r>
  <r>
    <s v="TX0032-022"/>
    <x v="31"/>
    <s v="VEND0013"/>
    <x v="529"/>
    <n v="34199"/>
  </r>
  <r>
    <s v="TX0032-023"/>
    <x v="31"/>
    <s v="VEND0020"/>
    <x v="86"/>
    <n v="13410"/>
  </r>
  <r>
    <s v="TX0032-024"/>
    <x v="31"/>
    <s v="VEND0025"/>
    <x v="117"/>
    <n v="18680"/>
  </r>
  <r>
    <s v="TX0032-025"/>
    <x v="31"/>
    <s v="VEND0016"/>
    <x v="468"/>
    <n v="29755"/>
  </r>
  <r>
    <s v="TX0032-026"/>
    <x v="31"/>
    <s v="VEND0001"/>
    <x v="325"/>
    <n v="20634"/>
  </r>
  <r>
    <s v="TX0032-027"/>
    <x v="31"/>
    <s v="VEND0006"/>
    <x v="327"/>
    <n v="26040"/>
  </r>
  <r>
    <s v="TX0032-028"/>
    <x v="31"/>
    <s v="VEND0007"/>
    <x v="290"/>
    <n v="15952"/>
  </r>
  <r>
    <s v="TX0032-029"/>
    <x v="31"/>
    <s v="VEND0005"/>
    <x v="234"/>
    <n v="16066"/>
  </r>
  <r>
    <s v="TX0032-030"/>
    <x v="31"/>
    <s v="VEND0004"/>
    <x v="34"/>
    <n v="36544"/>
  </r>
  <r>
    <s v="TX0032-031"/>
    <x v="31"/>
    <s v="VEND0023"/>
    <x v="34"/>
    <n v="13981"/>
  </r>
  <r>
    <s v="TX0032-032"/>
    <x v="31"/>
    <s v="VEND0007"/>
    <x v="201"/>
    <n v="33566"/>
  </r>
  <r>
    <s v="TX0032-033"/>
    <x v="31"/>
    <s v="VEND0001"/>
    <x v="35"/>
    <n v="25386"/>
  </r>
  <r>
    <s v="TX0032-034"/>
    <x v="31"/>
    <s v="VEND0003"/>
    <x v="36"/>
    <n v="13216"/>
  </r>
  <r>
    <s v="TX0032-035"/>
    <x v="31"/>
    <s v="VEND0007"/>
    <x v="614"/>
    <n v="28668"/>
  </r>
  <r>
    <s v="TX0032-036"/>
    <x v="31"/>
    <s v="VEND0001"/>
    <x v="203"/>
    <n v="29450"/>
  </r>
  <r>
    <s v="TX0032-037"/>
    <x v="31"/>
    <s v="VEND0011"/>
    <x v="470"/>
    <n v="30761"/>
  </r>
  <r>
    <s v="TX0032-038"/>
    <x v="31"/>
    <s v="VEND0003"/>
    <x v="492"/>
    <n v="22943"/>
  </r>
  <r>
    <s v="TX0032-039"/>
    <x v="31"/>
    <s v="VEND0012"/>
    <x v="493"/>
    <n v="25623"/>
  </r>
  <r>
    <s v="TX0032-040"/>
    <x v="31"/>
    <s v="VEND0021"/>
    <x v="205"/>
    <n v="11662"/>
  </r>
  <r>
    <s v="TX0032-041"/>
    <x v="31"/>
    <s v="VEND0018"/>
    <x v="615"/>
    <n v="12199"/>
  </r>
  <r>
    <s v="TX0032-042"/>
    <x v="31"/>
    <s v="VEND0007"/>
    <x v="239"/>
    <n v="16475"/>
  </r>
  <r>
    <s v="TX0032-043"/>
    <x v="31"/>
    <s v="VEND0007"/>
    <x v="450"/>
    <n v="14549"/>
  </r>
  <r>
    <s v="TX0032-044"/>
    <x v="31"/>
    <s v="VEND0013"/>
    <x v="508"/>
    <n v="20122"/>
  </r>
  <r>
    <s v="TX0032-045"/>
    <x v="31"/>
    <s v="VEND0014"/>
    <x v="132"/>
    <n v="19873"/>
  </r>
  <r>
    <s v="TX0032-046"/>
    <x v="31"/>
    <s v="VEND0012"/>
    <x v="47"/>
    <n v="10541"/>
  </r>
  <r>
    <s v="TX0032-047"/>
    <x v="31"/>
    <s v="VEND0003"/>
    <x v="592"/>
    <n v="12456"/>
  </r>
  <r>
    <s v="TX0032-048"/>
    <x v="31"/>
    <s v="VEND0015"/>
    <x v="213"/>
    <n v="28024"/>
  </r>
  <r>
    <s v="TX0032-049"/>
    <x v="31"/>
    <s v="VEND0016"/>
    <x v="140"/>
    <n v="18226"/>
  </r>
  <r>
    <s v="TX0032-050"/>
    <x v="31"/>
    <s v="VEND0022"/>
    <x v="52"/>
    <n v="19295"/>
  </r>
  <r>
    <s v="TX0032-051"/>
    <x v="31"/>
    <s v="VEND0002"/>
    <x v="377"/>
    <n v="30172"/>
  </r>
  <r>
    <s v="TX0032-052"/>
    <x v="31"/>
    <s v="VEND0022"/>
    <x v="550"/>
    <n v="50861"/>
  </r>
  <r>
    <s v="TX0032-053"/>
    <x v="31"/>
    <s v="VEND0008"/>
    <x v="248"/>
    <n v="19693"/>
  </r>
  <r>
    <s v="TX0032-054"/>
    <x v="31"/>
    <s v="VEND0016"/>
    <x v="250"/>
    <n v="28394"/>
  </r>
  <r>
    <s v="TX0032-055"/>
    <x v="31"/>
    <s v="VEND0018"/>
    <x v="381"/>
    <n v="12397"/>
  </r>
  <r>
    <s v="TX0032-056"/>
    <x v="31"/>
    <s v="VEND0009"/>
    <x v="616"/>
    <n v="14254"/>
  </r>
  <r>
    <s v="TX0032-057"/>
    <x v="31"/>
    <s v="VEND0023"/>
    <x v="577"/>
    <n v="18298"/>
  </r>
  <r>
    <s v="TX0033-001"/>
    <x v="32"/>
    <s v="VEND0005"/>
    <x v="310"/>
    <n v="195268"/>
  </r>
  <r>
    <s v="TX0033-002"/>
    <x v="32"/>
    <s v="VEND0024"/>
    <x v="252"/>
    <n v="169703"/>
  </r>
  <r>
    <s v="TX0033-003"/>
    <x v="32"/>
    <s v="VEND0021"/>
    <x v="312"/>
    <n v="85531"/>
  </r>
  <r>
    <s v="TX0033-004"/>
    <x v="32"/>
    <s v="VEND0013"/>
    <x v="8"/>
    <n v="111102"/>
  </r>
  <r>
    <s v="TX0033-005"/>
    <x v="32"/>
    <s v="VEND0016"/>
    <x v="254"/>
    <n v="232108"/>
  </r>
  <r>
    <s v="TX0033-006"/>
    <x v="32"/>
    <s v="VEND0009"/>
    <x v="522"/>
    <n v="200789"/>
  </r>
  <r>
    <s v="TX0033-007"/>
    <x v="32"/>
    <s v="VEND0018"/>
    <x v="257"/>
    <n v="168407"/>
  </r>
  <r>
    <s v="TX0033-008"/>
    <x v="32"/>
    <s v="VEND0024"/>
    <x v="314"/>
    <n v="212540"/>
  </r>
  <r>
    <s v="TX0033-009"/>
    <x v="32"/>
    <s v="VEND0022"/>
    <x v="487"/>
    <n v="203947"/>
  </r>
  <r>
    <s v="TX0033-010"/>
    <x v="32"/>
    <s v="VEND0014"/>
    <x v="617"/>
    <n v="189111"/>
  </r>
  <r>
    <s v="TX0033-011"/>
    <x v="32"/>
    <s v="VEND0014"/>
    <x v="417"/>
    <n v="98555"/>
  </r>
  <r>
    <s v="TX0033-012"/>
    <x v="32"/>
    <s v="VEND0005"/>
    <x v="20"/>
    <n v="110393"/>
  </r>
  <r>
    <s v="TX0033-013"/>
    <x v="32"/>
    <s v="VEND0015"/>
    <x v="465"/>
    <n v="229646"/>
  </r>
  <r>
    <s v="TX0033-014"/>
    <x v="32"/>
    <s v="VEND0004"/>
    <x v="24"/>
    <n v="189126"/>
  </r>
  <r>
    <s v="TX0033-015"/>
    <x v="32"/>
    <s v="VEND0011"/>
    <x v="392"/>
    <n v="209912"/>
  </r>
  <r>
    <s v="TX0033-016"/>
    <x v="32"/>
    <s v="VEND0025"/>
    <x v="349"/>
    <n v="216221"/>
  </r>
  <r>
    <s v="TX0033-017"/>
    <x v="32"/>
    <s v="VEND0005"/>
    <x v="323"/>
    <n v="706913"/>
  </r>
  <r>
    <s v="TX0033-018"/>
    <x v="32"/>
    <s v="VEND0019"/>
    <x v="323"/>
    <n v="223551"/>
  </r>
  <r>
    <s v="TX0033-019"/>
    <x v="32"/>
    <s v="VEND0010"/>
    <x v="420"/>
    <n v="137402"/>
  </r>
  <r>
    <s v="TX0033-020"/>
    <x v="32"/>
    <s v="VEND0009"/>
    <x v="229"/>
    <n v="148196"/>
  </r>
  <r>
    <s v="TX0033-021"/>
    <x v="32"/>
    <s v="VEND0010"/>
    <x v="303"/>
    <n v="259128"/>
  </r>
  <r>
    <s v="TX0033-022"/>
    <x v="32"/>
    <s v="VEND0015"/>
    <x v="162"/>
    <n v="455533"/>
  </r>
  <r>
    <s v="TX0033-023"/>
    <x v="32"/>
    <s v="VEND0025"/>
    <x v="516"/>
    <n v="215078"/>
  </r>
  <r>
    <s v="TX0033-024"/>
    <x v="32"/>
    <s v="VEND0010"/>
    <x v="90"/>
    <n v="268653"/>
  </r>
  <r>
    <s v="TX0033-025"/>
    <x v="32"/>
    <s v="VEND0013"/>
    <x v="267"/>
    <n v="121011"/>
  </r>
  <r>
    <s v="TX0033-026"/>
    <x v="32"/>
    <s v="VEND0024"/>
    <x v="366"/>
    <n v="189325"/>
  </r>
  <r>
    <s v="TX0033-027"/>
    <x v="32"/>
    <s v="VEND0023"/>
    <x v="289"/>
    <n v="147629"/>
  </r>
  <r>
    <s v="TX0033-028"/>
    <x v="32"/>
    <s v="VEND0017"/>
    <x v="328"/>
    <n v="170623"/>
  </r>
  <r>
    <s v="TX0033-029"/>
    <x v="32"/>
    <s v="VEND0001"/>
    <x v="93"/>
    <n v="211913"/>
  </r>
  <r>
    <s v="TX0033-030"/>
    <x v="32"/>
    <s v="VEND0022"/>
    <x v="93"/>
    <n v="192294"/>
  </r>
  <r>
    <s v="TX0033-031"/>
    <x v="32"/>
    <s v="VEND0008"/>
    <x v="68"/>
    <n v="267057"/>
  </r>
  <r>
    <s v="TX0033-032"/>
    <x v="32"/>
    <s v="VEND0017"/>
    <x v="33"/>
    <n v="227034"/>
  </r>
  <r>
    <s v="TX0033-033"/>
    <x v="32"/>
    <s v="VEND0013"/>
    <x v="165"/>
    <n v="259166"/>
  </r>
  <r>
    <s v="TX0033-034"/>
    <x v="32"/>
    <s v="VEND0007"/>
    <x v="306"/>
    <n v="141478"/>
  </r>
  <r>
    <s v="TX0033-035"/>
    <x v="32"/>
    <s v="VEND0017"/>
    <x v="97"/>
    <n v="152263"/>
  </r>
  <r>
    <s v="TX0034-001"/>
    <x v="33"/>
    <s v="VEND0004"/>
    <x v="357"/>
    <n v="90548"/>
  </r>
  <r>
    <s v="TX0034-002"/>
    <x v="33"/>
    <s v="VEND0016"/>
    <x v="618"/>
    <n v="70780"/>
  </r>
  <r>
    <s v="TX0034-003"/>
    <x v="33"/>
    <s v="VEND0025"/>
    <x v="311"/>
    <n v="44009"/>
  </r>
  <r>
    <s v="TX0034-004"/>
    <x v="33"/>
    <s v="VEND0019"/>
    <x v="7"/>
    <n v="73822"/>
  </r>
  <r>
    <s v="TX0034-005"/>
    <x v="33"/>
    <s v="VEND0012"/>
    <x v="619"/>
    <n v="99866"/>
  </r>
  <r>
    <s v="TX0034-006"/>
    <x v="33"/>
    <s v="VEND0001"/>
    <x v="620"/>
    <n v="67555"/>
  </r>
  <r>
    <s v="TX0034-007"/>
    <x v="33"/>
    <s v="VEND0019"/>
    <x v="621"/>
    <n v="85556"/>
  </r>
  <r>
    <s v="TX0034-008"/>
    <x v="33"/>
    <s v="VEND0005"/>
    <x v="487"/>
    <n v="96012"/>
  </r>
  <r>
    <s v="TX0034-009"/>
    <x v="33"/>
    <s v="VEND0009"/>
    <x v="105"/>
    <n v="67886"/>
  </r>
  <r>
    <s v="TX0034-010"/>
    <x v="33"/>
    <s v="VEND0014"/>
    <x v="316"/>
    <n v="96630"/>
  </r>
  <r>
    <s v="TX0034-011"/>
    <x v="33"/>
    <s v="VEND0016"/>
    <x v="260"/>
    <n v="223629"/>
  </r>
  <r>
    <s v="TX0034-012"/>
    <x v="33"/>
    <s v="VEND0007"/>
    <x v="260"/>
    <n v="63418"/>
  </r>
  <r>
    <s v="TX0034-013"/>
    <x v="33"/>
    <s v="VEND0014"/>
    <x v="78"/>
    <n v="84657"/>
  </r>
  <r>
    <s v="TX0034-014"/>
    <x v="33"/>
    <s v="VEND0006"/>
    <x v="622"/>
    <n v="61378"/>
  </r>
  <r>
    <s v="TX0034-015"/>
    <x v="33"/>
    <s v="VEND0001"/>
    <x v="152"/>
    <n v="121486"/>
  </r>
  <r>
    <s v="TX0034-016"/>
    <x v="33"/>
    <s v="VEND0017"/>
    <x v="110"/>
    <n v="123330"/>
  </r>
  <r>
    <s v="TX0034-017"/>
    <x v="33"/>
    <s v="VEND0005"/>
    <x v="154"/>
    <n v="61861"/>
  </r>
  <r>
    <s v="TX0034-018"/>
    <x v="33"/>
    <s v="VEND0007"/>
    <x v="540"/>
    <n v="115836"/>
  </r>
  <r>
    <s v="TX0034-019"/>
    <x v="33"/>
    <s v="VEND0003"/>
    <x v="58"/>
    <n v="126491"/>
  </r>
  <r>
    <s v="TX0034-020"/>
    <x v="33"/>
    <s v="VEND0008"/>
    <x v="189"/>
    <n v="77965"/>
  </r>
  <r>
    <s v="TX0034-021"/>
    <x v="33"/>
    <s v="VEND0011"/>
    <x v="586"/>
    <n v="88086"/>
  </r>
  <r>
    <s v="TX0034-022"/>
    <x v="33"/>
    <s v="VEND0023"/>
    <x v="27"/>
    <n v="124123"/>
  </r>
  <r>
    <s v="TX0034-023"/>
    <x v="33"/>
    <s v="VEND0017"/>
    <x v="263"/>
    <n v="89896"/>
  </r>
  <r>
    <s v="TX0034-024"/>
    <x v="33"/>
    <s v="VEND0025"/>
    <x v="351"/>
    <n v="126139"/>
  </r>
  <r>
    <s v="TX0034-025"/>
    <x v="33"/>
    <s v="VEND0004"/>
    <x v="543"/>
    <n v="125673"/>
  </r>
  <r>
    <s v="TX0034-026"/>
    <x v="33"/>
    <s v="VEND0018"/>
    <x v="287"/>
    <n v="90345"/>
  </r>
  <r>
    <s v="TX0034-027"/>
    <x v="33"/>
    <s v="VEND0006"/>
    <x v="623"/>
    <n v="107377"/>
  </r>
  <r>
    <s v="TX0034-028"/>
    <x v="33"/>
    <s v="VEND0003"/>
    <x v="624"/>
    <n v="65010"/>
  </r>
  <r>
    <s v="TX0034-029"/>
    <x v="33"/>
    <s v="VEND0006"/>
    <x v="31"/>
    <n v="101202"/>
  </r>
  <r>
    <s v="TX0034-030"/>
    <x v="33"/>
    <s v="VEND0023"/>
    <x v="367"/>
    <n v="121622"/>
  </r>
  <r>
    <s v="TX0034-031"/>
    <x v="33"/>
    <s v="VEND0023"/>
    <x v="625"/>
    <n v="61057"/>
  </r>
  <r>
    <s v="TX0034-032"/>
    <x v="33"/>
    <s v="VEND0013"/>
    <x v="625"/>
    <n v="117684"/>
  </r>
  <r>
    <s v="TX0034-033"/>
    <x v="33"/>
    <s v="VEND0007"/>
    <x v="121"/>
    <n v="71003"/>
  </r>
  <r>
    <s v="TX0034-034"/>
    <x v="33"/>
    <s v="VEND0023"/>
    <x v="96"/>
    <n v="69982"/>
  </r>
  <r>
    <s v="TX0034-035"/>
    <x v="33"/>
    <s v="VEND0012"/>
    <x v="123"/>
    <n v="81811"/>
  </r>
  <r>
    <s v="TX0034-036"/>
    <x v="33"/>
    <s v="VEND0021"/>
    <x v="98"/>
    <n v="220373"/>
  </r>
  <r>
    <s v="TX0034-037"/>
    <x v="33"/>
    <s v="VEND0021"/>
    <x v="444"/>
    <n v="58694"/>
  </r>
  <r>
    <s v="TX0034-038"/>
    <x v="33"/>
    <s v="VEND0006"/>
    <x v="296"/>
    <n v="54890"/>
  </r>
  <r>
    <s v="TX0034-039"/>
    <x v="33"/>
    <s v="VEND0006"/>
    <x v="296"/>
    <n v="53138"/>
  </r>
  <r>
    <s v="TX0034-040"/>
    <x v="33"/>
    <s v="VEND0023"/>
    <x v="170"/>
    <n v="71947"/>
  </r>
  <r>
    <s v="TX0034-041"/>
    <x v="33"/>
    <s v="VEND0004"/>
    <x v="626"/>
    <n v="101425"/>
  </r>
  <r>
    <s v="TX0034-042"/>
    <x v="33"/>
    <s v="VEND0024"/>
    <x v="275"/>
    <n v="43551"/>
  </r>
  <r>
    <s v="TX0034-043"/>
    <x v="33"/>
    <s v="VEND0011"/>
    <x v="563"/>
    <n v="50823"/>
  </r>
  <r>
    <s v="TX0034-044"/>
    <x v="33"/>
    <s v="VEND0016"/>
    <x v="129"/>
    <n v="56238"/>
  </r>
  <r>
    <s v="TX0034-045"/>
    <x v="33"/>
    <s v="VEND0013"/>
    <x v="627"/>
    <n v="77334"/>
  </r>
  <r>
    <s v="TX0034-046"/>
    <x v="33"/>
    <s v="VEND0003"/>
    <x v="453"/>
    <n v="106252"/>
  </r>
  <r>
    <s v="TX0034-047"/>
    <x v="33"/>
    <s v="VEND0005"/>
    <x v="240"/>
    <n v="42749"/>
  </r>
  <r>
    <s v="TX0034-048"/>
    <x v="33"/>
    <s v="VEND0013"/>
    <x v="175"/>
    <n v="91574"/>
  </r>
  <r>
    <s v="TX0034-049"/>
    <x v="33"/>
    <s v="VEND0022"/>
    <x v="135"/>
    <n v="92778"/>
  </r>
  <r>
    <s v="TX0034-050"/>
    <x v="33"/>
    <s v="VEND0025"/>
    <x v="594"/>
    <n v="107608"/>
  </r>
  <r>
    <s v="TX0034-051"/>
    <x v="33"/>
    <s v="VEND0001"/>
    <x v="45"/>
    <n v="86134"/>
  </r>
  <r>
    <s v="TX0034-052"/>
    <x v="33"/>
    <s v="VEND0006"/>
    <x v="588"/>
    <n v="67658"/>
  </r>
  <r>
    <s v="TX0034-053"/>
    <x v="33"/>
    <s v="VEND0013"/>
    <x v="511"/>
    <n v="65299"/>
  </r>
  <r>
    <s v="TX0034-054"/>
    <x v="33"/>
    <s v="VEND0023"/>
    <x v="628"/>
    <n v="58424"/>
  </r>
  <r>
    <s v="TX0034-055"/>
    <x v="33"/>
    <s v="VEND0019"/>
    <x v="142"/>
    <n v="48588"/>
  </r>
  <r>
    <s v="TX0034-056"/>
    <x v="33"/>
    <s v="VEND0023"/>
    <x v="284"/>
    <n v="70447"/>
  </r>
  <r>
    <s v="TX0034-057"/>
    <x v="33"/>
    <s v="VEND0023"/>
    <x v="551"/>
    <n v="107475"/>
  </r>
  <r>
    <s v="TX0034-058"/>
    <x v="33"/>
    <s v="VEND0020"/>
    <x v="56"/>
    <n v="276830"/>
  </r>
  <r>
    <s v="TX0034-059"/>
    <x v="33"/>
    <s v="VEND0004"/>
    <x v="629"/>
    <n v="37629"/>
  </r>
  <r>
    <s v="TX0034-060"/>
    <x v="33"/>
    <s v="VEND0022"/>
    <x v="538"/>
    <n v="99242"/>
  </r>
  <r>
    <s v="TX0035-001"/>
    <x v="34"/>
    <s v="VEND0005"/>
    <x v="256"/>
    <n v="176695"/>
  </r>
  <r>
    <s v="TX0035-002"/>
    <x v="34"/>
    <s v="VEND0016"/>
    <x v="460"/>
    <n v="84854"/>
  </r>
  <r>
    <s v="TX0035-003"/>
    <x v="34"/>
    <s v="VEND0004"/>
    <x v="182"/>
    <n v="191524"/>
  </r>
  <r>
    <s v="TX0035-004"/>
    <x v="34"/>
    <s v="VEND0015"/>
    <x v="101"/>
    <n v="193146"/>
  </r>
  <r>
    <s v="TX0035-005"/>
    <x v="34"/>
    <s v="VEND0020"/>
    <x v="630"/>
    <n v="111328"/>
  </r>
  <r>
    <s v="TX0035-006"/>
    <x v="34"/>
    <s v="VEND0015"/>
    <x v="77"/>
    <n v="121763"/>
  </r>
  <r>
    <s v="TX0035-007"/>
    <x v="34"/>
    <s v="VEND0020"/>
    <x v="631"/>
    <n v="209803"/>
  </r>
  <r>
    <s v="TX0035-008"/>
    <x v="34"/>
    <s v="VEND0018"/>
    <x v="15"/>
    <n v="115247"/>
  </r>
  <r>
    <s v="TX0035-009"/>
    <x v="34"/>
    <s v="VEND0024"/>
    <x v="317"/>
    <n v="192186"/>
  </r>
  <r>
    <s v="TX0035-010"/>
    <x v="34"/>
    <s v="VEND0025"/>
    <x v="436"/>
    <n v="181691"/>
  </r>
  <r>
    <s v="TX0035-011"/>
    <x v="34"/>
    <s v="VEND0010"/>
    <x v="151"/>
    <n v="107354"/>
  </r>
  <r>
    <s v="TX0035-012"/>
    <x v="34"/>
    <s v="VEND0022"/>
    <x v="632"/>
    <n v="181344"/>
  </r>
  <r>
    <s v="TX0035-013"/>
    <x v="34"/>
    <s v="VEND0012"/>
    <x v="108"/>
    <n v="153391"/>
  </r>
  <r>
    <s v="TX0035-014"/>
    <x v="34"/>
    <s v="VEND0009"/>
    <x v="633"/>
    <n v="181460"/>
  </r>
  <r>
    <s v="TX0035-015"/>
    <x v="34"/>
    <s v="VEND0001"/>
    <x v="634"/>
    <n v="193480"/>
  </r>
  <r>
    <s v="TX0035-016"/>
    <x v="34"/>
    <s v="VEND0024"/>
    <x v="541"/>
    <n v="209697"/>
  </r>
  <r>
    <s v="TX0035-017"/>
    <x v="34"/>
    <s v="VEND0025"/>
    <x v="189"/>
    <n v="206177"/>
  </r>
  <r>
    <s v="TX0036-001"/>
    <x v="35"/>
    <s v="VEND0021"/>
    <x v="553"/>
    <n v="130643"/>
  </r>
  <r>
    <s v="TX0036-002"/>
    <x v="35"/>
    <s v="VEND0017"/>
    <x v="73"/>
    <n v="192507"/>
  </r>
  <r>
    <s v="TX0036-003"/>
    <x v="35"/>
    <s v="VEND0014"/>
    <x v="311"/>
    <n v="80639"/>
  </r>
  <r>
    <s v="TX0036-004"/>
    <x v="35"/>
    <s v="VEND0007"/>
    <x v="312"/>
    <n v="124074"/>
  </r>
  <r>
    <s v="TX0036-005"/>
    <x v="35"/>
    <s v="VEND0002"/>
    <x v="7"/>
    <n v="174190"/>
  </r>
  <r>
    <s v="TX0036-006"/>
    <x v="35"/>
    <s v="VEND0010"/>
    <x v="181"/>
    <n v="80608"/>
  </r>
  <r>
    <s v="TX0036-007"/>
    <x v="35"/>
    <s v="VEND0015"/>
    <x v="254"/>
    <n v="84940"/>
  </r>
  <r>
    <s v="TX0036-008"/>
    <x v="35"/>
    <s v="VEND0018"/>
    <x v="101"/>
    <n v="81978"/>
  </r>
  <r>
    <s v="TX0036-009"/>
    <x v="35"/>
    <s v="VEND0010"/>
    <x v="621"/>
    <n v="190882"/>
  </r>
  <r>
    <s v="TX0036-010"/>
    <x v="35"/>
    <s v="VEND0019"/>
    <x v="77"/>
    <n v="96934"/>
  </r>
  <r>
    <s v="TX0036-011"/>
    <x v="35"/>
    <s v="VEND0021"/>
    <x v="259"/>
    <n v="195457"/>
  </r>
  <r>
    <s v="TX0036-012"/>
    <x v="35"/>
    <s v="VEND0017"/>
    <x v="14"/>
    <n v="206652"/>
  </r>
  <r>
    <s v="TX0036-013"/>
    <x v="35"/>
    <s v="VEND0003"/>
    <x v="16"/>
    <n v="78881"/>
  </r>
  <r>
    <s v="TX0036-014"/>
    <x v="35"/>
    <s v="VEND0025"/>
    <x v="387"/>
    <n v="110431"/>
  </r>
  <r>
    <s v="TX0036-015"/>
    <x v="35"/>
    <s v="VEND0006"/>
    <x v="617"/>
    <n v="116756"/>
  </r>
  <r>
    <s v="TX0036-016"/>
    <x v="35"/>
    <s v="VEND0007"/>
    <x v="20"/>
    <n v="92222"/>
  </r>
  <r>
    <s v="TX0036-017"/>
    <x v="35"/>
    <s v="VEND0025"/>
    <x v="347"/>
    <n v="267790"/>
  </r>
  <r>
    <s v="TX0036-018"/>
    <x v="35"/>
    <s v="VEND0022"/>
    <x v="464"/>
    <n v="148197"/>
  </r>
  <r>
    <s v="TX0036-019"/>
    <x v="35"/>
    <s v="VEND0024"/>
    <x v="464"/>
    <n v="164282"/>
  </r>
  <r>
    <s v="TX0036-020"/>
    <x v="35"/>
    <s v="VEND0018"/>
    <x v="394"/>
    <n v="237391"/>
  </r>
  <r>
    <s v="TX0036-021"/>
    <x v="35"/>
    <s v="VEND0019"/>
    <x v="300"/>
    <n v="205473"/>
  </r>
  <r>
    <s v="TX0036-022"/>
    <x v="35"/>
    <s v="VEND0008"/>
    <x v="528"/>
    <n v="239189"/>
  </r>
  <r>
    <s v="TX0037-001"/>
    <x v="36"/>
    <s v="VEND0025"/>
    <x v="358"/>
    <n v="43424"/>
  </r>
  <r>
    <s v="TX0037-002"/>
    <x v="36"/>
    <s v="VEND0011"/>
    <x v="359"/>
    <n v="22288"/>
  </r>
  <r>
    <s v="TX0037-003"/>
    <x v="36"/>
    <s v="VEND0016"/>
    <x v="4"/>
    <n v="24398"/>
  </r>
  <r>
    <s v="TX0037-004"/>
    <x v="36"/>
    <s v="VEND0018"/>
    <x v="182"/>
    <n v="52214"/>
  </r>
  <r>
    <s v="TX0037-005"/>
    <x v="36"/>
    <s v="VEND0001"/>
    <x v="635"/>
    <n v="20273"/>
  </r>
  <r>
    <s v="TX0037-006"/>
    <x v="36"/>
    <s v="VEND0010"/>
    <x v="105"/>
    <n v="30691"/>
  </r>
  <r>
    <s v="TX0037-007"/>
    <x v="36"/>
    <s v="VEND0017"/>
    <x v="417"/>
    <n v="40586"/>
  </r>
  <r>
    <s v="TX0037-008"/>
    <x v="36"/>
    <s v="VEND0020"/>
    <x v="108"/>
    <n v="58424"/>
  </r>
  <r>
    <s v="TX0037-009"/>
    <x v="36"/>
    <s v="VEND0020"/>
    <x v="439"/>
    <n v="51223"/>
  </r>
  <r>
    <s v="TX0037-010"/>
    <x v="36"/>
    <s v="VEND0009"/>
    <x v="347"/>
    <n v="25717"/>
  </r>
  <r>
    <s v="TX0037-011"/>
    <x v="36"/>
    <s v="VEND0002"/>
    <x v="390"/>
    <n v="31536"/>
  </r>
  <r>
    <s v="TX0037-012"/>
    <x v="36"/>
    <s v="VEND0023"/>
    <x v="489"/>
    <n v="56687"/>
  </r>
  <r>
    <s v="TX0037-013"/>
    <x v="36"/>
    <s v="VEND0010"/>
    <x v="21"/>
    <n v="55323"/>
  </r>
  <r>
    <s v="TX0037-014"/>
    <x v="36"/>
    <s v="VEND0003"/>
    <x v="21"/>
    <n v="38720"/>
  </r>
  <r>
    <s v="TX0037-015"/>
    <x v="36"/>
    <s v="VEND0024"/>
    <x v="24"/>
    <n v="27112"/>
  </r>
  <r>
    <s v="TX0037-016"/>
    <x v="36"/>
    <s v="VEND0021"/>
    <x v="636"/>
    <n v="45723"/>
  </r>
  <r>
    <s v="TX0037-017"/>
    <x v="36"/>
    <s v="VEND0008"/>
    <x v="189"/>
    <n v="34752"/>
  </r>
  <r>
    <s v="TX0037-018"/>
    <x v="36"/>
    <s v="VEND0011"/>
    <x v="189"/>
    <n v="32633"/>
  </r>
  <r>
    <s v="TX0037-019"/>
    <x v="36"/>
    <s v="VEND0022"/>
    <x v="637"/>
    <n v="62172"/>
  </r>
  <r>
    <s v="TX0037-020"/>
    <x v="36"/>
    <s v="VEND0010"/>
    <x v="158"/>
    <n v="35792"/>
  </r>
  <r>
    <s v="TX0037-021"/>
    <x v="36"/>
    <s v="VEND0014"/>
    <x v="364"/>
    <n v="24753"/>
  </r>
  <r>
    <s v="TX0037-022"/>
    <x v="36"/>
    <s v="VEND0025"/>
    <x v="63"/>
    <n v="53196"/>
  </r>
  <r>
    <s v="TX0037-023"/>
    <x v="36"/>
    <s v="VEND0013"/>
    <x v="543"/>
    <n v="28839"/>
  </r>
  <r>
    <s v="TX0037-024"/>
    <x v="36"/>
    <s v="VEND0013"/>
    <x v="163"/>
    <n v="29725"/>
  </r>
  <r>
    <s v="TX0037-025"/>
    <x v="36"/>
    <s v="VEND0020"/>
    <x v="422"/>
    <n v="40333"/>
  </r>
  <r>
    <s v="TX0037-026"/>
    <x v="36"/>
    <s v="VEND0004"/>
    <x v="491"/>
    <n v="57207"/>
  </r>
  <r>
    <s v="TX0037-027"/>
    <x v="36"/>
    <s v="VEND0010"/>
    <x v="32"/>
    <n v="53623"/>
  </r>
  <r>
    <s v="TX0037-028"/>
    <x v="36"/>
    <s v="VEND0006"/>
    <x v="92"/>
    <n v="58296"/>
  </r>
  <r>
    <s v="TX0037-029"/>
    <x v="36"/>
    <s v="VEND0025"/>
    <x v="94"/>
    <n v="39859"/>
  </r>
  <r>
    <s v="TX0037-030"/>
    <x v="36"/>
    <s v="VEND0011"/>
    <x v="94"/>
    <n v="62014"/>
  </r>
  <r>
    <s v="TX0037-031"/>
    <x v="36"/>
    <s v="VEND0023"/>
    <x v="70"/>
    <n v="50121"/>
  </r>
  <r>
    <s v="TX0037-032"/>
    <x v="36"/>
    <s v="VEND0021"/>
    <x v="98"/>
    <n v="71958"/>
  </r>
  <r>
    <s v="TX0037-033"/>
    <x v="36"/>
    <s v="VEND0007"/>
    <x v="98"/>
    <n v="41590"/>
  </r>
  <r>
    <s v="TX0037-034"/>
    <x v="36"/>
    <s v="VEND0002"/>
    <x v="100"/>
    <n v="25443"/>
  </r>
  <r>
    <s v="TX0037-035"/>
    <x v="36"/>
    <s v="VEND0022"/>
    <x v="424"/>
    <n v="43207"/>
  </r>
  <r>
    <s v="TX0037-036"/>
    <x v="36"/>
    <s v="VEND0025"/>
    <x v="446"/>
    <n v="25150"/>
  </r>
  <r>
    <s v="TX0037-037"/>
    <x v="36"/>
    <s v="VEND0019"/>
    <x v="297"/>
    <n v="40081"/>
  </r>
  <r>
    <s v="TX0037-038"/>
    <x v="36"/>
    <s v="VEND0023"/>
    <x v="638"/>
    <n v="28542"/>
  </r>
  <r>
    <s v="TX0037-039"/>
    <x v="36"/>
    <s v="VEND0019"/>
    <x v="173"/>
    <n v="45328"/>
  </r>
  <r>
    <s v="TX0037-040"/>
    <x v="36"/>
    <s v="VEND0010"/>
    <x v="627"/>
    <n v="33491"/>
  </r>
  <r>
    <s v="TX0037-041"/>
    <x v="36"/>
    <s v="VEND0006"/>
    <x v="427"/>
    <n v="26773"/>
  </r>
  <r>
    <s v="TX0037-042"/>
    <x v="36"/>
    <s v="VEND0014"/>
    <x v="134"/>
    <n v="35578"/>
  </r>
  <r>
    <s v="TX0037-043"/>
    <x v="36"/>
    <s v="VEND0011"/>
    <x v="134"/>
    <n v="50750"/>
  </r>
  <r>
    <s v="TX0037-044"/>
    <x v="36"/>
    <s v="VEND0019"/>
    <x v="370"/>
    <n v="46038"/>
  </r>
  <r>
    <s v="TX0037-045"/>
    <x v="36"/>
    <s v="VEND0019"/>
    <x v="475"/>
    <n v="32142"/>
  </r>
  <r>
    <s v="TX0037-046"/>
    <x v="36"/>
    <s v="VEND0017"/>
    <x v="567"/>
    <n v="27768"/>
  </r>
  <r>
    <s v="TX0037-047"/>
    <x v="36"/>
    <s v="VEND0002"/>
    <x v="245"/>
    <n v="22704"/>
  </r>
  <r>
    <s v="TX0037-048"/>
    <x v="36"/>
    <s v="VEND0007"/>
    <x v="137"/>
    <n v="42608"/>
  </r>
  <r>
    <s v="TX0037-049"/>
    <x v="36"/>
    <s v="VEND0002"/>
    <x v="137"/>
    <n v="38847"/>
  </r>
  <r>
    <s v="TX0037-050"/>
    <x v="36"/>
    <s v="VEND0008"/>
    <x v="339"/>
    <n v="32679"/>
  </r>
  <r>
    <s v="TX0037-051"/>
    <x v="36"/>
    <s v="VEND0010"/>
    <x v="592"/>
    <n v="29534"/>
  </r>
  <r>
    <s v="TX0037-052"/>
    <x v="36"/>
    <s v="VEND0003"/>
    <x v="459"/>
    <n v="33860"/>
  </r>
  <r>
    <s v="TX0037-053"/>
    <x v="36"/>
    <s v="VEND0001"/>
    <x v="50"/>
    <n v="54331"/>
  </r>
  <r>
    <s v="TX0037-054"/>
    <x v="36"/>
    <s v="VEND0009"/>
    <x v="639"/>
    <n v="33506"/>
  </r>
  <r>
    <s v="TX0037-055"/>
    <x v="36"/>
    <s v="VEND0007"/>
    <x v="639"/>
    <n v="55557"/>
  </r>
  <r>
    <s v="TX0037-056"/>
    <x v="36"/>
    <s v="VEND0013"/>
    <x v="534"/>
    <n v="22522"/>
  </r>
  <r>
    <s v="TX0037-057"/>
    <x v="36"/>
    <s v="VEND0002"/>
    <x v="376"/>
    <n v="27229"/>
  </r>
  <r>
    <s v="TX0038-001"/>
    <x v="37"/>
    <s v="VEND0024"/>
    <x v="158"/>
    <n v="247712"/>
  </r>
  <r>
    <s v="TX0038-002"/>
    <x v="37"/>
    <s v="VEND0004"/>
    <x v="420"/>
    <n v="210013"/>
  </r>
  <r>
    <s v="TX0038-003"/>
    <x v="37"/>
    <s v="VEND0013"/>
    <x v="160"/>
    <n v="267534"/>
  </r>
  <r>
    <s v="TX0038-004"/>
    <x v="37"/>
    <s v="VEND0013"/>
    <x v="29"/>
    <n v="208677"/>
  </r>
  <r>
    <s v="TX0038-005"/>
    <x v="37"/>
    <s v="VEND0002"/>
    <x v="30"/>
    <n v="162580"/>
  </r>
  <r>
    <s v="TX0038-006"/>
    <x v="37"/>
    <s v="VEND0015"/>
    <x v="162"/>
    <n v="265606"/>
  </r>
  <r>
    <s v="TX0038-007"/>
    <x v="37"/>
    <s v="VEND0022"/>
    <x v="162"/>
    <n v="251957"/>
  </r>
  <r>
    <s v="TX0038-008"/>
    <x v="37"/>
    <s v="VEND0023"/>
    <x v="115"/>
    <n v="242061"/>
  </r>
  <r>
    <s v="TX0038-009"/>
    <x v="37"/>
    <s v="VEND0017"/>
    <x v="640"/>
    <n v="460001"/>
  </r>
  <r>
    <s v="TX0038-010"/>
    <x v="37"/>
    <s v="VEND0006"/>
    <x v="163"/>
    <n v="263684"/>
  </r>
  <r>
    <s v="TX0038-011"/>
    <x v="37"/>
    <s v="VEND0002"/>
    <x v="66"/>
    <n v="125460"/>
  </r>
  <r>
    <s v="TX0038-012"/>
    <x v="37"/>
    <s v="VEND0010"/>
    <x v="289"/>
    <n v="97212"/>
  </r>
  <r>
    <s v="TX0038-013"/>
    <x v="37"/>
    <s v="VEND0022"/>
    <x v="95"/>
    <n v="228811"/>
  </r>
  <r>
    <s v="TX0038-014"/>
    <x v="37"/>
    <s v="VEND0001"/>
    <x v="165"/>
    <n v="269320"/>
  </r>
  <r>
    <s v="TX0038-015"/>
    <x v="37"/>
    <s v="VEND0021"/>
    <x v="294"/>
    <n v="161083"/>
  </r>
  <r>
    <s v="TX0038-016"/>
    <x v="37"/>
    <s v="VEND0012"/>
    <x v="294"/>
    <n v="193211"/>
  </r>
  <r>
    <s v="TX0038-017"/>
    <x v="37"/>
    <s v="VEND0002"/>
    <x v="423"/>
    <n v="124810"/>
  </r>
  <r>
    <s v="TX0038-018"/>
    <x v="37"/>
    <s v="VEND0023"/>
    <x v="331"/>
    <n v="227142"/>
  </r>
  <r>
    <s v="TX0038-019"/>
    <x v="37"/>
    <s v="VEND0018"/>
    <x v="171"/>
    <n v="100417"/>
  </r>
  <r>
    <s v="TX0038-020"/>
    <x v="37"/>
    <s v="VEND0004"/>
    <x v="563"/>
    <n v="220563"/>
  </r>
  <r>
    <s v="TX0038-021"/>
    <x v="37"/>
    <s v="VEND0002"/>
    <x v="127"/>
    <n v="90040"/>
  </r>
  <r>
    <s v="TX0038-022"/>
    <x v="37"/>
    <s v="VEND0019"/>
    <x v="173"/>
    <n v="222426"/>
  </r>
  <r>
    <s v="TX0038-023"/>
    <x v="37"/>
    <s v="VEND0008"/>
    <x v="573"/>
    <n v="179562"/>
  </r>
  <r>
    <s v="TX0038-024"/>
    <x v="37"/>
    <s v="VEND0015"/>
    <x v="279"/>
    <n v="110587"/>
  </r>
  <r>
    <s v="TX0038-025"/>
    <x v="37"/>
    <s v="VEND0009"/>
    <x v="175"/>
    <n v="95042"/>
  </r>
  <r>
    <s v="TX0038-026"/>
    <x v="37"/>
    <s v="VEND0018"/>
    <x v="135"/>
    <n v="196323"/>
  </r>
  <r>
    <s v="TX0038-027"/>
    <x v="37"/>
    <s v="VEND0022"/>
    <x v="574"/>
    <n v="172529"/>
  </r>
  <r>
    <s v="TX0038-028"/>
    <x v="37"/>
    <s v="VEND0015"/>
    <x v="212"/>
    <n v="128627"/>
  </r>
  <r>
    <s v="TX0038-029"/>
    <x v="37"/>
    <s v="VEND0011"/>
    <x v="49"/>
    <n v="640945"/>
  </r>
  <r>
    <s v="TX0038-030"/>
    <x v="37"/>
    <s v="VEND0004"/>
    <x v="497"/>
    <n v="122905"/>
  </r>
  <r>
    <s v="TX0038-031"/>
    <x v="37"/>
    <s v="VEND0022"/>
    <x v="477"/>
    <n v="670596"/>
  </r>
  <r>
    <s v="TX0038-032"/>
    <x v="37"/>
    <s v="VEND0007"/>
    <x v="50"/>
    <n v="134990"/>
  </r>
  <r>
    <s v="TX0039-001"/>
    <x v="38"/>
    <s v="VEND0018"/>
    <x v="112"/>
    <n v="34492"/>
  </r>
  <r>
    <s v="TX0039-002"/>
    <x v="38"/>
    <s v="VEND0019"/>
    <x v="528"/>
    <n v="15108"/>
  </r>
  <r>
    <s v="TX0039-003"/>
    <x v="38"/>
    <s v="VEND0015"/>
    <x v="192"/>
    <n v="22832"/>
  </r>
  <r>
    <s v="TX0039-004"/>
    <x v="38"/>
    <s v="VEND0001"/>
    <x v="193"/>
    <n v="29380"/>
  </r>
  <r>
    <s v="TX0039-005"/>
    <x v="38"/>
    <s v="VEND0024"/>
    <x v="323"/>
    <n v="30509"/>
  </r>
  <r>
    <s v="TX0039-006"/>
    <x v="38"/>
    <s v="VEND0018"/>
    <x v="60"/>
    <n v="22022"/>
  </r>
  <r>
    <s v="TX0039-007"/>
    <x v="38"/>
    <s v="VEND0023"/>
    <x v="60"/>
    <n v="22410"/>
  </r>
  <r>
    <s v="TX0039-008"/>
    <x v="38"/>
    <s v="VEND0021"/>
    <x v="61"/>
    <n v="16032"/>
  </r>
  <r>
    <s v="TX0039-009"/>
    <x v="38"/>
    <s v="VEND0005"/>
    <x v="230"/>
    <n v="33129"/>
  </r>
  <r>
    <s v="TX0039-010"/>
    <x v="38"/>
    <s v="VEND0016"/>
    <x v="421"/>
    <n v="36329"/>
  </r>
  <r>
    <s v="TX0039-011"/>
    <x v="38"/>
    <s v="VEND0008"/>
    <x v="353"/>
    <n v="26526"/>
  </r>
  <r>
    <s v="TX0039-012"/>
    <x v="38"/>
    <s v="VEND0019"/>
    <x v="355"/>
    <n v="15797"/>
  </r>
  <r>
    <s v="TX0039-013"/>
    <x v="38"/>
    <s v="VEND0019"/>
    <x v="641"/>
    <n v="24181"/>
  </r>
  <r>
    <s v="TX0039-014"/>
    <x v="38"/>
    <s v="VEND0018"/>
    <x v="201"/>
    <n v="13234"/>
  </r>
  <r>
    <s v="TX0039-015"/>
    <x v="38"/>
    <s v="VEND0011"/>
    <x v="36"/>
    <n v="28206"/>
  </r>
  <r>
    <s v="TX0039-016"/>
    <x v="38"/>
    <s v="VEND0004"/>
    <x v="603"/>
    <n v="24667"/>
  </r>
  <r>
    <s v="TX0039-017"/>
    <x v="38"/>
    <s v="VEND0008"/>
    <x v="202"/>
    <n v="27428"/>
  </r>
  <r>
    <s v="TX0039-018"/>
    <x v="38"/>
    <s v="VEND0024"/>
    <x v="238"/>
    <n v="40173"/>
  </r>
  <r>
    <s v="TX0039-019"/>
    <x v="38"/>
    <s v="VEND0012"/>
    <x v="273"/>
    <n v="10892"/>
  </r>
  <r>
    <s v="TX0039-020"/>
    <x v="38"/>
    <s v="VEND0012"/>
    <x v="494"/>
    <n v="30193"/>
  </r>
  <r>
    <s v="TX0039-021"/>
    <x v="38"/>
    <s v="VEND0015"/>
    <x v="642"/>
    <n v="19487"/>
  </r>
  <r>
    <s v="TX0039-022"/>
    <x v="38"/>
    <s v="VEND0020"/>
    <x v="626"/>
    <n v="15179"/>
  </r>
  <r>
    <s v="TX0039-023"/>
    <x v="38"/>
    <s v="VEND0015"/>
    <x v="605"/>
    <n v="25890"/>
  </r>
  <r>
    <s v="TX0039-024"/>
    <x v="38"/>
    <s v="VEND0008"/>
    <x v="572"/>
    <n v="19289"/>
  </r>
  <r>
    <s v="TX0039-025"/>
    <x v="38"/>
    <s v="VEND0012"/>
    <x v="611"/>
    <n v="26227"/>
  </r>
  <r>
    <s v="TX0039-026"/>
    <x v="38"/>
    <s v="VEND0009"/>
    <x v="627"/>
    <n v="26937"/>
  </r>
  <r>
    <s v="TX0039-027"/>
    <x v="38"/>
    <s v="VEND0004"/>
    <x v="627"/>
    <n v="64855"/>
  </r>
  <r>
    <s v="TX0039-028"/>
    <x v="38"/>
    <s v="VEND0012"/>
    <x v="627"/>
    <n v="13199"/>
  </r>
  <r>
    <s v="TX0039-029"/>
    <x v="38"/>
    <s v="VEND0021"/>
    <x v="42"/>
    <n v="23653"/>
  </r>
  <r>
    <s v="TX0039-030"/>
    <x v="38"/>
    <s v="VEND0006"/>
    <x v="134"/>
    <n v="59235"/>
  </r>
  <r>
    <s v="TX0039-031"/>
    <x v="38"/>
    <s v="VEND0013"/>
    <x v="337"/>
    <n v="30899"/>
  </r>
  <r>
    <s v="TX0039-032"/>
    <x v="38"/>
    <s v="VEND0019"/>
    <x v="643"/>
    <n v="31403"/>
  </r>
  <r>
    <s v="TX0039-033"/>
    <x v="38"/>
    <s v="VEND0005"/>
    <x v="643"/>
    <n v="13219"/>
  </r>
  <r>
    <s v="TX0039-034"/>
    <x v="38"/>
    <s v="VEND0007"/>
    <x v="245"/>
    <n v="47326"/>
  </r>
  <r>
    <s v="TX0039-035"/>
    <x v="38"/>
    <s v="VEND0018"/>
    <x v="497"/>
    <n v="28390"/>
  </r>
  <r>
    <s v="TX0040-001"/>
    <x v="39"/>
    <s v="VEND0015"/>
    <x v="178"/>
    <n v="7742"/>
  </r>
  <r>
    <s v="TX0040-002"/>
    <x v="39"/>
    <s v="VEND0011"/>
    <x v="8"/>
    <n v="5047"/>
  </r>
  <r>
    <s v="TX0040-003"/>
    <x v="39"/>
    <s v="VEND0011"/>
    <x v="9"/>
    <n v="6144"/>
  </r>
  <r>
    <s v="TX0040-004"/>
    <x v="39"/>
    <s v="VEND0001"/>
    <x v="258"/>
    <n v="5163"/>
  </r>
  <r>
    <s v="TX0040-005"/>
    <x v="39"/>
    <s v="VEND0025"/>
    <x v="258"/>
    <n v="3881"/>
  </r>
  <r>
    <s v="TX0040-006"/>
    <x v="39"/>
    <s v="VEND0005"/>
    <x v="11"/>
    <n v="8163"/>
  </r>
  <r>
    <s v="TX0040-007"/>
    <x v="39"/>
    <s v="VEND0024"/>
    <x v="414"/>
    <n v="8444"/>
  </r>
  <r>
    <s v="TX0040-008"/>
    <x v="39"/>
    <s v="VEND0021"/>
    <x v="414"/>
    <n v="3334"/>
  </r>
  <r>
    <s v="TX0040-009"/>
    <x v="39"/>
    <s v="VEND0019"/>
    <x v="414"/>
    <n v="25141"/>
  </r>
  <r>
    <s v="TX0040-010"/>
    <x v="39"/>
    <s v="VEND0019"/>
    <x v="386"/>
    <n v="6560"/>
  </r>
  <r>
    <s v="TX0040-011"/>
    <x v="39"/>
    <s v="VEND0007"/>
    <x v="261"/>
    <n v="7804"/>
  </r>
  <r>
    <s v="TX0040-012"/>
    <x v="39"/>
    <s v="VEND0017"/>
    <x v="439"/>
    <n v="8872"/>
  </r>
  <r>
    <s v="TX0040-013"/>
    <x v="39"/>
    <s v="VEND0009"/>
    <x v="20"/>
    <n v="9173"/>
  </r>
  <r>
    <s v="TX0040-014"/>
    <x v="39"/>
    <s v="VEND0008"/>
    <x v="20"/>
    <n v="6391"/>
  </r>
  <r>
    <s v="TX0040-015"/>
    <x v="39"/>
    <s v="VEND0024"/>
    <x v="23"/>
    <n v="5800"/>
  </r>
  <r>
    <s v="TX0040-016"/>
    <x v="39"/>
    <s v="VEND0013"/>
    <x v="541"/>
    <n v="8993"/>
  </r>
  <r>
    <s v="TX0040-017"/>
    <x v="39"/>
    <s v="VEND0018"/>
    <x v="189"/>
    <n v="5318"/>
  </r>
  <r>
    <s v="TX0040-018"/>
    <x v="39"/>
    <s v="VEND0005"/>
    <x v="586"/>
    <n v="4453"/>
  </r>
  <r>
    <s v="TX0040-019"/>
    <x v="39"/>
    <s v="VEND0003"/>
    <x v="542"/>
    <n v="7979"/>
  </r>
  <r>
    <s v="TX0040-020"/>
    <x v="39"/>
    <s v="VEND0010"/>
    <x v="263"/>
    <n v="9243"/>
  </r>
  <r>
    <s v="TX0040-021"/>
    <x v="39"/>
    <s v="VEND0013"/>
    <x v="503"/>
    <n v="5956"/>
  </r>
  <r>
    <s v="TX0040-022"/>
    <x v="39"/>
    <s v="VEND0021"/>
    <x v="60"/>
    <n v="9649"/>
  </r>
  <r>
    <s v="TX0040-023"/>
    <x v="39"/>
    <s v="VEND0014"/>
    <x v="159"/>
    <n v="8503"/>
  </r>
  <r>
    <s v="TX0040-024"/>
    <x v="39"/>
    <s v="VEND0020"/>
    <x v="364"/>
    <n v="7772"/>
  </r>
  <r>
    <s v="TX0040-025"/>
    <x v="39"/>
    <s v="VEND0020"/>
    <x v="30"/>
    <n v="6514"/>
  </r>
  <r>
    <s v="TX0041-001"/>
    <x v="40"/>
    <s v="VEND0018"/>
    <x v="487"/>
    <n v="150377"/>
  </r>
  <r>
    <s v="TX0041-002"/>
    <x v="40"/>
    <s v="VEND0016"/>
    <x v="103"/>
    <n v="142142"/>
  </r>
  <r>
    <s v="TX0041-003"/>
    <x v="40"/>
    <s v="VEND0024"/>
    <x v="13"/>
    <n v="141277"/>
  </r>
  <r>
    <s v="TX0041-004"/>
    <x v="40"/>
    <s v="VEND0002"/>
    <x v="316"/>
    <n v="51716"/>
  </r>
  <r>
    <s v="TX0041-005"/>
    <x v="40"/>
    <s v="VEND0016"/>
    <x v="386"/>
    <n v="57891"/>
  </r>
  <r>
    <s v="TX0041-006"/>
    <x v="40"/>
    <s v="VEND0005"/>
    <x v="405"/>
    <n v="155408"/>
  </r>
  <r>
    <s v="TX0041-007"/>
    <x v="40"/>
    <s v="VEND0007"/>
    <x v="622"/>
    <n v="127432"/>
  </r>
  <r>
    <s v="TX0041-008"/>
    <x v="40"/>
    <s v="VEND0020"/>
    <x v="644"/>
    <n v="98013"/>
  </r>
  <r>
    <s v="TX0041-009"/>
    <x v="40"/>
    <s v="VEND0003"/>
    <x v="464"/>
    <n v="102676"/>
  </r>
  <r>
    <s v="TX0041-010"/>
    <x v="40"/>
    <s v="VEND0014"/>
    <x v="81"/>
    <n v="131779"/>
  </r>
  <r>
    <s v="TX0041-011"/>
    <x v="40"/>
    <s v="VEND0008"/>
    <x v="22"/>
    <n v="110478"/>
  </r>
  <r>
    <s v="TX0041-012"/>
    <x v="40"/>
    <s v="VEND0018"/>
    <x v="320"/>
    <n v="120551"/>
  </r>
  <r>
    <s v="TX0041-013"/>
    <x v="40"/>
    <s v="VEND0009"/>
    <x v="25"/>
    <n v="112020"/>
  </r>
  <r>
    <s v="TX0041-014"/>
    <x v="40"/>
    <s v="VEND0021"/>
    <x v="602"/>
    <n v="70777"/>
  </r>
  <r>
    <s v="TX0041-015"/>
    <x v="40"/>
    <s v="VEND0024"/>
    <x v="363"/>
    <n v="160929"/>
  </r>
  <r>
    <s v="TX0041-016"/>
    <x v="40"/>
    <s v="VEND0003"/>
    <x v="86"/>
    <n v="153127"/>
  </r>
  <r>
    <s v="TX0041-017"/>
    <x v="40"/>
    <s v="VEND0011"/>
    <x v="29"/>
    <n v="75580"/>
  </r>
  <r>
    <s v="TX0041-018"/>
    <x v="40"/>
    <s v="VEND0024"/>
    <x v="645"/>
    <n v="113309"/>
  </r>
  <r>
    <s v="TX0041-019"/>
    <x v="40"/>
    <s v="VEND0024"/>
    <x v="287"/>
    <n v="95987"/>
  </r>
  <r>
    <s v="TX0041-020"/>
    <x v="40"/>
    <s v="VEND0015"/>
    <x v="64"/>
    <n v="162955"/>
  </r>
  <r>
    <s v="TX0041-021"/>
    <x v="40"/>
    <s v="VEND0017"/>
    <x v="467"/>
    <n v="141022"/>
  </r>
  <r>
    <s v="TX0041-022"/>
    <x v="40"/>
    <s v="VEND0001"/>
    <x v="367"/>
    <n v="162408"/>
  </r>
  <r>
    <s v="TX0041-023"/>
    <x v="40"/>
    <s v="VEND0025"/>
    <x v="422"/>
    <n v="142684"/>
  </r>
  <r>
    <s v="TX0041-024"/>
    <x v="40"/>
    <s v="VEND0003"/>
    <x v="328"/>
    <n v="104086"/>
  </r>
  <r>
    <s v="TX0041-025"/>
    <x v="40"/>
    <s v="VEND0018"/>
    <x v="328"/>
    <n v="157004"/>
  </r>
  <r>
    <s v="TX0041-026"/>
    <x v="40"/>
    <s v="VEND0015"/>
    <x v="355"/>
    <n v="143834"/>
  </r>
  <r>
    <s v="TX0041-027"/>
    <x v="40"/>
    <s v="VEND0008"/>
    <x v="625"/>
    <n v="125366"/>
  </r>
  <r>
    <s v="TX0041-028"/>
    <x v="40"/>
    <s v="VEND0002"/>
    <x v="235"/>
    <n v="84930"/>
  </r>
  <r>
    <s v="TX0041-029"/>
    <x v="40"/>
    <s v="VEND0017"/>
    <x v="305"/>
    <n v="176108"/>
  </r>
  <r>
    <s v="TX0041-030"/>
    <x v="40"/>
    <s v="VEND0011"/>
    <x v="35"/>
    <n v="140612"/>
  </r>
  <r>
    <s v="TX0041-031"/>
    <x v="40"/>
    <s v="VEND0001"/>
    <x v="614"/>
    <n v="151200"/>
  </r>
  <r>
    <s v="TX0041-032"/>
    <x v="40"/>
    <s v="VEND0015"/>
    <x v="506"/>
    <n v="100358"/>
  </r>
  <r>
    <s v="TX0041-033"/>
    <x v="40"/>
    <s v="VEND0003"/>
    <x v="39"/>
    <n v="67653"/>
  </r>
  <r>
    <s v="TX0041-034"/>
    <x v="40"/>
    <s v="VEND0014"/>
    <x v="507"/>
    <n v="118864"/>
  </r>
  <r>
    <s v="TX0041-035"/>
    <x v="40"/>
    <s v="VEND0014"/>
    <x v="563"/>
    <n v="106986"/>
  </r>
  <r>
    <s v="TX0041-036"/>
    <x v="40"/>
    <s v="VEND0006"/>
    <x v="425"/>
    <n v="98909"/>
  </r>
  <r>
    <s v="TX0041-037"/>
    <x v="40"/>
    <s v="VEND0023"/>
    <x v="495"/>
    <n v="111431"/>
  </r>
  <r>
    <s v="TX0041-038"/>
    <x v="40"/>
    <s v="VEND0013"/>
    <x v="131"/>
    <n v="124773"/>
  </r>
  <r>
    <s v="TX0041-039"/>
    <x v="40"/>
    <s v="VEND0005"/>
    <x v="43"/>
    <n v="83857"/>
  </r>
  <r>
    <s v="TX0041-040"/>
    <x v="40"/>
    <s v="VEND0012"/>
    <x v="241"/>
    <n v="60631"/>
  </r>
  <r>
    <s v="TX0041-041"/>
    <x v="40"/>
    <s v="VEND0011"/>
    <x v="371"/>
    <n v="112835"/>
  </r>
  <r>
    <s v="TX0041-042"/>
    <x v="40"/>
    <s v="VEND0019"/>
    <x v="643"/>
    <n v="54631"/>
  </r>
  <r>
    <s v="TX0041-043"/>
    <x v="40"/>
    <s v="VEND0003"/>
    <x v="510"/>
    <n v="124301"/>
  </r>
  <r>
    <s v="TX0041-044"/>
    <x v="40"/>
    <s v="VEND0024"/>
    <x v="574"/>
    <n v="125558"/>
  </r>
  <r>
    <s v="TX0041-045"/>
    <x v="40"/>
    <s v="VEND0020"/>
    <x v="48"/>
    <n v="121934"/>
  </r>
  <r>
    <s v="TX0041-046"/>
    <x v="40"/>
    <s v="VEND0022"/>
    <x v="138"/>
    <n v="52374"/>
  </r>
  <r>
    <s v="TX0041-047"/>
    <x v="40"/>
    <s v="VEND0017"/>
    <x v="477"/>
    <n v="61040"/>
  </r>
  <r>
    <s v="TX0041-048"/>
    <x v="40"/>
    <s v="VEND0016"/>
    <x v="213"/>
    <n v="73491"/>
  </r>
  <r>
    <s v="TX0041-049"/>
    <x v="40"/>
    <s v="VEND0010"/>
    <x v="498"/>
    <n v="112882"/>
  </r>
  <r>
    <s v="TX0041-050"/>
    <x v="40"/>
    <s v="VEND0009"/>
    <x v="281"/>
    <n v="125907"/>
  </r>
  <r>
    <s v="TX0042-001"/>
    <x v="41"/>
    <s v="VEND0020"/>
    <x v="646"/>
    <n v="37473"/>
  </r>
  <r>
    <s v="TX0042-002"/>
    <x v="41"/>
    <s v="VEND0023"/>
    <x v="519"/>
    <n v="19669"/>
  </r>
  <r>
    <s v="TX0042-003"/>
    <x v="41"/>
    <s v="VEND0003"/>
    <x v="251"/>
    <n v="14971"/>
  </r>
  <r>
    <s v="TX0042-004"/>
    <x v="41"/>
    <s v="VEND0009"/>
    <x v="310"/>
    <n v="32515"/>
  </r>
  <r>
    <s v="TX0042-005"/>
    <x v="41"/>
    <s v="VEND0017"/>
    <x v="256"/>
    <n v="19429"/>
  </r>
  <r>
    <s v="TX0042-006"/>
    <x v="41"/>
    <s v="VEND0017"/>
    <x v="647"/>
    <n v="27820"/>
  </r>
  <r>
    <s v="TX0042-007"/>
    <x v="41"/>
    <s v="VEND0020"/>
    <x v="104"/>
    <n v="24451"/>
  </r>
  <r>
    <s v="TX0042-008"/>
    <x v="41"/>
    <s v="VEND0007"/>
    <x v="415"/>
    <n v="16994"/>
  </r>
  <r>
    <s v="TX0042-009"/>
    <x v="41"/>
    <s v="VEND0024"/>
    <x v="617"/>
    <n v="29480"/>
  </r>
  <r>
    <s v="TX0042-010"/>
    <x v="41"/>
    <s v="VEND0015"/>
    <x v="622"/>
    <n v="29296"/>
  </r>
  <r>
    <s v="TX0042-011"/>
    <x v="41"/>
    <s v="VEND0004"/>
    <x v="107"/>
    <n v="32659"/>
  </r>
  <r>
    <s v="TX0042-012"/>
    <x v="41"/>
    <s v="VEND0011"/>
    <x v="599"/>
    <n v="16596"/>
  </r>
  <r>
    <s v="TX0042-013"/>
    <x v="41"/>
    <s v="VEND0024"/>
    <x v="225"/>
    <n v="40624"/>
  </r>
  <r>
    <s v="TX0042-014"/>
    <x v="41"/>
    <s v="VEND0025"/>
    <x v="648"/>
    <n v="46934"/>
  </r>
  <r>
    <s v="TX0042-015"/>
    <x v="41"/>
    <s v="VEND0022"/>
    <x v="81"/>
    <n v="17809"/>
  </r>
  <r>
    <s v="TX0042-016"/>
    <x v="41"/>
    <s v="VEND0004"/>
    <x v="633"/>
    <n v="29612"/>
  </r>
  <r>
    <s v="TX0042-017"/>
    <x v="41"/>
    <s v="VEND0005"/>
    <x v="419"/>
    <n v="18988"/>
  </r>
  <r>
    <s v="TX0042-018"/>
    <x v="41"/>
    <s v="VEND0006"/>
    <x v="419"/>
    <n v="21641"/>
  </r>
  <r>
    <s v="TX0042-019"/>
    <x v="41"/>
    <s v="VEND0007"/>
    <x v="188"/>
    <n v="130386"/>
  </r>
  <r>
    <s v="TX0042-020"/>
    <x v="41"/>
    <s v="VEND0016"/>
    <x v="300"/>
    <n v="40385"/>
  </r>
  <r>
    <s v="TX0042-021"/>
    <x v="41"/>
    <s v="VEND0001"/>
    <x v="542"/>
    <n v="35694"/>
  </r>
  <r>
    <s v="TX0042-022"/>
    <x v="41"/>
    <s v="VEND0018"/>
    <x v="193"/>
    <n v="20538"/>
  </r>
  <r>
    <s v="TX0042-023"/>
    <x v="41"/>
    <s v="VEND0019"/>
    <x v="266"/>
    <n v="38286"/>
  </r>
  <r>
    <s v="TX0042-024"/>
    <x v="41"/>
    <s v="VEND0023"/>
    <x v="559"/>
    <n v="45009"/>
  </r>
  <r>
    <s v="TX0042-025"/>
    <x v="41"/>
    <s v="VEND0002"/>
    <x v="649"/>
    <n v="42120"/>
  </r>
  <r>
    <s v="TX0042-026"/>
    <x v="41"/>
    <s v="VEND0024"/>
    <x v="161"/>
    <n v="44783"/>
  </r>
  <r>
    <s v="TX0042-027"/>
    <x v="41"/>
    <s v="VEND0020"/>
    <x v="504"/>
    <n v="19046"/>
  </r>
  <r>
    <s v="TX0042-028"/>
    <x v="41"/>
    <s v="VEND0010"/>
    <x v="162"/>
    <n v="25572"/>
  </r>
  <r>
    <s v="TX0042-029"/>
    <x v="41"/>
    <s v="VEND0024"/>
    <x v="623"/>
    <n v="17142"/>
  </r>
  <r>
    <s v="TX0042-030"/>
    <x v="41"/>
    <s v="VEND0001"/>
    <x v="516"/>
    <n v="27399"/>
  </r>
  <r>
    <s v="TX0042-031"/>
    <x v="41"/>
    <s v="VEND0014"/>
    <x v="31"/>
    <n v="18468"/>
  </r>
  <r>
    <s v="TX0042-032"/>
    <x v="41"/>
    <s v="VEND0017"/>
    <x v="397"/>
    <n v="33526"/>
  </r>
  <r>
    <s v="TX0042-033"/>
    <x v="41"/>
    <s v="VEND0024"/>
    <x v="200"/>
    <n v="21263"/>
  </r>
  <r>
    <s v="TX0042-034"/>
    <x v="41"/>
    <s v="VEND0006"/>
    <x v="610"/>
    <n v="17674"/>
  </r>
  <r>
    <s v="TX0042-035"/>
    <x v="41"/>
    <s v="VEND0020"/>
    <x v="650"/>
    <n v="18636"/>
  </r>
  <r>
    <s v="TX0042-036"/>
    <x v="41"/>
    <s v="VEND0016"/>
    <x v="530"/>
    <n v="25265"/>
  </r>
  <r>
    <s v="TX0042-037"/>
    <x v="41"/>
    <s v="VEND0022"/>
    <x v="39"/>
    <n v="16404"/>
  </r>
  <r>
    <s v="TX0042-038"/>
    <x v="41"/>
    <s v="VEND0002"/>
    <x v="605"/>
    <n v="26128"/>
  </r>
  <r>
    <s v="TX0042-039"/>
    <x v="41"/>
    <s v="VEND0023"/>
    <x v="42"/>
    <n v="40191"/>
  </r>
  <r>
    <s v="TX0042-040"/>
    <x v="41"/>
    <s v="VEND0001"/>
    <x v="456"/>
    <n v="20918"/>
  </r>
  <r>
    <s v="TX0042-041"/>
    <x v="41"/>
    <s v="VEND0009"/>
    <x v="45"/>
    <n v="22670"/>
  </r>
  <r>
    <s v="TX0042-042"/>
    <x v="41"/>
    <s v="VEND0016"/>
    <x v="474"/>
    <n v="37186"/>
  </r>
  <r>
    <s v="TX0042-043"/>
    <x v="41"/>
    <s v="VEND0006"/>
    <x v="575"/>
    <n v="39821"/>
  </r>
  <r>
    <s v="TX0042-044"/>
    <x v="41"/>
    <s v="VEND0015"/>
    <x v="595"/>
    <n v="30110"/>
  </r>
  <r>
    <s v="TX0042-045"/>
    <x v="41"/>
    <s v="VEND0025"/>
    <x v="651"/>
    <n v="18578"/>
  </r>
  <r>
    <s v="TX0042-046"/>
    <x v="41"/>
    <s v="VEND0012"/>
    <x v="639"/>
    <n v="33136"/>
  </r>
  <r>
    <s v="TX0042-047"/>
    <x v="41"/>
    <s v="VEND0009"/>
    <x v="51"/>
    <n v="26983"/>
  </r>
  <r>
    <s v="TX0042-048"/>
    <x v="41"/>
    <s v="VEND0008"/>
    <x v="214"/>
    <n v="17410"/>
  </r>
  <r>
    <s v="TX0042-049"/>
    <x v="41"/>
    <s v="VEND0009"/>
    <x v="591"/>
    <n v="30949"/>
  </r>
  <r>
    <s v="TX0042-050"/>
    <x v="41"/>
    <s v="VEND0007"/>
    <x v="282"/>
    <n v="21545"/>
  </r>
  <r>
    <s v="TX0042-051"/>
    <x v="41"/>
    <s v="VEND0008"/>
    <x v="652"/>
    <n v="19027"/>
  </r>
  <r>
    <s v="TX0042-052"/>
    <x v="41"/>
    <s v="VEND0012"/>
    <x v="653"/>
    <n v="32658"/>
  </r>
  <r>
    <s v="TX0042-053"/>
    <x v="41"/>
    <s v="VEND0012"/>
    <x v="431"/>
    <n v="13858"/>
  </r>
  <r>
    <s v="TX0042-054"/>
    <x v="41"/>
    <s v="VEND0024"/>
    <x v="480"/>
    <n v="31196"/>
  </r>
  <r>
    <s v="TX0042-055"/>
    <x v="41"/>
    <s v="VEND0014"/>
    <x v="381"/>
    <n v="15945"/>
  </r>
  <r>
    <s v="TX0042-056"/>
    <x v="41"/>
    <s v="VEND0011"/>
    <x v="654"/>
    <n v="13897"/>
  </r>
  <r>
    <s v="TX0042-057"/>
    <x v="41"/>
    <s v="VEND0007"/>
    <x v="655"/>
    <n v="24309"/>
  </r>
  <r>
    <s v="TX0042-058"/>
    <x v="41"/>
    <s v="VEND0020"/>
    <x v="382"/>
    <n v="14303"/>
  </r>
  <r>
    <s v="TX0042-059"/>
    <x v="41"/>
    <s v="VEND0023"/>
    <x v="538"/>
    <n v="15857"/>
  </r>
  <r>
    <s v="TX0042-060"/>
    <x v="41"/>
    <s v="VEND0018"/>
    <x v="656"/>
    <n v="27516"/>
  </r>
  <r>
    <s v="TX0043-001"/>
    <x v="42"/>
    <s v="VEND0022"/>
    <x v="176"/>
    <n v="6651"/>
  </r>
  <r>
    <s v="TX0043-002"/>
    <x v="42"/>
    <s v="VEND0012"/>
    <x v="657"/>
    <n v="7319"/>
  </r>
  <r>
    <s v="TX0043-003"/>
    <x v="42"/>
    <s v="VEND0020"/>
    <x v="658"/>
    <n v="14899"/>
  </r>
  <r>
    <s v="TX0043-004"/>
    <x v="42"/>
    <s v="VEND0014"/>
    <x v="310"/>
    <n v="5776"/>
  </r>
  <r>
    <s v="TX0043-005"/>
    <x v="42"/>
    <s v="VEND0016"/>
    <x v="486"/>
    <n v="15998"/>
  </r>
  <r>
    <s v="TX0043-006"/>
    <x v="42"/>
    <s v="VEND0001"/>
    <x v="486"/>
    <n v="13787"/>
  </r>
  <r>
    <s v="TX0043-007"/>
    <x v="42"/>
    <s v="VEND0008"/>
    <x v="73"/>
    <n v="9864"/>
  </r>
  <r>
    <s v="TX0043-008"/>
    <x v="42"/>
    <s v="VEND0012"/>
    <x v="522"/>
    <n v="11578"/>
  </r>
  <r>
    <s v="TX0043-009"/>
    <x v="42"/>
    <s v="VEND0002"/>
    <x v="621"/>
    <n v="8991"/>
  </r>
  <r>
    <s v="TX0043-010"/>
    <x v="42"/>
    <s v="VEND0005"/>
    <x v="630"/>
    <n v="15291"/>
  </r>
  <r>
    <s v="TX0043-011"/>
    <x v="42"/>
    <s v="VEND0010"/>
    <x v="77"/>
    <n v="13612"/>
  </r>
  <r>
    <s v="TX0043-012"/>
    <x v="42"/>
    <s v="VEND0021"/>
    <x v="223"/>
    <n v="15778"/>
  </r>
  <r>
    <s v="TX0043-013"/>
    <x v="42"/>
    <s v="VEND0025"/>
    <x v="386"/>
    <n v="8706"/>
  </r>
  <r>
    <s v="TX0043-014"/>
    <x v="42"/>
    <s v="VEND0016"/>
    <x v="149"/>
    <n v="5970"/>
  </r>
  <r>
    <s v="TX0043-015"/>
    <x v="42"/>
    <s v="VEND0001"/>
    <x v="183"/>
    <n v="8162"/>
  </r>
  <r>
    <s v="TX0043-016"/>
    <x v="42"/>
    <s v="VEND0002"/>
    <x v="405"/>
    <n v="6742"/>
  </r>
  <r>
    <s v="TX0043-017"/>
    <x v="42"/>
    <s v="VEND0014"/>
    <x v="608"/>
    <n v="13269"/>
  </r>
  <r>
    <s v="TX0043-018"/>
    <x v="42"/>
    <s v="VEND0003"/>
    <x v="632"/>
    <n v="14349"/>
  </r>
  <r>
    <s v="TX0043-019"/>
    <x v="42"/>
    <s v="VEND0022"/>
    <x v="318"/>
    <n v="19396"/>
  </r>
  <r>
    <s v="TX0043-020"/>
    <x v="42"/>
    <s v="VEND0016"/>
    <x v="600"/>
    <n v="16781"/>
  </r>
  <r>
    <s v="TX0043-021"/>
    <x v="42"/>
    <s v="VEND0022"/>
    <x v="226"/>
    <n v="10466"/>
  </r>
  <r>
    <s v="TX0043-022"/>
    <x v="42"/>
    <s v="VEND0005"/>
    <x v="186"/>
    <n v="12475"/>
  </r>
  <r>
    <s v="TX0043-023"/>
    <x v="42"/>
    <s v="VEND0017"/>
    <x v="540"/>
    <n v="8950"/>
  </r>
  <r>
    <s v="TX0043-024"/>
    <x v="42"/>
    <s v="VEND0003"/>
    <x v="637"/>
    <n v="18520"/>
  </r>
  <r>
    <s v="TX0043-025"/>
    <x v="42"/>
    <s v="VEND0006"/>
    <x v="659"/>
    <n v="14681"/>
  </r>
  <r>
    <s v="TX0043-026"/>
    <x v="42"/>
    <s v="VEND0004"/>
    <x v="158"/>
    <n v="12734"/>
  </r>
  <r>
    <s v="TX0043-027"/>
    <x v="42"/>
    <s v="VEND0004"/>
    <x v="159"/>
    <n v="17719"/>
  </r>
  <r>
    <s v="TX0043-028"/>
    <x v="42"/>
    <s v="VEND0003"/>
    <x v="159"/>
    <n v="6676"/>
  </r>
  <r>
    <s v="TX0043-029"/>
    <x v="42"/>
    <s v="VEND0016"/>
    <x v="529"/>
    <n v="12303"/>
  </r>
  <r>
    <s v="TX0043-030"/>
    <x v="42"/>
    <s v="VEND0023"/>
    <x v="195"/>
    <n v="14071"/>
  </r>
  <r>
    <s v="TX0043-031"/>
    <x v="42"/>
    <s v="VEND0003"/>
    <x v="363"/>
    <n v="6502"/>
  </r>
  <r>
    <s v="TX0043-032"/>
    <x v="42"/>
    <s v="VEND0010"/>
    <x v="197"/>
    <n v="9833"/>
  </r>
  <r>
    <s v="TX0043-033"/>
    <x v="42"/>
    <s v="VEND0004"/>
    <x v="395"/>
    <n v="11375"/>
  </r>
  <r>
    <s v="TX0043-034"/>
    <x v="42"/>
    <s v="VEND0010"/>
    <x v="65"/>
    <n v="15807"/>
  </r>
  <r>
    <s v="TX0043-035"/>
    <x v="42"/>
    <s v="VEND0017"/>
    <x v="325"/>
    <n v="14797"/>
  </r>
  <r>
    <s v="TX0043-036"/>
    <x v="42"/>
    <s v="VEND0017"/>
    <x v="269"/>
    <n v="15888"/>
  </r>
  <r>
    <s v="TX0043-037"/>
    <x v="42"/>
    <s v="VEND0018"/>
    <x v="232"/>
    <n v="14459"/>
  </r>
  <r>
    <s v="TX0043-038"/>
    <x v="42"/>
    <s v="VEND0020"/>
    <x v="397"/>
    <n v="15267"/>
  </r>
  <r>
    <s v="TX0043-039"/>
    <x v="42"/>
    <s v="VEND0019"/>
    <x v="37"/>
    <n v="25546"/>
  </r>
  <r>
    <s v="TX0043-040"/>
    <x v="42"/>
    <s v="VEND0024"/>
    <x v="238"/>
    <n v="9611"/>
  </r>
  <r>
    <s v="TX0043-041"/>
    <x v="42"/>
    <s v="VEND0012"/>
    <x v="448"/>
    <n v="14160"/>
  </r>
  <r>
    <s v="TX0043-042"/>
    <x v="42"/>
    <s v="VEND0013"/>
    <x v="277"/>
    <n v="7066"/>
  </r>
  <r>
    <s v="TX0043-043"/>
    <x v="42"/>
    <s v="VEND0005"/>
    <x v="605"/>
    <n v="12639"/>
  </r>
  <r>
    <s v="TX0043-044"/>
    <x v="42"/>
    <s v="VEND0004"/>
    <x v="130"/>
    <n v="8166"/>
  </r>
  <r>
    <s v="TX0043-045"/>
    <x v="42"/>
    <s v="VEND0001"/>
    <x v="660"/>
    <n v="6378"/>
  </r>
  <r>
    <s v="TX0043-046"/>
    <x v="42"/>
    <s v="VEND0013"/>
    <x v="208"/>
    <n v="44274"/>
  </r>
  <r>
    <s v="TX0043-047"/>
    <x v="42"/>
    <s v="VEND0011"/>
    <x v="546"/>
    <n v="7154"/>
  </r>
  <r>
    <s v="TX0043-048"/>
    <x v="42"/>
    <s v="VEND0019"/>
    <x v="241"/>
    <n v="13603"/>
  </r>
  <r>
    <s v="TX0043-049"/>
    <x v="42"/>
    <s v="VEND0013"/>
    <x v="457"/>
    <n v="8049"/>
  </r>
  <r>
    <s v="TX0043-050"/>
    <x v="42"/>
    <s v="VEND0008"/>
    <x v="48"/>
    <n v="10176"/>
  </r>
  <r>
    <s v="TX0043-051"/>
    <x v="42"/>
    <s v="VEND0020"/>
    <x v="375"/>
    <n v="15050"/>
  </r>
  <r>
    <s v="TX0043-052"/>
    <x v="42"/>
    <s v="VEND0004"/>
    <x v="591"/>
    <n v="11537"/>
  </r>
  <r>
    <s v="TX0043-053"/>
    <x v="42"/>
    <s v="VEND0020"/>
    <x v="378"/>
    <n v="14623"/>
  </r>
  <r>
    <s v="TX0043-054"/>
    <x v="42"/>
    <s v="VEND0011"/>
    <x v="661"/>
    <n v="15841"/>
  </r>
  <r>
    <s v="TX0043-055"/>
    <x v="42"/>
    <s v="VEND0005"/>
    <x v="216"/>
    <n v="14628"/>
  </r>
  <r>
    <s v="TX0043-056"/>
    <x v="42"/>
    <s v="VEND0015"/>
    <x v="662"/>
    <n v="8325"/>
  </r>
  <r>
    <s v="TX0043-057"/>
    <x v="42"/>
    <s v="VEND0018"/>
    <x v="663"/>
    <n v="9174"/>
  </r>
  <r>
    <s v="TX0043-058"/>
    <x v="42"/>
    <s v="VEND0006"/>
    <x v="654"/>
    <n v="14936"/>
  </r>
  <r>
    <s v="TX0043-059"/>
    <x v="42"/>
    <s v="VEND0011"/>
    <x v="537"/>
    <n v="8552"/>
  </r>
  <r>
    <s v="TX0043-060"/>
    <x v="42"/>
    <s v="VEND0001"/>
    <x v="664"/>
    <n v="6791"/>
  </r>
  <r>
    <s v="TX0044-001"/>
    <x v="43"/>
    <s v="VEND0006"/>
    <x v="259"/>
    <n v="124584"/>
  </r>
  <r>
    <s v="TX0044-002"/>
    <x v="43"/>
    <s v="VEND0013"/>
    <x v="665"/>
    <n v="149974"/>
  </r>
  <r>
    <s v="TX0044-003"/>
    <x v="43"/>
    <s v="VEND0010"/>
    <x v="151"/>
    <n v="67328"/>
  </r>
  <r>
    <s v="TX0044-004"/>
    <x v="43"/>
    <s v="VEND0016"/>
    <x v="318"/>
    <n v="77329"/>
  </r>
  <r>
    <s v="TX0044-005"/>
    <x v="43"/>
    <s v="VEND0007"/>
    <x v="584"/>
    <n v="92213"/>
  </r>
  <r>
    <s v="TX0044-006"/>
    <x v="43"/>
    <s v="VEND0019"/>
    <x v="666"/>
    <n v="142012"/>
  </r>
  <r>
    <s v="TX0044-007"/>
    <x v="43"/>
    <s v="VEND0007"/>
    <x v="539"/>
    <n v="160115"/>
  </r>
  <r>
    <s v="TX0044-008"/>
    <x v="43"/>
    <s v="VEND0019"/>
    <x v="154"/>
    <n v="114214"/>
  </r>
  <r>
    <s v="TX0044-009"/>
    <x v="43"/>
    <s v="VEND0014"/>
    <x v="667"/>
    <n v="117054"/>
  </r>
  <r>
    <s v="TX0044-010"/>
    <x v="43"/>
    <s v="VEND0006"/>
    <x v="668"/>
    <n v="79800"/>
  </r>
  <r>
    <s v="TX0044-011"/>
    <x v="43"/>
    <s v="VEND0009"/>
    <x v="587"/>
    <n v="59299"/>
  </r>
  <r>
    <s v="TX0044-012"/>
    <x v="43"/>
    <s v="VEND0018"/>
    <x v="191"/>
    <n v="83418"/>
  </r>
  <r>
    <s v="TX0044-013"/>
    <x v="43"/>
    <s v="VEND0024"/>
    <x v="265"/>
    <n v="64718"/>
  </r>
  <r>
    <s v="TX0044-014"/>
    <x v="43"/>
    <s v="VEND0020"/>
    <x v="265"/>
    <n v="100963"/>
  </r>
  <r>
    <s v="TX0044-015"/>
    <x v="43"/>
    <s v="VEND0015"/>
    <x v="529"/>
    <n v="107113"/>
  </r>
  <r>
    <s v="TX0044-016"/>
    <x v="43"/>
    <s v="VEND0002"/>
    <x v="559"/>
    <n v="145045"/>
  </r>
  <r>
    <s v="TX0044-017"/>
    <x v="43"/>
    <s v="VEND0002"/>
    <x v="114"/>
    <n v="104557"/>
  </r>
  <r>
    <s v="TX0044-018"/>
    <x v="43"/>
    <s v="VEND0002"/>
    <x v="669"/>
    <n v="107885"/>
  </r>
  <r>
    <s v="TX0044-019"/>
    <x v="43"/>
    <s v="VEND0021"/>
    <x v="288"/>
    <n v="118279"/>
  </r>
  <r>
    <s v="TX0044-020"/>
    <x v="43"/>
    <s v="VEND0024"/>
    <x v="89"/>
    <n v="93329"/>
  </r>
  <r>
    <s v="TX0044-021"/>
    <x v="43"/>
    <s v="VEND0018"/>
    <x v="353"/>
    <n v="122512"/>
  </r>
  <r>
    <s v="TX0044-022"/>
    <x v="43"/>
    <s v="VEND0001"/>
    <x v="469"/>
    <n v="94820"/>
  </r>
  <r>
    <s v="TX0044-023"/>
    <x v="43"/>
    <s v="VEND0018"/>
    <x v="544"/>
    <n v="110509"/>
  </r>
  <r>
    <s v="TX0044-024"/>
    <x v="43"/>
    <s v="VEND0015"/>
    <x v="232"/>
    <n v="136117"/>
  </r>
  <r>
    <s v="TX0044-025"/>
    <x v="43"/>
    <s v="VEND0014"/>
    <x v="293"/>
    <n v="111456"/>
  </r>
  <r>
    <s v="TX0044-026"/>
    <x v="43"/>
    <s v="VEND0013"/>
    <x v="368"/>
    <n v="143483"/>
  </r>
  <r>
    <s v="TX0044-027"/>
    <x v="43"/>
    <s v="VEND0001"/>
    <x v="444"/>
    <n v="109518"/>
  </r>
  <r>
    <s v="TX0044-028"/>
    <x v="43"/>
    <s v="VEND0016"/>
    <x v="294"/>
    <n v="79662"/>
  </r>
  <r>
    <s v="TX0044-029"/>
    <x v="43"/>
    <s v="VEND0019"/>
    <x v="610"/>
    <n v="94596"/>
  </r>
  <r>
    <s v="TX0044-030"/>
    <x v="43"/>
    <s v="VEND0004"/>
    <x v="423"/>
    <n v="129139"/>
  </r>
  <r>
    <s v="TX0044-031"/>
    <x v="43"/>
    <s v="VEND0012"/>
    <x v="202"/>
    <n v="111159"/>
  </r>
  <r>
    <s v="TX0044-032"/>
    <x v="43"/>
    <s v="VEND0022"/>
    <x v="331"/>
    <n v="69423"/>
  </r>
  <r>
    <s v="TX0045-001"/>
    <x v="44"/>
    <s v="VEND0003"/>
    <x v="312"/>
    <n v="6435"/>
  </r>
  <r>
    <s v="TX0045-002"/>
    <x v="44"/>
    <s v="VEND0020"/>
    <x v="257"/>
    <n v="8379"/>
  </r>
  <r>
    <s v="TX0045-003"/>
    <x v="44"/>
    <s v="VEND0025"/>
    <x v="670"/>
    <n v="7038"/>
  </r>
  <r>
    <s v="TX0045-004"/>
    <x v="44"/>
    <s v="VEND0011"/>
    <x v="146"/>
    <n v="10983"/>
  </r>
  <r>
    <s v="TX0045-005"/>
    <x v="44"/>
    <s v="VEND0002"/>
    <x v="523"/>
    <n v="7049"/>
  </r>
  <r>
    <s v="TX0045-006"/>
    <x v="44"/>
    <s v="VEND0025"/>
    <x v="671"/>
    <n v="11238"/>
  </r>
  <r>
    <s v="TX0045-007"/>
    <x v="44"/>
    <s v="VEND0014"/>
    <x v="613"/>
    <n v="7592"/>
  </r>
  <r>
    <s v="TX0045-008"/>
    <x v="44"/>
    <s v="VEND0009"/>
    <x v="260"/>
    <n v="9276"/>
  </r>
  <r>
    <s v="TX0045-009"/>
    <x v="44"/>
    <s v="VEND0023"/>
    <x v="405"/>
    <n v="13413"/>
  </r>
  <r>
    <s v="TX0045-010"/>
    <x v="44"/>
    <s v="VEND0002"/>
    <x v="622"/>
    <n v="6544"/>
  </r>
  <r>
    <s v="TX0045-011"/>
    <x v="44"/>
    <s v="VEND0020"/>
    <x v="106"/>
    <n v="16614"/>
  </r>
  <r>
    <s v="TX0045-012"/>
    <x v="44"/>
    <s v="VEND0017"/>
    <x v="107"/>
    <n v="13759"/>
  </r>
  <r>
    <s v="TX0045-013"/>
    <x v="44"/>
    <s v="VEND0011"/>
    <x v="438"/>
    <n v="11446"/>
  </r>
  <r>
    <s v="TX0045-014"/>
    <x v="44"/>
    <s v="VEND0012"/>
    <x v="585"/>
    <n v="13673"/>
  </r>
  <r>
    <s v="TX0045-015"/>
    <x v="44"/>
    <s v="VEND0024"/>
    <x v="22"/>
    <n v="11949"/>
  </r>
  <r>
    <s v="TX0045-016"/>
    <x v="44"/>
    <s v="VEND0010"/>
    <x v="407"/>
    <n v="16477"/>
  </r>
  <r>
    <s v="TX0045-017"/>
    <x v="44"/>
    <s v="VEND0024"/>
    <x v="419"/>
    <n v="8487"/>
  </r>
  <r>
    <s v="TX0045-018"/>
    <x v="44"/>
    <s v="VEND0025"/>
    <x v="466"/>
    <n v="7595"/>
  </r>
  <r>
    <s v="TX0045-019"/>
    <x v="44"/>
    <s v="VEND0002"/>
    <x v="188"/>
    <n v="15469"/>
  </r>
  <r>
    <s v="TX0045-020"/>
    <x v="44"/>
    <s v="VEND0009"/>
    <x v="528"/>
    <n v="11918"/>
  </r>
  <r>
    <s v="TX0045-021"/>
    <x v="44"/>
    <s v="VEND0025"/>
    <x v="84"/>
    <n v="11124"/>
  </r>
  <r>
    <s v="TX0045-022"/>
    <x v="44"/>
    <s v="VEND0019"/>
    <x v="624"/>
    <n v="16900"/>
  </r>
  <r>
    <s v="TX0045-023"/>
    <x v="44"/>
    <s v="VEND0017"/>
    <x v="421"/>
    <n v="11713"/>
  </r>
  <r>
    <s v="TX0045-024"/>
    <x v="44"/>
    <s v="VEND0007"/>
    <x v="231"/>
    <n v="12546"/>
  </r>
  <r>
    <s v="TX0045-025"/>
    <x v="44"/>
    <s v="VEND0014"/>
    <x v="672"/>
    <n v="13300"/>
  </r>
  <r>
    <s v="TX0045-026"/>
    <x v="44"/>
    <s v="VEND0023"/>
    <x v="673"/>
    <n v="15638"/>
  </r>
  <r>
    <s v="TX0045-027"/>
    <x v="44"/>
    <s v="VEND0024"/>
    <x v="517"/>
    <n v="8370"/>
  </r>
  <r>
    <s v="TX0045-028"/>
    <x v="44"/>
    <s v="VEND0008"/>
    <x v="641"/>
    <n v="6697"/>
  </r>
  <r>
    <s v="TX0045-029"/>
    <x v="44"/>
    <s v="VEND0013"/>
    <x v="641"/>
    <n v="12086"/>
  </r>
  <r>
    <s v="TX0045-030"/>
    <x v="44"/>
    <s v="VEND0022"/>
    <x v="236"/>
    <n v="12920"/>
  </r>
  <r>
    <s v="TX0045-031"/>
    <x v="44"/>
    <s v="VEND0007"/>
    <x v="294"/>
    <n v="7569"/>
  </r>
  <r>
    <s v="TX0045-032"/>
    <x v="44"/>
    <s v="VEND0021"/>
    <x v="37"/>
    <n v="13723"/>
  </r>
  <r>
    <s v="TX0045-033"/>
    <x v="44"/>
    <s v="VEND0015"/>
    <x v="203"/>
    <n v="14711"/>
  </r>
  <r>
    <s v="TX0045-034"/>
    <x v="44"/>
    <s v="VEND0018"/>
    <x v="332"/>
    <n v="10049"/>
  </r>
  <r>
    <s v="TX0045-035"/>
    <x v="44"/>
    <s v="VEND0011"/>
    <x v="650"/>
    <n v="10146"/>
  </r>
  <r>
    <s v="TX0045-036"/>
    <x v="44"/>
    <s v="VEND0012"/>
    <x v="205"/>
    <n v="29862"/>
  </r>
  <r>
    <s v="TX0045-037"/>
    <x v="44"/>
    <s v="VEND0019"/>
    <x v="334"/>
    <n v="9817"/>
  </r>
  <r>
    <s v="TX0045-038"/>
    <x v="44"/>
    <s v="VEND0021"/>
    <x v="127"/>
    <n v="14445"/>
  </r>
  <r>
    <s v="TX0045-039"/>
    <x v="44"/>
    <s v="VEND0024"/>
    <x v="297"/>
    <n v="13544"/>
  </r>
  <r>
    <s v="TX0045-040"/>
    <x v="44"/>
    <s v="VEND0010"/>
    <x v="638"/>
    <n v="6481"/>
  </r>
  <r>
    <s v="TX0045-041"/>
    <x v="44"/>
    <s v="VEND0019"/>
    <x v="611"/>
    <n v="11580"/>
  </r>
  <r>
    <s v="TX0045-042"/>
    <x v="44"/>
    <s v="VEND0024"/>
    <x v="532"/>
    <n v="11921"/>
  </r>
  <r>
    <s v="TX0045-043"/>
    <x v="44"/>
    <s v="VEND0020"/>
    <x v="240"/>
    <n v="10180"/>
  </r>
  <r>
    <s v="TX0045-044"/>
    <x v="44"/>
    <s v="VEND0008"/>
    <x v="564"/>
    <n v="7191"/>
  </r>
  <r>
    <s v="TX0045-045"/>
    <x v="44"/>
    <s v="VEND0012"/>
    <x v="279"/>
    <n v="11711"/>
  </r>
  <r>
    <s v="TX0045-046"/>
    <x v="44"/>
    <s v="VEND0009"/>
    <x v="279"/>
    <n v="5651"/>
  </r>
  <r>
    <s v="TX0045-047"/>
    <x v="44"/>
    <s v="VEND0009"/>
    <x v="674"/>
    <n v="5406"/>
  </r>
  <r>
    <s v="TX0045-048"/>
    <x v="44"/>
    <s v="VEND0006"/>
    <x v="48"/>
    <n v="12425"/>
  </r>
  <r>
    <s v="TX0045-049"/>
    <x v="44"/>
    <s v="VEND0011"/>
    <x v="137"/>
    <n v="8877"/>
  </r>
  <r>
    <s v="TX0045-050"/>
    <x v="44"/>
    <s v="VEND0008"/>
    <x v="374"/>
    <n v="8961"/>
  </r>
  <r>
    <m/>
    <x v="45"/>
    <m/>
    <x v="67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CF56F4-247E-CD45-948D-8D9EB38E87CF}" name="PivotTable4" cacheId="1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>
  <location ref="H3:I14" firstHeaderRow="1" firstDataRow="1" firstDataCol="1"/>
  <pivotFields count="5">
    <pivotField showAll="0"/>
    <pivotField axis="axisRow" showAll="0">
      <items count="47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t="default"/>
      </items>
    </pivotField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</pivotFields>
  <rowFields count="2">
    <field x="1"/>
    <field x="3"/>
  </rowFields>
  <rowItems count="11">
    <i>
      <x v="2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Items count="1">
    <i/>
  </colItems>
  <dataFields count="1">
    <dataField name="Sum of  Amount_Spent " fld="4" baseField="0" baseItem="0" numFmtId="164"/>
  </dataFields>
  <formats count="8">
    <format dxfId="7">
      <pivotArea type="all" dataOnly="0" outline="0" fieldPosition="0"/>
    </format>
    <format dxfId="6">
      <pivotArea outline="0" collapsedLevelsAreSubtotals="1" fieldPosition="0"/>
    </format>
    <format dxfId="5">
      <pivotArea field="1" type="button" dataOnly="0" labelOnly="1" outline="0" axis="axisRow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dataOnly="0" labelOnly="1" grandRow="1" outline="0" fieldPosition="0"/>
    </format>
    <format dxfId="2">
      <pivotArea dataOnly="0" labelOnly="1" outline="0" axis="axisValues" fieldPosition="0"/>
    </format>
    <format dxfId="1">
      <pivotArea outline="0" collapsedLevelsAreSubtotals="1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3" type="dateBetween" evalOrder="-1" id="40" name="Transaction_Date">
      <autoFilter ref="A1">
        <filterColumn colId="0">
          <customFilters and="1">
            <customFilter operator="greaterThanOrEqual" val="45292"/>
            <customFilter operator="lessThanOrEqual" val="4565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142006-4A4C-F24F-AF57-36FC2DE314A8}" name="Table1" displayName="Table1" ref="A1:G11" totalsRowShown="0" headerRowDxfId="16" dataDxfId="15">
  <autoFilter ref="A1:G11" xr:uid="{F6142006-4A4C-F24F-AF57-36FC2DE314A8}"/>
  <tableColumns count="7">
    <tableColumn id="1" xr3:uid="{EE2125C4-35BC-784D-AF09-18692CB145E7}" name="Dataset / Process" dataDxfId="14"/>
    <tableColumn id="2" xr3:uid="{CDD2EEA2-6329-8840-BE81-3F5E27174E85}" name="Finance Analyst" dataDxfId="13"/>
    <tableColumn id="3" xr3:uid="{552F594D-44AA-0B47-A253-C9A3FFDAA1CF}" name="Project Manager" dataDxfId="12"/>
    <tableColumn id="4" xr3:uid="{86EF5F15-EFBC-1F41-BC47-2C992926C7F1}" name="Department Head" dataDxfId="11"/>
    <tableColumn id="5" xr3:uid="{3E5AC9A1-77F3-5F4D-AA91-956CD75B5A1B}" name="Data Engineer" dataDxfId="10"/>
    <tableColumn id="6" xr3:uid="{5D095246-38FB-974C-88B6-60A144672DA9}" name="BI Analyst" dataDxfId="9"/>
    <tableColumn id="7" xr3:uid="{9C92F156-8541-0541-8464-87DE632EF447}" name="Procurement Officer" dataDxfId="8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Transaction_Date" xr10:uid="{F5F9EAE0-878E-0A46-85D0-9A5B08102087}" sourceName="Transaction_Date">
  <pivotTables>
    <pivotTable tabId="14" name="PivotTable4"/>
  </pivotTables>
  <state minimalRefreshVersion="6" lastRefreshVersion="6" pivotCacheId="1677764051" filterType="dateBetween">
    <selection startDate="2024-01-01T00:00:00" endDate="2024-12-31T00:00:00"/>
    <bounds startDate="2023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Transaction_Date" xr10:uid="{C251355B-1E7A-184A-A1BC-E56E2C689319}" cache="NativeTimeline_Transaction_Date" caption="Transaction_Date" level="0" selectionLevel="0" scrollPosition="2023-01-01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872BC-86AC-0F45-893A-CBE6DDD3FE89}">
  <dimension ref="A1:G24"/>
  <sheetViews>
    <sheetView workbookViewId="0">
      <selection activeCell="C30" sqref="C30"/>
    </sheetView>
  </sheetViews>
  <sheetFormatPr baseColWidth="10" defaultColWidth="15.5" defaultRowHeight="19" x14ac:dyDescent="0.25"/>
  <cols>
    <col min="1" max="1" width="34.83203125" style="2" bestFit="1" customWidth="1"/>
    <col min="2" max="2" width="17.1640625" style="2" bestFit="1" customWidth="1"/>
    <col min="3" max="3" width="17.6640625" style="2" bestFit="1" customWidth="1"/>
    <col min="4" max="4" width="22.83203125" style="2" customWidth="1"/>
    <col min="5" max="5" width="20.83203125" style="2" customWidth="1"/>
    <col min="6" max="6" width="15.83203125" style="2" customWidth="1"/>
    <col min="7" max="7" width="20.83203125" style="2" bestFit="1" customWidth="1"/>
    <col min="8" max="16384" width="15.5" style="2"/>
  </cols>
  <sheetData>
    <row r="1" spans="1:7" ht="15" customHeight="1" x14ac:dyDescent="0.25">
      <c r="A1" s="1" t="s">
        <v>2219</v>
      </c>
      <c r="B1" s="1" t="s">
        <v>2220</v>
      </c>
      <c r="C1" s="1" t="s">
        <v>2221</v>
      </c>
      <c r="D1" s="1" t="s">
        <v>2222</v>
      </c>
      <c r="E1" s="1" t="s">
        <v>2223</v>
      </c>
      <c r="F1" s="1" t="s">
        <v>2224</v>
      </c>
      <c r="G1" s="1" t="s">
        <v>2225</v>
      </c>
    </row>
    <row r="2" spans="1:7" ht="15" customHeight="1" x14ac:dyDescent="0.25">
      <c r="A2" s="3" t="s">
        <v>2226</v>
      </c>
      <c r="B2" s="3" t="s">
        <v>2227</v>
      </c>
      <c r="C2" s="3" t="s">
        <v>2228</v>
      </c>
      <c r="D2" s="3" t="s">
        <v>2228</v>
      </c>
      <c r="E2" s="4" t="s">
        <v>2229</v>
      </c>
      <c r="F2" s="4" t="s">
        <v>2229</v>
      </c>
      <c r="G2" s="4" t="s">
        <v>2229</v>
      </c>
    </row>
    <row r="3" spans="1:7" ht="15" customHeight="1" x14ac:dyDescent="0.25">
      <c r="A3" s="3" t="s">
        <v>2230</v>
      </c>
      <c r="B3" s="3" t="s">
        <v>2231</v>
      </c>
      <c r="C3" s="3" t="s">
        <v>2228</v>
      </c>
      <c r="D3" s="4" t="s">
        <v>2229</v>
      </c>
      <c r="E3" s="3" t="s">
        <v>2232</v>
      </c>
      <c r="F3" s="4" t="s">
        <v>2229</v>
      </c>
      <c r="G3" s="3" t="s">
        <v>2228</v>
      </c>
    </row>
    <row r="4" spans="1:7" ht="15" customHeight="1" x14ac:dyDescent="0.25">
      <c r="A4" s="3" t="s">
        <v>2233</v>
      </c>
      <c r="B4" s="3" t="s">
        <v>2227</v>
      </c>
      <c r="C4" s="3" t="s">
        <v>2228</v>
      </c>
      <c r="D4" s="3" t="s">
        <v>2228</v>
      </c>
      <c r="E4" s="4" t="s">
        <v>2229</v>
      </c>
      <c r="F4" s="4" t="s">
        <v>2229</v>
      </c>
      <c r="G4" s="4" t="s">
        <v>2229</v>
      </c>
    </row>
    <row r="5" spans="1:7" ht="15" customHeight="1" x14ac:dyDescent="0.25">
      <c r="A5" s="3" t="s">
        <v>2234</v>
      </c>
      <c r="B5" s="4" t="s">
        <v>2228</v>
      </c>
      <c r="C5" s="3" t="s">
        <v>2227</v>
      </c>
      <c r="D5" s="4" t="s">
        <v>2229</v>
      </c>
      <c r="E5" s="3" t="s">
        <v>2228</v>
      </c>
      <c r="F5" s="4" t="s">
        <v>2229</v>
      </c>
      <c r="G5" s="4" t="s">
        <v>2229</v>
      </c>
    </row>
    <row r="6" spans="1:7" ht="15" customHeight="1" x14ac:dyDescent="0.25">
      <c r="A6" s="3" t="s">
        <v>2235</v>
      </c>
      <c r="B6" s="4" t="s">
        <v>2229</v>
      </c>
      <c r="C6" s="4" t="s">
        <v>2229</v>
      </c>
      <c r="D6" s="4" t="s">
        <v>2229</v>
      </c>
      <c r="E6" s="4" t="s">
        <v>2228</v>
      </c>
      <c r="F6" s="4" t="s">
        <v>2229</v>
      </c>
      <c r="G6" s="3" t="s">
        <v>2231</v>
      </c>
    </row>
    <row r="7" spans="1:7" ht="15" customHeight="1" x14ac:dyDescent="0.25">
      <c r="A7" s="3" t="s">
        <v>2236</v>
      </c>
      <c r="B7" s="3" t="s">
        <v>2228</v>
      </c>
      <c r="C7" s="4" t="s">
        <v>2229</v>
      </c>
      <c r="D7" s="3" t="s">
        <v>2231</v>
      </c>
      <c r="E7" s="4" t="s">
        <v>2229</v>
      </c>
      <c r="F7" s="4" t="s">
        <v>2229</v>
      </c>
      <c r="G7" s="4" t="s">
        <v>2229</v>
      </c>
    </row>
    <row r="8" spans="1:7" ht="15" customHeight="1" x14ac:dyDescent="0.25">
      <c r="A8" s="3" t="s">
        <v>2237</v>
      </c>
      <c r="B8" s="3" t="s">
        <v>2231</v>
      </c>
      <c r="C8" s="4" t="s">
        <v>2228</v>
      </c>
      <c r="D8" s="4" t="s">
        <v>2228</v>
      </c>
      <c r="E8" s="4" t="s">
        <v>2229</v>
      </c>
      <c r="F8" s="4" t="s">
        <v>2229</v>
      </c>
      <c r="G8" s="4" t="s">
        <v>2229</v>
      </c>
    </row>
    <row r="9" spans="1:7" ht="15" customHeight="1" x14ac:dyDescent="0.25">
      <c r="A9" s="3" t="s">
        <v>2238</v>
      </c>
      <c r="B9" s="3" t="s">
        <v>2231</v>
      </c>
      <c r="C9" s="3" t="s">
        <v>2228</v>
      </c>
      <c r="D9" s="4" t="s">
        <v>2228</v>
      </c>
      <c r="E9" s="4" t="s">
        <v>2229</v>
      </c>
      <c r="F9" s="4" t="s">
        <v>2229</v>
      </c>
      <c r="G9" s="4" t="s">
        <v>2229</v>
      </c>
    </row>
    <row r="10" spans="1:7" ht="15" customHeight="1" x14ac:dyDescent="0.25">
      <c r="A10" s="3" t="s">
        <v>2239</v>
      </c>
      <c r="B10" s="4" t="s">
        <v>2229</v>
      </c>
      <c r="C10" s="4" t="s">
        <v>2229</v>
      </c>
      <c r="D10" s="4" t="s">
        <v>2229</v>
      </c>
      <c r="E10" s="3" t="s">
        <v>2231</v>
      </c>
      <c r="F10" s="4" t="s">
        <v>2229</v>
      </c>
      <c r="G10" s="4" t="s">
        <v>2229</v>
      </c>
    </row>
    <row r="11" spans="1:7" ht="15" customHeight="1" x14ac:dyDescent="0.25">
      <c r="A11" s="3" t="s">
        <v>2240</v>
      </c>
      <c r="B11" s="3" t="s">
        <v>2231</v>
      </c>
      <c r="C11" s="3" t="s">
        <v>2228</v>
      </c>
      <c r="D11" s="4" t="s">
        <v>2229</v>
      </c>
      <c r="E11" s="3" t="s">
        <v>2228</v>
      </c>
      <c r="F11" s="4" t="s">
        <v>2229</v>
      </c>
      <c r="G11" s="4" t="s">
        <v>2229</v>
      </c>
    </row>
    <row r="17" spans="1:1" ht="15" customHeight="1" x14ac:dyDescent="0.25">
      <c r="A17" s="5"/>
    </row>
    <row r="18" spans="1:1" ht="15" customHeight="1" x14ac:dyDescent="0.25">
      <c r="A18" s="6"/>
    </row>
    <row r="19" spans="1:1" ht="15" customHeight="1" x14ac:dyDescent="0.25">
      <c r="A19" s="7" t="s">
        <v>2245</v>
      </c>
    </row>
    <row r="20" spans="1:1" ht="15" customHeight="1" x14ac:dyDescent="0.25">
      <c r="A20" s="7" t="s">
        <v>2246</v>
      </c>
    </row>
    <row r="21" spans="1:1" ht="15" customHeight="1" x14ac:dyDescent="0.25">
      <c r="A21" s="7" t="s">
        <v>2247</v>
      </c>
    </row>
    <row r="22" spans="1:1" ht="15" customHeight="1" x14ac:dyDescent="0.25">
      <c r="A22" s="7" t="s">
        <v>2248</v>
      </c>
    </row>
    <row r="24" spans="1:1" ht="15" customHeight="1" x14ac:dyDescent="0.25">
      <c r="A24" s="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7A3A5-1733-2F40-97A3-F15CD3B9B73C}">
  <dimension ref="A1:G47"/>
  <sheetViews>
    <sheetView workbookViewId="0">
      <selection activeCell="F41" sqref="F41"/>
    </sheetView>
  </sheetViews>
  <sheetFormatPr baseColWidth="10" defaultRowHeight="19" x14ac:dyDescent="0.25"/>
  <cols>
    <col min="1" max="1" width="11.1640625" style="2" bestFit="1" customWidth="1"/>
    <col min="2" max="2" width="23.83203125" style="2" bestFit="1" customWidth="1"/>
    <col min="3" max="3" width="12.1640625" style="14" bestFit="1" customWidth="1"/>
    <col min="4" max="4" width="19.6640625" style="11" bestFit="1" customWidth="1"/>
    <col min="5" max="5" width="21.83203125" style="11" customWidth="1"/>
    <col min="6" max="6" width="17.1640625" style="2" customWidth="1"/>
    <col min="7" max="7" width="11.83203125" style="2" bestFit="1" customWidth="1"/>
    <col min="8" max="16384" width="10.83203125" style="2"/>
  </cols>
  <sheetData>
    <row r="1" spans="1:7" x14ac:dyDescent="0.25">
      <c r="A1" s="8" t="s">
        <v>1</v>
      </c>
      <c r="B1" s="8" t="s">
        <v>1735</v>
      </c>
      <c r="C1" s="13" t="s">
        <v>1766</v>
      </c>
      <c r="D1" s="9" t="s">
        <v>1737</v>
      </c>
      <c r="E1" s="9" t="s">
        <v>2241</v>
      </c>
      <c r="F1" s="8" t="s">
        <v>2242</v>
      </c>
      <c r="G1" s="12" t="s">
        <v>2243</v>
      </c>
    </row>
    <row r="2" spans="1:7" x14ac:dyDescent="0.25">
      <c r="A2" s="8" t="s">
        <v>5</v>
      </c>
      <c r="B2" s="8" t="s">
        <v>1741</v>
      </c>
      <c r="C2" s="13">
        <v>45139</v>
      </c>
      <c r="D2" s="9">
        <v>5543627</v>
      </c>
      <c r="E2" s="11">
        <f>SUMIF(Capex_Actuals!B:B,Variance_Analysis!A2,Capex_Actuals!E:E)</f>
        <v>4840905</v>
      </c>
      <c r="F2" s="11">
        <f>D2-E2</f>
        <v>702722</v>
      </c>
      <c r="G2" s="15">
        <f>F2/D2</f>
        <v>0.12676213605280442</v>
      </c>
    </row>
    <row r="3" spans="1:7" x14ac:dyDescent="0.25">
      <c r="A3" s="8" t="s">
        <v>87</v>
      </c>
      <c r="B3" s="8" t="s">
        <v>2096</v>
      </c>
      <c r="C3" s="13">
        <v>45372</v>
      </c>
      <c r="D3" s="9">
        <v>6018833</v>
      </c>
      <c r="E3" s="11">
        <f>SUMIF(Capex_Actuals!B:B,Variance_Analysis!A3,Capex_Actuals!E:E)</f>
        <v>5053310</v>
      </c>
      <c r="F3" s="11">
        <f t="shared" ref="F3:F46" si="0">D3-E3</f>
        <v>965523</v>
      </c>
      <c r="G3" s="15">
        <f t="shared" ref="G3:G46" si="1">F3/D3</f>
        <v>0.16041697784271469</v>
      </c>
    </row>
    <row r="4" spans="1:7" x14ac:dyDescent="0.25">
      <c r="A4" s="8" t="s">
        <v>112</v>
      </c>
      <c r="B4" s="8" t="s">
        <v>2097</v>
      </c>
      <c r="C4" s="13">
        <v>45190</v>
      </c>
      <c r="D4" s="9">
        <v>6171576</v>
      </c>
      <c r="E4" s="11">
        <f>SUMIF(Capex_Actuals!B:B,Variance_Analysis!A4,Capex_Actuals!E:E)</f>
        <v>7051753</v>
      </c>
      <c r="F4" s="11">
        <f t="shared" si="0"/>
        <v>-880177</v>
      </c>
      <c r="G4" s="15">
        <f t="shared" si="1"/>
        <v>-0.14261786616578975</v>
      </c>
    </row>
    <row r="5" spans="1:7" x14ac:dyDescent="0.25">
      <c r="A5" s="8" t="s">
        <v>148</v>
      </c>
      <c r="B5" s="8" t="s">
        <v>2098</v>
      </c>
      <c r="C5" s="13">
        <v>45232</v>
      </c>
      <c r="D5" s="9">
        <v>444469</v>
      </c>
      <c r="E5" s="11">
        <f>SUMIF(Capex_Actuals!B:B,Variance_Analysis!A5,Capex_Actuals!E:E)</f>
        <v>526108</v>
      </c>
      <c r="F5" s="11">
        <f t="shared" si="0"/>
        <v>-81639</v>
      </c>
      <c r="G5" s="15">
        <f t="shared" si="1"/>
        <v>-0.18367760181249987</v>
      </c>
    </row>
    <row r="6" spans="1:7" x14ac:dyDescent="0.25">
      <c r="A6" s="8" t="s">
        <v>201</v>
      </c>
      <c r="B6" s="8" t="s">
        <v>2099</v>
      </c>
      <c r="C6" s="13">
        <v>45192</v>
      </c>
      <c r="D6" s="9">
        <v>8956949</v>
      </c>
      <c r="E6" s="11">
        <f>SUMIF(Capex_Actuals!B:B,Variance_Analysis!A6,Capex_Actuals!E:E)</f>
        <v>9029209</v>
      </c>
      <c r="F6" s="11">
        <f t="shared" si="0"/>
        <v>-72260</v>
      </c>
      <c r="G6" s="15">
        <f t="shared" si="1"/>
        <v>-8.067479227580731E-3</v>
      </c>
    </row>
    <row r="7" spans="1:7" x14ac:dyDescent="0.25">
      <c r="A7" s="8" t="s">
        <v>247</v>
      </c>
      <c r="B7" s="8" t="s">
        <v>1749</v>
      </c>
      <c r="C7" s="13">
        <v>45139</v>
      </c>
      <c r="D7" s="9">
        <v>3812561</v>
      </c>
      <c r="E7" s="11">
        <f>SUMIF(Capex_Actuals!B:B,Variance_Analysis!A7,Capex_Actuals!E:E)</f>
        <v>4536117</v>
      </c>
      <c r="F7" s="11">
        <f t="shared" si="0"/>
        <v>-723556</v>
      </c>
      <c r="G7" s="15">
        <f t="shared" si="1"/>
        <v>-0.18978214381356784</v>
      </c>
    </row>
    <row r="8" spans="1:7" x14ac:dyDescent="0.25">
      <c r="A8" s="8" t="s">
        <v>308</v>
      </c>
      <c r="B8" s="8" t="s">
        <v>2100</v>
      </c>
      <c r="C8" s="13">
        <v>45236</v>
      </c>
      <c r="D8" s="9">
        <v>3308526</v>
      </c>
      <c r="E8" s="11">
        <f>SUMIF(Capex_Actuals!B:B,Variance_Analysis!A8,Capex_Actuals!E:E)</f>
        <v>2983438</v>
      </c>
      <c r="F8" s="11">
        <f t="shared" si="0"/>
        <v>325088</v>
      </c>
      <c r="G8" s="15">
        <f t="shared" si="1"/>
        <v>9.8257653105945059E-2</v>
      </c>
    </row>
    <row r="9" spans="1:7" x14ac:dyDescent="0.25">
      <c r="A9" s="8" t="s">
        <v>361</v>
      </c>
      <c r="B9" s="8" t="s">
        <v>2101</v>
      </c>
      <c r="C9" s="13">
        <v>45139</v>
      </c>
      <c r="D9" s="9">
        <v>8079602</v>
      </c>
      <c r="E9" s="11">
        <f>SUMIF(Capex_Actuals!B:B,Variance_Analysis!A9,Capex_Actuals!E:E)</f>
        <v>8818141</v>
      </c>
      <c r="F9" s="11">
        <f t="shared" si="0"/>
        <v>-738539</v>
      </c>
      <c r="G9" s="15">
        <f t="shared" si="1"/>
        <v>-9.1407844099251429E-2</v>
      </c>
    </row>
    <row r="10" spans="1:7" x14ac:dyDescent="0.25">
      <c r="A10" s="8" t="s">
        <v>397</v>
      </c>
      <c r="B10" s="8" t="s">
        <v>2102</v>
      </c>
      <c r="C10" s="13">
        <v>45462</v>
      </c>
      <c r="D10" s="9">
        <v>7006978</v>
      </c>
      <c r="E10" s="11">
        <f>SUMIF(Capex_Actuals!B:B,Variance_Analysis!A10,Capex_Actuals!E:E)</f>
        <v>7061476</v>
      </c>
      <c r="F10" s="11">
        <f t="shared" si="0"/>
        <v>-54498</v>
      </c>
      <c r="G10" s="15">
        <f t="shared" si="1"/>
        <v>-7.7776753402108581E-3</v>
      </c>
    </row>
    <row r="11" spans="1:7" x14ac:dyDescent="0.25">
      <c r="A11" s="8" t="s">
        <v>418</v>
      </c>
      <c r="B11" s="8" t="s">
        <v>2103</v>
      </c>
      <c r="C11" s="13">
        <v>45355</v>
      </c>
      <c r="D11" s="9">
        <v>7629267</v>
      </c>
      <c r="E11" s="11">
        <f>SUMIF(Capex_Actuals!B:B,Variance_Analysis!A11,Capex_Actuals!E:E)</f>
        <v>8164037</v>
      </c>
      <c r="F11" s="11">
        <f t="shared" si="0"/>
        <v>-534770</v>
      </c>
      <c r="G11" s="15">
        <f t="shared" si="1"/>
        <v>-7.0094545124715121E-2</v>
      </c>
    </row>
    <row r="12" spans="1:7" x14ac:dyDescent="0.25">
      <c r="A12" s="8" t="s">
        <v>441</v>
      </c>
      <c r="B12" s="8" t="s">
        <v>1754</v>
      </c>
      <c r="C12" s="13">
        <v>45139</v>
      </c>
      <c r="D12" s="9">
        <v>2712927</v>
      </c>
      <c r="E12" s="11">
        <f>SUMIF(Capex_Actuals!B:B,Variance_Analysis!A12,Capex_Actuals!E:E)</f>
        <v>3478205</v>
      </c>
      <c r="F12" s="11">
        <f t="shared" si="0"/>
        <v>-765278</v>
      </c>
      <c r="G12" s="15">
        <f t="shared" si="1"/>
        <v>-0.28208573249482938</v>
      </c>
    </row>
    <row r="13" spans="1:7" x14ac:dyDescent="0.25">
      <c r="A13" s="8" t="s">
        <v>502</v>
      </c>
      <c r="B13" s="8" t="s">
        <v>1755</v>
      </c>
      <c r="C13" s="13">
        <v>45274</v>
      </c>
      <c r="D13" s="9">
        <v>5466843</v>
      </c>
      <c r="E13" s="11">
        <f>SUMIF(Capex_Actuals!B:B,Variance_Analysis!A13,Capex_Actuals!E:E)</f>
        <v>5899923</v>
      </c>
      <c r="F13" s="11">
        <f t="shared" si="0"/>
        <v>-433080</v>
      </c>
      <c r="G13" s="15">
        <f t="shared" si="1"/>
        <v>-7.9219395910948967E-2</v>
      </c>
    </row>
    <row r="14" spans="1:7" x14ac:dyDescent="0.25">
      <c r="A14" s="8" t="s">
        <v>530</v>
      </c>
      <c r="B14" s="8" t="s">
        <v>1756</v>
      </c>
      <c r="C14" s="13">
        <v>45139</v>
      </c>
      <c r="D14" s="9">
        <v>5621110</v>
      </c>
      <c r="E14" s="11">
        <f>SUMIF(Capex_Actuals!B:B,Variance_Analysis!A14,Capex_Actuals!E:E)</f>
        <v>5488644</v>
      </c>
      <c r="F14" s="11">
        <f t="shared" si="0"/>
        <v>132466</v>
      </c>
      <c r="G14" s="15">
        <f t="shared" si="1"/>
        <v>2.3565808176676847E-2</v>
      </c>
    </row>
    <row r="15" spans="1:7" x14ac:dyDescent="0.25">
      <c r="A15" s="8" t="s">
        <v>591</v>
      </c>
      <c r="B15" s="8" t="s">
        <v>2104</v>
      </c>
      <c r="C15" s="13">
        <v>45195</v>
      </c>
      <c r="D15" s="9">
        <v>9844619</v>
      </c>
      <c r="E15" s="11">
        <f>SUMIF(Capex_Actuals!B:B,Variance_Analysis!A15,Capex_Actuals!E:E)</f>
        <v>9309823</v>
      </c>
      <c r="F15" s="11">
        <f t="shared" si="0"/>
        <v>534796</v>
      </c>
      <c r="G15" s="15">
        <f t="shared" si="1"/>
        <v>5.4323686879096084E-2</v>
      </c>
    </row>
    <row r="16" spans="1:7" x14ac:dyDescent="0.25">
      <c r="A16" s="8" t="s">
        <v>637</v>
      </c>
      <c r="B16" s="8" t="s">
        <v>2105</v>
      </c>
      <c r="C16" s="13">
        <v>45187</v>
      </c>
      <c r="D16" s="9">
        <v>695235</v>
      </c>
      <c r="E16" s="11">
        <f>SUMIF(Capex_Actuals!B:B,Variance_Analysis!A16,Capex_Actuals!E:E)</f>
        <v>826381</v>
      </c>
      <c r="F16" s="11">
        <f t="shared" si="0"/>
        <v>-131146</v>
      </c>
      <c r="G16" s="15">
        <f t="shared" si="1"/>
        <v>-0.18863549734981697</v>
      </c>
    </row>
    <row r="17" spans="1:7" x14ac:dyDescent="0.25">
      <c r="A17" s="8" t="s">
        <v>660</v>
      </c>
      <c r="B17" s="8" t="s">
        <v>2106</v>
      </c>
      <c r="C17" s="13">
        <v>45139</v>
      </c>
      <c r="D17" s="9">
        <v>2515006</v>
      </c>
      <c r="E17" s="11">
        <f>SUMIF(Capex_Actuals!B:B,Variance_Analysis!A17,Capex_Actuals!E:E)</f>
        <v>2954026</v>
      </c>
      <c r="F17" s="11">
        <f t="shared" si="0"/>
        <v>-439020</v>
      </c>
      <c r="G17" s="15">
        <f t="shared" si="1"/>
        <v>-0.17456021973705033</v>
      </c>
    </row>
    <row r="18" spans="1:7" x14ac:dyDescent="0.25">
      <c r="A18" s="8" t="s">
        <v>686</v>
      </c>
      <c r="B18" s="8" t="s">
        <v>2107</v>
      </c>
      <c r="C18" s="13">
        <v>45236</v>
      </c>
      <c r="D18" s="9">
        <v>1608197</v>
      </c>
      <c r="E18" s="11">
        <f>SUMIF(Capex_Actuals!B:B,Variance_Analysis!A18,Capex_Actuals!E:E)</f>
        <v>1721406</v>
      </c>
      <c r="F18" s="11">
        <f t="shared" si="0"/>
        <v>-113209</v>
      </c>
      <c r="G18" s="15">
        <f t="shared" si="1"/>
        <v>-7.0394982704233375E-2</v>
      </c>
    </row>
    <row r="19" spans="1:7" x14ac:dyDescent="0.25">
      <c r="A19" s="8" t="s">
        <v>734</v>
      </c>
      <c r="B19" s="8" t="s">
        <v>2108</v>
      </c>
      <c r="C19" s="13">
        <v>45194</v>
      </c>
      <c r="D19" s="9">
        <v>2220951</v>
      </c>
      <c r="E19" s="11">
        <f>SUMIF(Capex_Actuals!B:B,Variance_Analysis!A19,Capex_Actuals!E:E)</f>
        <v>2545565</v>
      </c>
      <c r="F19" s="11">
        <f t="shared" si="0"/>
        <v>-324614</v>
      </c>
      <c r="G19" s="15">
        <f t="shared" si="1"/>
        <v>-0.14615991077695997</v>
      </c>
    </row>
    <row r="20" spans="1:7" x14ac:dyDescent="0.25">
      <c r="A20" s="8" t="s">
        <v>795</v>
      </c>
      <c r="B20" s="8" t="s">
        <v>2109</v>
      </c>
      <c r="C20" s="13">
        <v>45139</v>
      </c>
      <c r="D20" s="9">
        <v>3933711</v>
      </c>
      <c r="E20" s="11">
        <f>SUMIF(Capex_Actuals!B:B,Variance_Analysis!A20,Capex_Actuals!E:E)</f>
        <v>4478221</v>
      </c>
      <c r="F20" s="11">
        <f t="shared" si="0"/>
        <v>-544510</v>
      </c>
      <c r="G20" s="15">
        <f t="shared" si="1"/>
        <v>-0.13842145495690963</v>
      </c>
    </row>
    <row r="21" spans="1:7" x14ac:dyDescent="0.25">
      <c r="A21" s="8" t="s">
        <v>813</v>
      </c>
      <c r="B21" s="8" t="s">
        <v>1758</v>
      </c>
      <c r="C21" s="13">
        <v>45361</v>
      </c>
      <c r="D21" s="9">
        <v>3044226</v>
      </c>
      <c r="E21" s="11">
        <f>SUMIF(Capex_Actuals!B:B,Variance_Analysis!A21,Capex_Actuals!E:E)</f>
        <v>3402218</v>
      </c>
      <c r="F21" s="11">
        <f t="shared" si="0"/>
        <v>-357992</v>
      </c>
      <c r="G21" s="15">
        <f t="shared" si="1"/>
        <v>-0.11759705094168435</v>
      </c>
    </row>
    <row r="22" spans="1:7" x14ac:dyDescent="0.25">
      <c r="A22" s="8" t="s">
        <v>839</v>
      </c>
      <c r="B22" s="8" t="s">
        <v>2110</v>
      </c>
      <c r="C22" s="13">
        <v>45408</v>
      </c>
      <c r="D22" s="9">
        <v>3218062</v>
      </c>
      <c r="E22" s="11">
        <f>SUMIF(Capex_Actuals!B:B,Variance_Analysis!A22,Capex_Actuals!E:E)</f>
        <v>3898654</v>
      </c>
      <c r="F22" s="11">
        <f t="shared" si="0"/>
        <v>-680592</v>
      </c>
      <c r="G22" s="15">
        <f t="shared" si="1"/>
        <v>-0.21149126399677817</v>
      </c>
    </row>
    <row r="23" spans="1:7" x14ac:dyDescent="0.25">
      <c r="A23" s="8" t="s">
        <v>857</v>
      </c>
      <c r="B23" s="8" t="s">
        <v>2111</v>
      </c>
      <c r="C23" s="13">
        <v>45139</v>
      </c>
      <c r="D23" s="9">
        <v>6769283</v>
      </c>
      <c r="E23" s="11">
        <f>SUMIF(Capex_Actuals!B:B,Variance_Analysis!A23,Capex_Actuals!E:E)</f>
        <v>7694680</v>
      </c>
      <c r="F23" s="11">
        <f t="shared" si="0"/>
        <v>-925397</v>
      </c>
      <c r="G23" s="15">
        <f t="shared" si="1"/>
        <v>-0.13670532019417714</v>
      </c>
    </row>
    <row r="24" spans="1:7" x14ac:dyDescent="0.25">
      <c r="A24" s="8" t="s">
        <v>918</v>
      </c>
      <c r="B24" s="8" t="s">
        <v>2112</v>
      </c>
      <c r="C24" s="13">
        <v>45334</v>
      </c>
      <c r="D24" s="9">
        <v>8447132</v>
      </c>
      <c r="E24" s="11">
        <f>SUMIF(Capex_Actuals!B:B,Variance_Analysis!A24,Capex_Actuals!E:E)</f>
        <v>9084240</v>
      </c>
      <c r="F24" s="11">
        <f t="shared" si="0"/>
        <v>-637108</v>
      </c>
      <c r="G24" s="15">
        <f t="shared" si="1"/>
        <v>-7.5422995639229981E-2</v>
      </c>
    </row>
    <row r="25" spans="1:7" x14ac:dyDescent="0.25">
      <c r="A25" s="8" t="s">
        <v>964</v>
      </c>
      <c r="B25" s="8" t="s">
        <v>1759</v>
      </c>
      <c r="C25" s="13">
        <v>45139</v>
      </c>
      <c r="D25" s="9">
        <v>656287</v>
      </c>
      <c r="E25" s="11">
        <f>SUMIF(Capex_Actuals!B:B,Variance_Analysis!A25,Capex_Actuals!E:E)</f>
        <v>744814</v>
      </c>
      <c r="F25" s="11">
        <f t="shared" si="0"/>
        <v>-88527</v>
      </c>
      <c r="G25" s="15">
        <f t="shared" si="1"/>
        <v>-0.13489068044925467</v>
      </c>
    </row>
    <row r="26" spans="1:7" x14ac:dyDescent="0.25">
      <c r="A26" s="8" t="s">
        <v>1025</v>
      </c>
      <c r="B26" s="8" t="s">
        <v>2113</v>
      </c>
      <c r="C26" s="13">
        <v>45614</v>
      </c>
      <c r="D26" s="9">
        <v>1750457</v>
      </c>
      <c r="E26" s="11">
        <f>SUMIF(Capex_Actuals!B:B,Variance_Analysis!A26,Capex_Actuals!E:E)</f>
        <v>1874747</v>
      </c>
      <c r="F26" s="11">
        <f t="shared" si="0"/>
        <v>-124290</v>
      </c>
      <c r="G26" s="15">
        <f t="shared" si="1"/>
        <v>-7.100431487320169E-2</v>
      </c>
    </row>
    <row r="27" spans="1:7" x14ac:dyDescent="0.25">
      <c r="A27" s="8" t="s">
        <v>1051</v>
      </c>
      <c r="B27" s="8" t="s">
        <v>1760</v>
      </c>
      <c r="C27" s="13">
        <v>45168</v>
      </c>
      <c r="D27" s="9">
        <v>5402033</v>
      </c>
      <c r="E27" s="11">
        <f>SUMIF(Capex_Actuals!B:B,Variance_Analysis!A27,Capex_Actuals!E:E)</f>
        <v>6683077</v>
      </c>
      <c r="F27" s="11">
        <f t="shared" si="0"/>
        <v>-1281044</v>
      </c>
      <c r="G27" s="15">
        <f t="shared" si="1"/>
        <v>-0.23714109114105744</v>
      </c>
    </row>
    <row r="28" spans="1:7" x14ac:dyDescent="0.25">
      <c r="A28" s="8" t="s">
        <v>1087</v>
      </c>
      <c r="B28" s="8" t="s">
        <v>2114</v>
      </c>
      <c r="C28" s="13">
        <v>45636</v>
      </c>
      <c r="D28" s="9">
        <v>2933309</v>
      </c>
      <c r="E28" s="11">
        <f>SUMIF(Capex_Actuals!B:B,Variance_Analysis!A28,Capex_Actuals!E:E)</f>
        <v>3120038</v>
      </c>
      <c r="F28" s="11">
        <f t="shared" si="0"/>
        <v>-186729</v>
      </c>
      <c r="G28" s="15">
        <f t="shared" si="1"/>
        <v>-6.3658141709584642E-2</v>
      </c>
    </row>
    <row r="29" spans="1:7" x14ac:dyDescent="0.25">
      <c r="A29" s="8" t="s">
        <v>1110</v>
      </c>
      <c r="B29" s="8" t="s">
        <v>1761</v>
      </c>
      <c r="C29" s="13">
        <v>45476</v>
      </c>
      <c r="D29" s="9">
        <v>2107892</v>
      </c>
      <c r="E29" s="11">
        <f>SUMIF(Capex_Actuals!B:B,Variance_Analysis!A29,Capex_Actuals!E:E)</f>
        <v>2622041</v>
      </c>
      <c r="F29" s="11">
        <f t="shared" si="0"/>
        <v>-514149</v>
      </c>
      <c r="G29" s="15">
        <f t="shared" si="1"/>
        <v>-0.24391619684499966</v>
      </c>
    </row>
    <row r="30" spans="1:7" x14ac:dyDescent="0.25">
      <c r="A30" s="8" t="s">
        <v>1133</v>
      </c>
      <c r="B30" s="8" t="s">
        <v>2115</v>
      </c>
      <c r="C30" s="13">
        <v>45409</v>
      </c>
      <c r="D30" s="9">
        <v>2432795</v>
      </c>
      <c r="E30" s="11">
        <f>SUMIF(Capex_Actuals!B:B,Variance_Analysis!A30,Capex_Actuals!E:E)</f>
        <v>2735849</v>
      </c>
      <c r="F30" s="11">
        <f t="shared" si="0"/>
        <v>-303054</v>
      </c>
      <c r="G30" s="15">
        <f t="shared" si="1"/>
        <v>-0.12457029877157755</v>
      </c>
    </row>
    <row r="31" spans="1:7" x14ac:dyDescent="0.25">
      <c r="A31" s="8" t="s">
        <v>1171</v>
      </c>
      <c r="B31" s="8" t="s">
        <v>2116</v>
      </c>
      <c r="C31" s="13">
        <v>45187</v>
      </c>
      <c r="D31" s="9">
        <v>2648151</v>
      </c>
      <c r="E31" s="11">
        <f>SUMIF(Capex_Actuals!B:B,Variance_Analysis!A31,Capex_Actuals!E:E)</f>
        <v>3172142</v>
      </c>
      <c r="F31" s="11">
        <f t="shared" si="0"/>
        <v>-523991</v>
      </c>
      <c r="G31" s="15">
        <f t="shared" si="1"/>
        <v>-0.19787051418140431</v>
      </c>
    </row>
    <row r="32" spans="1:7" x14ac:dyDescent="0.25">
      <c r="A32" s="8" t="s">
        <v>1232</v>
      </c>
      <c r="B32" s="8" t="s">
        <v>2117</v>
      </c>
      <c r="C32" s="13">
        <v>45310</v>
      </c>
      <c r="D32" s="9">
        <v>7804491</v>
      </c>
      <c r="E32" s="11">
        <f>SUMIF(Capex_Actuals!B:B,Variance_Analysis!A32,Capex_Actuals!E:E)</f>
        <v>8671977</v>
      </c>
      <c r="F32" s="11">
        <f t="shared" si="0"/>
        <v>-867486</v>
      </c>
      <c r="G32" s="15">
        <f t="shared" si="1"/>
        <v>-0.11115215585487893</v>
      </c>
    </row>
    <row r="33" spans="1:7" x14ac:dyDescent="0.25">
      <c r="A33" s="8" t="s">
        <v>1280</v>
      </c>
      <c r="B33" s="8" t="s">
        <v>2118</v>
      </c>
      <c r="C33" s="13">
        <v>45196</v>
      </c>
      <c r="D33" s="9">
        <v>1179308</v>
      </c>
      <c r="E33" s="11">
        <f>SUMIF(Capex_Actuals!B:B,Variance_Analysis!A33,Capex_Actuals!E:E)</f>
        <v>1277729</v>
      </c>
      <c r="F33" s="11">
        <f t="shared" si="0"/>
        <v>-98421</v>
      </c>
      <c r="G33" s="15">
        <f t="shared" si="1"/>
        <v>-8.3456569445810591E-2</v>
      </c>
    </row>
    <row r="34" spans="1:7" x14ac:dyDescent="0.25">
      <c r="A34" s="8" t="s">
        <v>1338</v>
      </c>
      <c r="B34" s="8" t="s">
        <v>2119</v>
      </c>
      <c r="C34" s="13">
        <v>45171</v>
      </c>
      <c r="D34" s="9">
        <v>6700396</v>
      </c>
      <c r="E34" s="11">
        <f>SUMIF(Capex_Actuals!B:B,Variance_Analysis!A34,Capex_Actuals!E:E)</f>
        <v>7316606</v>
      </c>
      <c r="F34" s="11">
        <f t="shared" si="0"/>
        <v>-616210</v>
      </c>
      <c r="G34" s="15">
        <f t="shared" si="1"/>
        <v>-9.1966206176470763E-2</v>
      </c>
    </row>
    <row r="35" spans="1:7" x14ac:dyDescent="0.25">
      <c r="A35" s="8" t="s">
        <v>1374</v>
      </c>
      <c r="B35" s="8" t="s">
        <v>2120</v>
      </c>
      <c r="C35" s="13">
        <v>45156</v>
      </c>
      <c r="D35" s="9">
        <v>4467277</v>
      </c>
      <c r="E35" s="11">
        <f>SUMIF(Capex_Actuals!B:B,Variance_Analysis!A35,Capex_Actuals!E:E)</f>
        <v>5440825</v>
      </c>
      <c r="F35" s="11">
        <f t="shared" si="0"/>
        <v>-973548</v>
      </c>
      <c r="G35" s="15">
        <f t="shared" si="1"/>
        <v>-0.21792872929079615</v>
      </c>
    </row>
    <row r="36" spans="1:7" x14ac:dyDescent="0.25">
      <c r="A36" s="8" t="s">
        <v>1397</v>
      </c>
      <c r="B36" s="8" t="s">
        <v>1762</v>
      </c>
      <c r="C36" s="13">
        <v>45211</v>
      </c>
      <c r="D36" s="9">
        <v>2442430</v>
      </c>
      <c r="E36" s="11">
        <f>SUMIF(Capex_Actuals!B:B,Variance_Analysis!A36,Capex_Actuals!E:E)</f>
        <v>2811140</v>
      </c>
      <c r="F36" s="11">
        <f t="shared" si="0"/>
        <v>-368710</v>
      </c>
      <c r="G36" s="15">
        <f t="shared" si="1"/>
        <v>-0.15096031411340347</v>
      </c>
    </row>
    <row r="37" spans="1:7" x14ac:dyDescent="0.25">
      <c r="A37" s="8" t="s">
        <v>1415</v>
      </c>
      <c r="B37" s="8" t="s">
        <v>2121</v>
      </c>
      <c r="C37" s="13">
        <v>45171</v>
      </c>
      <c r="D37" s="9">
        <v>3416268</v>
      </c>
      <c r="E37" s="11">
        <f>SUMIF(Capex_Actuals!B:B,Variance_Analysis!A37,Capex_Actuals!E:E)</f>
        <v>3300116</v>
      </c>
      <c r="F37" s="11">
        <f t="shared" si="0"/>
        <v>116152</v>
      </c>
      <c r="G37" s="15">
        <f t="shared" si="1"/>
        <v>3.3999674498604908E-2</v>
      </c>
    </row>
    <row r="38" spans="1:7" x14ac:dyDescent="0.25">
      <c r="A38" s="8" t="s">
        <v>1438</v>
      </c>
      <c r="B38" s="8" t="s">
        <v>2122</v>
      </c>
      <c r="C38" s="13">
        <v>45169</v>
      </c>
      <c r="D38" s="9">
        <v>3124034</v>
      </c>
      <c r="E38" s="11">
        <f>SUMIF(Capex_Actuals!B:B,Variance_Analysis!A38,Capex_Actuals!E:E)</f>
        <v>2254870</v>
      </c>
      <c r="F38" s="11">
        <f t="shared" si="0"/>
        <v>869164</v>
      </c>
      <c r="G38" s="15">
        <f t="shared" si="1"/>
        <v>0.27821848289743323</v>
      </c>
    </row>
    <row r="39" spans="1:7" x14ac:dyDescent="0.25">
      <c r="A39" s="8" t="s">
        <v>1459</v>
      </c>
      <c r="B39" s="8" t="s">
        <v>1763</v>
      </c>
      <c r="C39" s="13">
        <v>45415</v>
      </c>
      <c r="D39" s="9">
        <v>4930958</v>
      </c>
      <c r="E39" s="11">
        <f>SUMIF(Capex_Actuals!B:B,Variance_Analysis!A39,Capex_Actuals!E:E)</f>
        <v>7092426</v>
      </c>
      <c r="F39" s="11">
        <f t="shared" si="0"/>
        <v>-2161468</v>
      </c>
      <c r="G39" s="15">
        <f t="shared" si="1"/>
        <v>-0.43834646330388538</v>
      </c>
    </row>
    <row r="40" spans="1:7" x14ac:dyDescent="0.25">
      <c r="A40" s="8" t="s">
        <v>1492</v>
      </c>
      <c r="B40" s="8" t="s">
        <v>2123</v>
      </c>
      <c r="C40" s="13">
        <v>45381</v>
      </c>
      <c r="D40" s="9">
        <v>744594</v>
      </c>
      <c r="E40" s="11">
        <f>SUMIF(Capex_Actuals!B:B,Variance_Analysis!A40,Capex_Actuals!E:E)</f>
        <v>948728</v>
      </c>
      <c r="F40" s="11">
        <f t="shared" si="0"/>
        <v>-204134</v>
      </c>
      <c r="G40" s="15">
        <f t="shared" si="1"/>
        <v>-0.27415477427967455</v>
      </c>
    </row>
    <row r="41" spans="1:7" x14ac:dyDescent="0.25">
      <c r="A41" s="8" t="s">
        <v>1528</v>
      </c>
      <c r="B41" s="8" t="s">
        <v>2124</v>
      </c>
      <c r="C41" s="13">
        <v>45188</v>
      </c>
      <c r="D41" s="9">
        <v>440960</v>
      </c>
      <c r="E41" s="11">
        <f>SUMIF(Capex_Actuals!B:B,Variance_Analysis!A41,Capex_Actuals!E:E)</f>
        <v>192039</v>
      </c>
      <c r="F41" s="11">
        <f t="shared" si="0"/>
        <v>248921</v>
      </c>
      <c r="G41" s="15">
        <f t="shared" si="1"/>
        <v>0.56449791364296076</v>
      </c>
    </row>
    <row r="42" spans="1:7" x14ac:dyDescent="0.25">
      <c r="A42" s="8" t="s">
        <v>1554</v>
      </c>
      <c r="B42" s="8" t="s">
        <v>2125</v>
      </c>
      <c r="C42" s="13">
        <v>45244</v>
      </c>
      <c r="D42" s="9">
        <v>6060365</v>
      </c>
      <c r="E42" s="11">
        <f>SUMIF(Capex_Actuals!B:B,Variance_Analysis!A42,Capex_Actuals!E:E)</f>
        <v>5702093</v>
      </c>
      <c r="F42" s="11">
        <f t="shared" si="0"/>
        <v>358272</v>
      </c>
      <c r="G42" s="15">
        <f t="shared" si="1"/>
        <v>5.9117231387878451E-2</v>
      </c>
    </row>
    <row r="43" spans="1:7" x14ac:dyDescent="0.25">
      <c r="A43" s="8" t="s">
        <v>1580</v>
      </c>
      <c r="B43" s="8" t="s">
        <v>2126</v>
      </c>
      <c r="C43" s="13">
        <v>45139</v>
      </c>
      <c r="D43" s="9">
        <v>1634764</v>
      </c>
      <c r="E43" s="11">
        <f>SUMIF(Capex_Actuals!B:B,Variance_Analysis!A43,Capex_Actuals!E:E)</f>
        <v>1688748</v>
      </c>
      <c r="F43" s="11">
        <f t="shared" si="0"/>
        <v>-53984</v>
      </c>
      <c r="G43" s="15">
        <f t="shared" si="1"/>
        <v>-3.3022503554029817E-2</v>
      </c>
    </row>
    <row r="44" spans="1:7" x14ac:dyDescent="0.25">
      <c r="A44" s="8" t="s">
        <v>1631</v>
      </c>
      <c r="B44" s="8" t="s">
        <v>2127</v>
      </c>
      <c r="C44" s="13">
        <v>45139</v>
      </c>
      <c r="D44" s="9">
        <v>660433</v>
      </c>
      <c r="E44" s="11">
        <f>SUMIF(Capex_Actuals!B:B,Variance_Analysis!A44,Capex_Actuals!E:E)</f>
        <v>751721</v>
      </c>
      <c r="F44" s="11">
        <f t="shared" si="0"/>
        <v>-91288</v>
      </c>
      <c r="G44" s="15">
        <f t="shared" si="1"/>
        <v>-0.13822446788697718</v>
      </c>
    </row>
    <row r="45" spans="1:7" x14ac:dyDescent="0.25">
      <c r="A45" s="8" t="s">
        <v>1652</v>
      </c>
      <c r="B45" s="8" t="s">
        <v>1764</v>
      </c>
      <c r="C45" s="13">
        <v>45236</v>
      </c>
      <c r="D45" s="9">
        <v>3234592</v>
      </c>
      <c r="E45" s="11">
        <f>SUMIF(Capex_Actuals!B:B,Variance_Analysis!A45,Capex_Actuals!E:E)</f>
        <v>3421623</v>
      </c>
      <c r="F45" s="11">
        <f t="shared" si="0"/>
        <v>-187031</v>
      </c>
      <c r="G45" s="15">
        <f t="shared" si="1"/>
        <v>-5.7822130271762251E-2</v>
      </c>
    </row>
    <row r="46" spans="1:7" x14ac:dyDescent="0.25">
      <c r="A46" s="8" t="s">
        <v>1685</v>
      </c>
      <c r="B46" s="8" t="s">
        <v>1765</v>
      </c>
      <c r="C46" s="13">
        <v>45185</v>
      </c>
      <c r="D46" s="9">
        <v>501071</v>
      </c>
      <c r="E46" s="11">
        <f>SUMIF(Capex_Actuals!B:B,Variance_Analysis!A46,Capex_Actuals!E:E)</f>
        <v>560878</v>
      </c>
      <c r="F46" s="11">
        <f t="shared" si="0"/>
        <v>-59807</v>
      </c>
      <c r="G46" s="15">
        <f t="shared" si="1"/>
        <v>-0.11935833444761321</v>
      </c>
    </row>
    <row r="47" spans="1:7" x14ac:dyDescent="0.25">
      <c r="A47" s="8"/>
      <c r="B47" s="8"/>
      <c r="C47" s="13"/>
      <c r="D47" s="9"/>
    </row>
  </sheetData>
  <conditionalFormatting sqref="G1:G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A6594-8F90-284D-BAE8-461917AAB9F4}">
  <dimension ref="A1:J1935"/>
  <sheetViews>
    <sheetView workbookViewId="0">
      <selection activeCell="H3" sqref="H3"/>
    </sheetView>
  </sheetViews>
  <sheetFormatPr baseColWidth="10" defaultRowHeight="19" x14ac:dyDescent="0.25"/>
  <cols>
    <col min="1" max="1" width="15.5" style="2" bestFit="1" customWidth="1"/>
    <col min="2" max="2" width="11.1640625" style="2" bestFit="1" customWidth="1"/>
    <col min="3" max="3" width="11.33203125" style="2" bestFit="1" customWidth="1"/>
    <col min="4" max="4" width="18.1640625" style="2" bestFit="1" customWidth="1"/>
    <col min="5" max="5" width="17.6640625" style="11" bestFit="1" customWidth="1"/>
    <col min="6" max="6" width="22.83203125" customWidth="1"/>
    <col min="7" max="7" width="20.33203125" customWidth="1"/>
    <col min="8" max="8" width="22.6640625" customWidth="1"/>
  </cols>
  <sheetData>
    <row r="1" spans="1:10" x14ac:dyDescent="0.25">
      <c r="A1" s="8" t="s">
        <v>0</v>
      </c>
      <c r="B1" s="8" t="s">
        <v>1</v>
      </c>
      <c r="C1" s="8" t="s">
        <v>2</v>
      </c>
      <c r="D1" s="8" t="s">
        <v>3</v>
      </c>
      <c r="E1" s="9" t="s">
        <v>2212</v>
      </c>
      <c r="F1" s="8" t="s">
        <v>2249</v>
      </c>
      <c r="G1" s="8" t="s">
        <v>2249</v>
      </c>
      <c r="H1" s="8" t="s">
        <v>2250</v>
      </c>
    </row>
    <row r="2" spans="1:10" x14ac:dyDescent="0.25">
      <c r="A2" s="8" t="s">
        <v>4</v>
      </c>
      <c r="B2" s="8" t="s">
        <v>5</v>
      </c>
      <c r="C2" s="8" t="s">
        <v>27</v>
      </c>
      <c r="D2" s="10">
        <v>45179</v>
      </c>
      <c r="E2" s="9">
        <v>38577</v>
      </c>
      <c r="F2" s="2" t="str">
        <f>INDEX(Vendors!E:E,MATCH(Vendor_Analysis!C2,Vendors!A:A,0))</f>
        <v xml:space="preserve">45 </v>
      </c>
      <c r="G2" s="2">
        <v>45</v>
      </c>
      <c r="H2" s="16">
        <f>F2+D2</f>
        <v>45224</v>
      </c>
      <c r="J2" s="2"/>
    </row>
    <row r="3" spans="1:10" x14ac:dyDescent="0.25">
      <c r="A3" s="8" t="s">
        <v>7</v>
      </c>
      <c r="B3" s="8" t="s">
        <v>5</v>
      </c>
      <c r="C3" s="8" t="s">
        <v>12</v>
      </c>
      <c r="D3" s="10">
        <v>45181</v>
      </c>
      <c r="E3" s="9">
        <v>79555</v>
      </c>
      <c r="F3" s="2" t="str">
        <f>INDEX(Vendors!E:E,MATCH(Vendor_Analysis!C3,Vendors!A:A,0))</f>
        <v xml:space="preserve">30 </v>
      </c>
      <c r="G3" s="2">
        <v>30</v>
      </c>
      <c r="H3" s="16">
        <f t="shared" ref="H3:H66" si="0">D3+F3</f>
        <v>45211</v>
      </c>
      <c r="J3" s="2"/>
    </row>
    <row r="4" spans="1:10" x14ac:dyDescent="0.25">
      <c r="A4" s="8" t="s">
        <v>9</v>
      </c>
      <c r="B4" s="8" t="s">
        <v>5</v>
      </c>
      <c r="C4" s="8" t="s">
        <v>14</v>
      </c>
      <c r="D4" s="10">
        <v>45184</v>
      </c>
      <c r="E4" s="9">
        <v>73361</v>
      </c>
      <c r="F4" s="2" t="str">
        <f>INDEX(Vendors!E:E,MATCH(Vendor_Analysis!C4,Vendors!A:A,0))</f>
        <v xml:space="preserve"> 90</v>
      </c>
      <c r="G4" s="2">
        <v>90</v>
      </c>
      <c r="H4" s="16">
        <f t="shared" si="0"/>
        <v>45274</v>
      </c>
      <c r="J4" s="2"/>
    </row>
    <row r="5" spans="1:10" x14ac:dyDescent="0.25">
      <c r="A5" s="8" t="s">
        <v>11</v>
      </c>
      <c r="B5" s="8" t="s">
        <v>5</v>
      </c>
      <c r="C5" s="8" t="s">
        <v>6</v>
      </c>
      <c r="D5" s="10">
        <v>45191</v>
      </c>
      <c r="E5" s="9">
        <v>55178</v>
      </c>
      <c r="F5" s="2" t="str">
        <f>INDEX(Vendors!E:E,MATCH(Vendor_Analysis!C5,Vendors!A:A,0))</f>
        <v xml:space="preserve">60 </v>
      </c>
      <c r="G5" s="2">
        <v>60</v>
      </c>
      <c r="H5" s="16">
        <f t="shared" si="0"/>
        <v>45251</v>
      </c>
      <c r="J5" s="2"/>
    </row>
    <row r="6" spans="1:10" x14ac:dyDescent="0.25">
      <c r="A6" s="8" t="s">
        <v>13</v>
      </c>
      <c r="B6" s="8" t="s">
        <v>5</v>
      </c>
      <c r="C6" s="8" t="s">
        <v>37</v>
      </c>
      <c r="D6" s="10">
        <v>45197</v>
      </c>
      <c r="E6" s="9">
        <v>97145</v>
      </c>
      <c r="F6" s="2" t="str">
        <f>INDEX(Vendors!E:E,MATCH(Vendor_Analysis!C6,Vendors!A:A,0))</f>
        <v xml:space="preserve">30 </v>
      </c>
      <c r="G6" s="2">
        <v>30</v>
      </c>
      <c r="H6" s="16">
        <f t="shared" si="0"/>
        <v>45227</v>
      </c>
      <c r="J6" s="2"/>
    </row>
    <row r="7" spans="1:10" x14ac:dyDescent="0.25">
      <c r="A7" s="8" t="s">
        <v>15</v>
      </c>
      <c r="B7" s="8" t="s">
        <v>5</v>
      </c>
      <c r="C7" s="8" t="s">
        <v>14</v>
      </c>
      <c r="D7" s="10">
        <v>45201</v>
      </c>
      <c r="E7" s="9">
        <v>97663</v>
      </c>
      <c r="F7" s="2" t="str">
        <f>INDEX(Vendors!E:E,MATCH(Vendor_Analysis!C7,Vendors!A:A,0))</f>
        <v xml:space="preserve"> 90</v>
      </c>
      <c r="G7" s="2">
        <v>90</v>
      </c>
      <c r="H7" s="16">
        <f t="shared" si="0"/>
        <v>45291</v>
      </c>
      <c r="J7" s="2"/>
    </row>
    <row r="8" spans="1:10" x14ac:dyDescent="0.25">
      <c r="A8" s="8" t="s">
        <v>16</v>
      </c>
      <c r="B8" s="8" t="s">
        <v>5</v>
      </c>
      <c r="C8" s="8" t="s">
        <v>108</v>
      </c>
      <c r="D8" s="10">
        <v>45208</v>
      </c>
      <c r="E8" s="9">
        <v>50793</v>
      </c>
      <c r="F8" s="2" t="str">
        <f>INDEX(Vendors!E:E,MATCH(Vendor_Analysis!C8,Vendors!A:A,0))</f>
        <v xml:space="preserve"> 90</v>
      </c>
      <c r="G8" s="2">
        <v>90</v>
      </c>
      <c r="H8" s="16">
        <f t="shared" si="0"/>
        <v>45298</v>
      </c>
      <c r="J8" s="2"/>
    </row>
    <row r="9" spans="1:10" x14ac:dyDescent="0.25">
      <c r="A9" s="8" t="s">
        <v>18</v>
      </c>
      <c r="B9" s="8" t="s">
        <v>5</v>
      </c>
      <c r="C9" s="8" t="s">
        <v>48</v>
      </c>
      <c r="D9" s="10">
        <v>45209</v>
      </c>
      <c r="E9" s="9">
        <v>84554</v>
      </c>
      <c r="F9" s="2" t="str">
        <f>INDEX(Vendors!E:E,MATCH(Vendor_Analysis!C9,Vendors!A:A,0))</f>
        <v xml:space="preserve"> 90</v>
      </c>
      <c r="G9" s="2">
        <v>90</v>
      </c>
      <c r="H9" s="16">
        <f t="shared" si="0"/>
        <v>45299</v>
      </c>
      <c r="J9" s="2"/>
    </row>
    <row r="10" spans="1:10" x14ac:dyDescent="0.25">
      <c r="A10" s="8" t="s">
        <v>20</v>
      </c>
      <c r="B10" s="8" t="s">
        <v>5</v>
      </c>
      <c r="C10" s="8" t="s">
        <v>10</v>
      </c>
      <c r="D10" s="10">
        <v>45213</v>
      </c>
      <c r="E10" s="9">
        <v>60509</v>
      </c>
      <c r="F10" s="2" t="str">
        <f>INDEX(Vendors!E:E,MATCH(Vendor_Analysis!C10,Vendors!A:A,0))</f>
        <v xml:space="preserve">60 </v>
      </c>
      <c r="G10" s="2">
        <v>60</v>
      </c>
      <c r="H10" s="16">
        <f t="shared" si="0"/>
        <v>45273</v>
      </c>
      <c r="J10" s="2"/>
    </row>
    <row r="11" spans="1:10" x14ac:dyDescent="0.25">
      <c r="A11" s="8" t="s">
        <v>22</v>
      </c>
      <c r="B11" s="8" t="s">
        <v>5</v>
      </c>
      <c r="C11" s="8" t="s">
        <v>91</v>
      </c>
      <c r="D11" s="10">
        <v>45222</v>
      </c>
      <c r="E11" s="9">
        <v>82632</v>
      </c>
      <c r="F11" s="2" t="str">
        <f>INDEX(Vendors!E:E,MATCH(Vendor_Analysis!C11,Vendors!A:A,0))</f>
        <v xml:space="preserve">60 </v>
      </c>
      <c r="G11" s="2">
        <v>60</v>
      </c>
      <c r="H11" s="16">
        <f t="shared" si="0"/>
        <v>45282</v>
      </c>
      <c r="J11" s="2"/>
    </row>
    <row r="12" spans="1:10" x14ac:dyDescent="0.25">
      <c r="A12" s="8" t="s">
        <v>24</v>
      </c>
      <c r="B12" s="8" t="s">
        <v>5</v>
      </c>
      <c r="C12" s="8" t="s">
        <v>37</v>
      </c>
      <c r="D12" s="10">
        <v>45241</v>
      </c>
      <c r="E12" s="9">
        <v>73839</v>
      </c>
      <c r="F12" s="2" t="str">
        <f>INDEX(Vendors!E:E,MATCH(Vendor_Analysis!C12,Vendors!A:A,0))</f>
        <v xml:space="preserve">30 </v>
      </c>
      <c r="G12" s="2">
        <v>30</v>
      </c>
      <c r="H12" s="16">
        <f t="shared" si="0"/>
        <v>45271</v>
      </c>
      <c r="J12" s="2"/>
    </row>
    <row r="13" spans="1:10" x14ac:dyDescent="0.25">
      <c r="A13" s="8" t="s">
        <v>26</v>
      </c>
      <c r="B13" s="8" t="s">
        <v>5</v>
      </c>
      <c r="C13" s="8" t="s">
        <v>17</v>
      </c>
      <c r="D13" s="10">
        <v>45245</v>
      </c>
      <c r="E13" s="9">
        <v>161273</v>
      </c>
      <c r="F13" s="2" t="str">
        <f>INDEX(Vendors!E:E,MATCH(Vendor_Analysis!C13,Vendors!A:A,0))</f>
        <v xml:space="preserve">45 </v>
      </c>
      <c r="G13" s="2">
        <v>45</v>
      </c>
      <c r="H13" s="16">
        <f t="shared" si="0"/>
        <v>45290</v>
      </c>
      <c r="J13" s="2"/>
    </row>
    <row r="14" spans="1:10" x14ac:dyDescent="0.25">
      <c r="A14" s="8" t="s">
        <v>28</v>
      </c>
      <c r="B14" s="8" t="s">
        <v>5</v>
      </c>
      <c r="C14" s="8" t="s">
        <v>8</v>
      </c>
      <c r="D14" s="10">
        <v>45248</v>
      </c>
      <c r="E14" s="9">
        <v>94389</v>
      </c>
      <c r="F14" s="2" t="str">
        <f>INDEX(Vendors!E:E,MATCH(Vendor_Analysis!C14,Vendors!A:A,0))</f>
        <v xml:space="preserve">60 </v>
      </c>
      <c r="G14" s="2">
        <v>60</v>
      </c>
      <c r="H14" s="16">
        <f t="shared" si="0"/>
        <v>45308</v>
      </c>
      <c r="J14" s="2"/>
    </row>
    <row r="15" spans="1:10" x14ac:dyDescent="0.25">
      <c r="A15" s="8" t="s">
        <v>30</v>
      </c>
      <c r="B15" s="8" t="s">
        <v>5</v>
      </c>
      <c r="C15" s="8" t="s">
        <v>14</v>
      </c>
      <c r="D15" s="10">
        <v>45253</v>
      </c>
      <c r="E15" s="9">
        <v>42353</v>
      </c>
      <c r="F15" s="2" t="str">
        <f>INDEX(Vendors!E:E,MATCH(Vendor_Analysis!C15,Vendors!A:A,0))</f>
        <v xml:space="preserve"> 90</v>
      </c>
      <c r="G15" s="2">
        <v>90</v>
      </c>
      <c r="H15" s="16">
        <f t="shared" si="0"/>
        <v>45343</v>
      </c>
      <c r="J15" s="2"/>
    </row>
    <row r="16" spans="1:10" x14ac:dyDescent="0.25">
      <c r="A16" s="8" t="s">
        <v>31</v>
      </c>
      <c r="B16" s="8" t="s">
        <v>5</v>
      </c>
      <c r="C16" s="8" t="s">
        <v>91</v>
      </c>
      <c r="D16" s="10">
        <v>45272</v>
      </c>
      <c r="E16" s="9">
        <v>48275</v>
      </c>
      <c r="F16" s="2" t="str">
        <f>INDEX(Vendors!E:E,MATCH(Vendor_Analysis!C16,Vendors!A:A,0))</f>
        <v xml:space="preserve">60 </v>
      </c>
      <c r="G16" s="2">
        <v>60</v>
      </c>
      <c r="H16" s="16">
        <f t="shared" si="0"/>
        <v>45332</v>
      </c>
      <c r="J16" s="2"/>
    </row>
    <row r="17" spans="1:10" x14ac:dyDescent="0.25">
      <c r="A17" s="8" t="s">
        <v>32</v>
      </c>
      <c r="B17" s="8" t="s">
        <v>5</v>
      </c>
      <c r="C17" s="8" t="s">
        <v>27</v>
      </c>
      <c r="D17" s="10">
        <v>45274</v>
      </c>
      <c r="E17" s="9">
        <v>41575</v>
      </c>
      <c r="F17" s="2" t="str">
        <f>INDEX(Vendors!E:E,MATCH(Vendor_Analysis!C17,Vendors!A:A,0))</f>
        <v xml:space="preserve">45 </v>
      </c>
      <c r="G17" s="2">
        <v>45</v>
      </c>
      <c r="H17" s="16">
        <f t="shared" si="0"/>
        <v>45319</v>
      </c>
      <c r="J17" s="2"/>
    </row>
    <row r="18" spans="1:10" x14ac:dyDescent="0.25">
      <c r="A18" s="8" t="s">
        <v>34</v>
      </c>
      <c r="B18" s="8" t="s">
        <v>5</v>
      </c>
      <c r="C18" s="8" t="s">
        <v>14</v>
      </c>
      <c r="D18" s="10">
        <v>45276</v>
      </c>
      <c r="E18" s="9">
        <v>70901</v>
      </c>
      <c r="F18" s="2" t="str">
        <f>INDEX(Vendors!E:E,MATCH(Vendor_Analysis!C18,Vendors!A:A,0))</f>
        <v xml:space="preserve"> 90</v>
      </c>
      <c r="G18" s="2">
        <v>90</v>
      </c>
      <c r="H18" s="16">
        <f t="shared" si="0"/>
        <v>45366</v>
      </c>
      <c r="J18" s="2"/>
    </row>
    <row r="19" spans="1:10" x14ac:dyDescent="0.25">
      <c r="A19" s="8" t="s">
        <v>36</v>
      </c>
      <c r="B19" s="8" t="s">
        <v>5</v>
      </c>
      <c r="C19" s="8" t="s">
        <v>91</v>
      </c>
      <c r="D19" s="10">
        <v>45290</v>
      </c>
      <c r="E19" s="9">
        <v>46195</v>
      </c>
      <c r="F19" s="2" t="str">
        <f>INDEX(Vendors!E:E,MATCH(Vendor_Analysis!C19,Vendors!A:A,0))</f>
        <v xml:space="preserve">60 </v>
      </c>
      <c r="G19" s="2">
        <v>60</v>
      </c>
      <c r="H19" s="16">
        <f t="shared" si="0"/>
        <v>45350</v>
      </c>
      <c r="J19" s="2"/>
    </row>
    <row r="20" spans="1:10" x14ac:dyDescent="0.25">
      <c r="A20" s="8" t="s">
        <v>38</v>
      </c>
      <c r="B20" s="8" t="s">
        <v>5</v>
      </c>
      <c r="C20" s="8" t="s">
        <v>55</v>
      </c>
      <c r="D20" s="10">
        <v>45297</v>
      </c>
      <c r="E20" s="9">
        <v>86067</v>
      </c>
      <c r="F20" s="2" t="str">
        <f>INDEX(Vendors!E:E,MATCH(Vendor_Analysis!C20,Vendors!A:A,0))</f>
        <v xml:space="preserve">30 </v>
      </c>
      <c r="G20" s="2">
        <v>30</v>
      </c>
      <c r="H20" s="16">
        <f t="shared" si="0"/>
        <v>45327</v>
      </c>
      <c r="J20" s="2"/>
    </row>
    <row r="21" spans="1:10" x14ac:dyDescent="0.25">
      <c r="A21" s="8" t="s">
        <v>39</v>
      </c>
      <c r="B21" s="8" t="s">
        <v>5</v>
      </c>
      <c r="C21" s="8" t="s">
        <v>50</v>
      </c>
      <c r="D21" s="10">
        <v>45298</v>
      </c>
      <c r="E21" s="9">
        <v>96538</v>
      </c>
      <c r="F21" s="2" t="str">
        <f>INDEX(Vendors!E:E,MATCH(Vendor_Analysis!C21,Vendors!A:A,0))</f>
        <v xml:space="preserve"> 90</v>
      </c>
      <c r="G21" s="2">
        <v>90</v>
      </c>
      <c r="H21" s="16">
        <f t="shared" si="0"/>
        <v>45388</v>
      </c>
      <c r="J21" s="2"/>
    </row>
    <row r="22" spans="1:10" x14ac:dyDescent="0.25">
      <c r="A22" s="8" t="s">
        <v>40</v>
      </c>
      <c r="B22" s="8" t="s">
        <v>5</v>
      </c>
      <c r="C22" s="8" t="s">
        <v>12</v>
      </c>
      <c r="D22" s="10">
        <v>45329</v>
      </c>
      <c r="E22" s="9">
        <v>105593</v>
      </c>
      <c r="F22" s="2" t="str">
        <f>INDEX(Vendors!E:E,MATCH(Vendor_Analysis!C22,Vendors!A:A,0))</f>
        <v xml:space="preserve">30 </v>
      </c>
      <c r="G22" s="2">
        <v>30</v>
      </c>
      <c r="H22" s="16">
        <f t="shared" si="0"/>
        <v>45359</v>
      </c>
      <c r="J22" s="2"/>
    </row>
    <row r="23" spans="1:10" x14ac:dyDescent="0.25">
      <c r="A23" s="8" t="s">
        <v>41</v>
      </c>
      <c r="B23" s="8" t="s">
        <v>5</v>
      </c>
      <c r="C23" s="8" t="s">
        <v>35</v>
      </c>
      <c r="D23" s="10">
        <v>45348</v>
      </c>
      <c r="E23" s="9">
        <v>81999</v>
      </c>
      <c r="F23" s="2" t="str">
        <f>INDEX(Vendors!E:E,MATCH(Vendor_Analysis!C23,Vendors!A:A,0))</f>
        <v xml:space="preserve">60 </v>
      </c>
      <c r="G23" s="2">
        <v>60</v>
      </c>
      <c r="H23" s="16">
        <f t="shared" si="0"/>
        <v>45408</v>
      </c>
      <c r="J23" s="2"/>
    </row>
    <row r="24" spans="1:10" x14ac:dyDescent="0.25">
      <c r="A24" s="8" t="s">
        <v>42</v>
      </c>
      <c r="B24" s="8" t="s">
        <v>5</v>
      </c>
      <c r="C24" s="8" t="s">
        <v>110</v>
      </c>
      <c r="D24" s="10">
        <v>45354</v>
      </c>
      <c r="E24" s="9">
        <v>111562</v>
      </c>
      <c r="F24" s="2" t="str">
        <f>INDEX(Vendors!E:E,MATCH(Vendor_Analysis!C24,Vendors!A:A,0))</f>
        <v xml:space="preserve">30 </v>
      </c>
      <c r="G24" s="2">
        <v>30</v>
      </c>
      <c r="H24" s="16">
        <f t="shared" si="0"/>
        <v>45384</v>
      </c>
      <c r="J24" s="2"/>
    </row>
    <row r="25" spans="1:10" x14ac:dyDescent="0.25">
      <c r="A25" s="8" t="s">
        <v>43</v>
      </c>
      <c r="B25" s="8" t="s">
        <v>5</v>
      </c>
      <c r="C25" s="8" t="s">
        <v>17</v>
      </c>
      <c r="D25" s="10">
        <v>45357</v>
      </c>
      <c r="E25" s="9">
        <v>53743</v>
      </c>
      <c r="F25" s="2" t="str">
        <f>INDEX(Vendors!E:E,MATCH(Vendor_Analysis!C25,Vendors!A:A,0))</f>
        <v xml:space="preserve">45 </v>
      </c>
      <c r="G25" s="2">
        <v>45</v>
      </c>
      <c r="H25" s="16">
        <f t="shared" si="0"/>
        <v>45402</v>
      </c>
      <c r="J25" s="2"/>
    </row>
    <row r="26" spans="1:10" x14ac:dyDescent="0.25">
      <c r="A26" s="8" t="s">
        <v>45</v>
      </c>
      <c r="B26" s="8" t="s">
        <v>5</v>
      </c>
      <c r="C26" s="8" t="s">
        <v>6</v>
      </c>
      <c r="D26" s="10">
        <v>45361</v>
      </c>
      <c r="E26" s="9">
        <v>54778</v>
      </c>
      <c r="F26" s="2" t="str">
        <f>INDEX(Vendors!E:E,MATCH(Vendor_Analysis!C26,Vendors!A:A,0))</f>
        <v xml:space="preserve">60 </v>
      </c>
      <c r="G26" s="2">
        <v>60</v>
      </c>
      <c r="H26" s="16">
        <f t="shared" si="0"/>
        <v>45421</v>
      </c>
      <c r="J26" s="2"/>
    </row>
    <row r="27" spans="1:10" x14ac:dyDescent="0.25">
      <c r="A27" s="8" t="s">
        <v>46</v>
      </c>
      <c r="B27" s="8" t="s">
        <v>5</v>
      </c>
      <c r="C27" s="8" t="s">
        <v>25</v>
      </c>
      <c r="D27" s="10">
        <v>45379</v>
      </c>
      <c r="E27" s="9">
        <v>44920</v>
      </c>
      <c r="F27" s="2" t="str">
        <f>INDEX(Vendors!E:E,MATCH(Vendor_Analysis!C27,Vendors!A:A,0))</f>
        <v xml:space="preserve">30 </v>
      </c>
      <c r="G27" s="2">
        <v>30</v>
      </c>
      <c r="H27" s="16">
        <f t="shared" si="0"/>
        <v>45409</v>
      </c>
      <c r="J27" s="2"/>
    </row>
    <row r="28" spans="1:10" x14ac:dyDescent="0.25">
      <c r="A28" s="8" t="s">
        <v>47</v>
      </c>
      <c r="B28" s="8" t="s">
        <v>5</v>
      </c>
      <c r="C28" s="8" t="s">
        <v>12</v>
      </c>
      <c r="D28" s="10">
        <v>45381</v>
      </c>
      <c r="E28" s="9">
        <v>173980</v>
      </c>
      <c r="F28" s="2" t="str">
        <f>INDEX(Vendors!E:E,MATCH(Vendor_Analysis!C28,Vendors!A:A,0))</f>
        <v xml:space="preserve">30 </v>
      </c>
      <c r="G28" s="2">
        <v>30</v>
      </c>
      <c r="H28" s="16">
        <f t="shared" si="0"/>
        <v>45411</v>
      </c>
      <c r="J28" s="2"/>
    </row>
    <row r="29" spans="1:10" x14ac:dyDescent="0.25">
      <c r="A29" s="8" t="s">
        <v>49</v>
      </c>
      <c r="B29" s="8" t="s">
        <v>5</v>
      </c>
      <c r="C29" s="8" t="s">
        <v>44</v>
      </c>
      <c r="D29" s="10">
        <v>45407</v>
      </c>
      <c r="E29" s="9">
        <v>101624</v>
      </c>
      <c r="F29" s="2" t="str">
        <f>INDEX(Vendors!E:E,MATCH(Vendor_Analysis!C29,Vendors!A:A,0))</f>
        <v xml:space="preserve">45 </v>
      </c>
      <c r="G29" s="2">
        <v>45</v>
      </c>
      <c r="H29" s="16">
        <f t="shared" si="0"/>
        <v>45452</v>
      </c>
      <c r="J29" s="2"/>
    </row>
    <row r="30" spans="1:10" x14ac:dyDescent="0.25">
      <c r="A30" s="8" t="s">
        <v>51</v>
      </c>
      <c r="B30" s="8" t="s">
        <v>5</v>
      </c>
      <c r="C30" s="8" t="s">
        <v>35</v>
      </c>
      <c r="D30" s="10">
        <v>45445</v>
      </c>
      <c r="E30" s="9">
        <v>105102</v>
      </c>
      <c r="F30" s="2" t="str">
        <f>INDEX(Vendors!E:E,MATCH(Vendor_Analysis!C30,Vendors!A:A,0))</f>
        <v xml:space="preserve">60 </v>
      </c>
      <c r="G30" s="2">
        <v>60</v>
      </c>
      <c r="H30" s="16">
        <f t="shared" si="0"/>
        <v>45505</v>
      </c>
      <c r="J30" s="2"/>
    </row>
    <row r="31" spans="1:10" x14ac:dyDescent="0.25">
      <c r="A31" s="8" t="s">
        <v>52</v>
      </c>
      <c r="B31" s="8" t="s">
        <v>5</v>
      </c>
      <c r="C31" s="8" t="s">
        <v>48</v>
      </c>
      <c r="D31" s="10">
        <v>45460</v>
      </c>
      <c r="E31" s="9">
        <v>83166</v>
      </c>
      <c r="F31" s="2" t="str">
        <f>INDEX(Vendors!E:E,MATCH(Vendor_Analysis!C31,Vendors!A:A,0))</f>
        <v xml:space="preserve"> 90</v>
      </c>
      <c r="G31" s="2">
        <v>90</v>
      </c>
      <c r="H31" s="16">
        <f t="shared" si="0"/>
        <v>45550</v>
      </c>
      <c r="J31" s="2"/>
    </row>
    <row r="32" spans="1:10" x14ac:dyDescent="0.25">
      <c r="A32" s="8" t="s">
        <v>53</v>
      </c>
      <c r="B32" s="8" t="s">
        <v>5</v>
      </c>
      <c r="C32" s="8" t="s">
        <v>33</v>
      </c>
      <c r="D32" s="10">
        <v>45462</v>
      </c>
      <c r="E32" s="9">
        <v>82771</v>
      </c>
      <c r="F32" s="2" t="str">
        <f>INDEX(Vendors!E:E,MATCH(Vendor_Analysis!C32,Vendors!A:A,0))</f>
        <v xml:space="preserve">30 </v>
      </c>
      <c r="G32" s="2">
        <v>30</v>
      </c>
      <c r="H32" s="16">
        <f t="shared" si="0"/>
        <v>45492</v>
      </c>
      <c r="J32" s="2"/>
    </row>
    <row r="33" spans="1:10" x14ac:dyDescent="0.25">
      <c r="A33" s="8" t="s">
        <v>54</v>
      </c>
      <c r="B33" s="8" t="s">
        <v>5</v>
      </c>
      <c r="C33" s="8" t="s">
        <v>23</v>
      </c>
      <c r="D33" s="10">
        <v>45462</v>
      </c>
      <c r="E33" s="9">
        <v>69195</v>
      </c>
      <c r="F33" s="2" t="str">
        <f>INDEX(Vendors!E:E,MATCH(Vendor_Analysis!C33,Vendors!A:A,0))</f>
        <v xml:space="preserve"> 90</v>
      </c>
      <c r="G33" s="2">
        <v>90</v>
      </c>
      <c r="H33" s="16">
        <f t="shared" si="0"/>
        <v>45552</v>
      </c>
      <c r="J33" s="2"/>
    </row>
    <row r="34" spans="1:10" x14ac:dyDescent="0.25">
      <c r="A34" s="8" t="s">
        <v>56</v>
      </c>
      <c r="B34" s="8" t="s">
        <v>5</v>
      </c>
      <c r="C34" s="8" t="s">
        <v>12</v>
      </c>
      <c r="D34" s="10">
        <v>45490</v>
      </c>
      <c r="E34" s="9">
        <v>73227</v>
      </c>
      <c r="F34" s="2" t="str">
        <f>INDEX(Vendors!E:E,MATCH(Vendor_Analysis!C34,Vendors!A:A,0))</f>
        <v xml:space="preserve">30 </v>
      </c>
      <c r="G34" s="2">
        <v>30</v>
      </c>
      <c r="H34" s="16">
        <f t="shared" si="0"/>
        <v>45520</v>
      </c>
      <c r="J34" s="2"/>
    </row>
    <row r="35" spans="1:10" x14ac:dyDescent="0.25">
      <c r="A35" s="8" t="s">
        <v>57</v>
      </c>
      <c r="B35" s="8" t="s">
        <v>5</v>
      </c>
      <c r="C35" s="8" t="s">
        <v>50</v>
      </c>
      <c r="D35" s="10">
        <v>45517</v>
      </c>
      <c r="E35" s="9">
        <v>111927</v>
      </c>
      <c r="F35" s="2" t="str">
        <f>INDEX(Vendors!E:E,MATCH(Vendor_Analysis!C35,Vendors!A:A,0))</f>
        <v xml:space="preserve"> 90</v>
      </c>
      <c r="G35" s="2">
        <v>90</v>
      </c>
      <c r="H35" s="16">
        <f t="shared" si="0"/>
        <v>45607</v>
      </c>
      <c r="J35" s="2"/>
    </row>
    <row r="36" spans="1:10" x14ac:dyDescent="0.25">
      <c r="A36" s="8" t="s">
        <v>58</v>
      </c>
      <c r="B36" s="8" t="s">
        <v>5</v>
      </c>
      <c r="C36" s="8" t="s">
        <v>17</v>
      </c>
      <c r="D36" s="10">
        <v>45517</v>
      </c>
      <c r="E36" s="9">
        <v>109126</v>
      </c>
      <c r="F36" s="2" t="str">
        <f>INDEX(Vendors!E:E,MATCH(Vendor_Analysis!C36,Vendors!A:A,0))</f>
        <v xml:space="preserve">45 </v>
      </c>
      <c r="G36" s="2">
        <v>45</v>
      </c>
      <c r="H36" s="16">
        <f t="shared" si="0"/>
        <v>45562</v>
      </c>
      <c r="J36" s="2"/>
    </row>
    <row r="37" spans="1:10" x14ac:dyDescent="0.25">
      <c r="A37" s="8" t="s">
        <v>59</v>
      </c>
      <c r="B37" s="8" t="s">
        <v>5</v>
      </c>
      <c r="C37" s="8" t="s">
        <v>91</v>
      </c>
      <c r="D37" s="10">
        <v>45544</v>
      </c>
      <c r="E37" s="9">
        <v>164144</v>
      </c>
      <c r="F37" s="2" t="str">
        <f>INDEX(Vendors!E:E,MATCH(Vendor_Analysis!C37,Vendors!A:A,0))</f>
        <v xml:space="preserve">60 </v>
      </c>
      <c r="G37" s="2">
        <v>60</v>
      </c>
      <c r="H37" s="16">
        <f t="shared" si="0"/>
        <v>45604</v>
      </c>
      <c r="J37" s="2"/>
    </row>
    <row r="38" spans="1:10" x14ac:dyDescent="0.25">
      <c r="A38" s="8" t="s">
        <v>60</v>
      </c>
      <c r="B38" s="8" t="s">
        <v>5</v>
      </c>
      <c r="C38" s="8" t="s">
        <v>33</v>
      </c>
      <c r="D38" s="10">
        <v>45555</v>
      </c>
      <c r="E38" s="9">
        <v>67697</v>
      </c>
      <c r="F38" s="2" t="str">
        <f>INDEX(Vendors!E:E,MATCH(Vendor_Analysis!C38,Vendors!A:A,0))</f>
        <v xml:space="preserve">30 </v>
      </c>
      <c r="G38" s="2">
        <v>30</v>
      </c>
      <c r="H38" s="16">
        <f t="shared" si="0"/>
        <v>45585</v>
      </c>
      <c r="J38" s="2"/>
    </row>
    <row r="39" spans="1:10" x14ac:dyDescent="0.25">
      <c r="A39" s="8" t="s">
        <v>61</v>
      </c>
      <c r="B39" s="8" t="s">
        <v>5</v>
      </c>
      <c r="C39" s="8" t="s">
        <v>44</v>
      </c>
      <c r="D39" s="10">
        <v>45572</v>
      </c>
      <c r="E39" s="9">
        <v>56366</v>
      </c>
      <c r="F39" s="2" t="str">
        <f>INDEX(Vendors!E:E,MATCH(Vendor_Analysis!C39,Vendors!A:A,0))</f>
        <v xml:space="preserve">45 </v>
      </c>
      <c r="G39" s="2">
        <v>45</v>
      </c>
      <c r="H39" s="16">
        <f t="shared" si="0"/>
        <v>45617</v>
      </c>
      <c r="J39" s="2"/>
    </row>
    <row r="40" spans="1:10" x14ac:dyDescent="0.25">
      <c r="A40" s="8" t="s">
        <v>62</v>
      </c>
      <c r="B40" s="8" t="s">
        <v>5</v>
      </c>
      <c r="C40" s="8" t="s">
        <v>73</v>
      </c>
      <c r="D40" s="10">
        <v>45576</v>
      </c>
      <c r="E40" s="9">
        <v>98483</v>
      </c>
      <c r="F40" s="2" t="str">
        <f>INDEX(Vendors!E:E,MATCH(Vendor_Analysis!C40,Vendors!A:A,0))</f>
        <v xml:space="preserve">60 </v>
      </c>
      <c r="G40" s="2">
        <v>60</v>
      </c>
      <c r="H40" s="16">
        <f t="shared" si="0"/>
        <v>45636</v>
      </c>
      <c r="J40" s="2"/>
    </row>
    <row r="41" spans="1:10" x14ac:dyDescent="0.25">
      <c r="A41" s="8" t="s">
        <v>63</v>
      </c>
      <c r="B41" s="8" t="s">
        <v>5</v>
      </c>
      <c r="C41" s="8" t="s">
        <v>29</v>
      </c>
      <c r="D41" s="10">
        <v>45587</v>
      </c>
      <c r="E41" s="9">
        <v>38341</v>
      </c>
      <c r="F41" s="2" t="str">
        <f>INDEX(Vendors!E:E,MATCH(Vendor_Analysis!C41,Vendors!A:A,0))</f>
        <v xml:space="preserve">30 </v>
      </c>
      <c r="G41" s="2">
        <v>30</v>
      </c>
      <c r="H41" s="16">
        <f t="shared" si="0"/>
        <v>45617</v>
      </c>
      <c r="J41" s="2"/>
    </row>
    <row r="42" spans="1:10" x14ac:dyDescent="0.25">
      <c r="A42" s="8" t="s">
        <v>64</v>
      </c>
      <c r="B42" s="8" t="s">
        <v>5</v>
      </c>
      <c r="C42" s="8" t="s">
        <v>110</v>
      </c>
      <c r="D42" s="10">
        <v>45591</v>
      </c>
      <c r="E42" s="9">
        <v>57137</v>
      </c>
      <c r="F42" s="2" t="str">
        <f>INDEX(Vendors!E:E,MATCH(Vendor_Analysis!C42,Vendors!A:A,0))</f>
        <v xml:space="preserve">30 </v>
      </c>
      <c r="G42" s="2">
        <v>30</v>
      </c>
      <c r="H42" s="16">
        <f t="shared" si="0"/>
        <v>45621</v>
      </c>
      <c r="J42" s="2"/>
    </row>
    <row r="43" spans="1:10" x14ac:dyDescent="0.25">
      <c r="A43" s="8" t="s">
        <v>65</v>
      </c>
      <c r="B43" s="8" t="s">
        <v>5</v>
      </c>
      <c r="C43" s="8" t="s">
        <v>6</v>
      </c>
      <c r="D43" s="10">
        <v>45627</v>
      </c>
      <c r="E43" s="9">
        <v>52692</v>
      </c>
      <c r="F43" s="2" t="str">
        <f>INDEX(Vendors!E:E,MATCH(Vendor_Analysis!C43,Vendors!A:A,0))</f>
        <v xml:space="preserve">60 </v>
      </c>
      <c r="G43" s="2">
        <v>60</v>
      </c>
      <c r="H43" s="16">
        <f t="shared" si="0"/>
        <v>45687</v>
      </c>
      <c r="J43" s="2"/>
    </row>
    <row r="44" spans="1:10" x14ac:dyDescent="0.25">
      <c r="A44" s="8" t="s">
        <v>66</v>
      </c>
      <c r="B44" s="8" t="s">
        <v>5</v>
      </c>
      <c r="C44" s="8" t="s">
        <v>55</v>
      </c>
      <c r="D44" s="10">
        <v>45656</v>
      </c>
      <c r="E44" s="9">
        <v>95995</v>
      </c>
      <c r="F44" s="2" t="str">
        <f>INDEX(Vendors!E:E,MATCH(Vendor_Analysis!C44,Vendors!A:A,0))</f>
        <v xml:space="preserve">30 </v>
      </c>
      <c r="G44" s="2">
        <v>30</v>
      </c>
      <c r="H44" s="16">
        <f t="shared" si="0"/>
        <v>45686</v>
      </c>
      <c r="J44" s="2"/>
    </row>
    <row r="45" spans="1:10" x14ac:dyDescent="0.25">
      <c r="A45" s="8" t="s">
        <v>67</v>
      </c>
      <c r="B45" s="8" t="s">
        <v>5</v>
      </c>
      <c r="C45" s="8" t="s">
        <v>23</v>
      </c>
      <c r="D45" s="10">
        <v>45659</v>
      </c>
      <c r="E45" s="9">
        <v>79020</v>
      </c>
      <c r="F45" s="2" t="str">
        <f>INDEX(Vendors!E:E,MATCH(Vendor_Analysis!C45,Vendors!A:A,0))</f>
        <v xml:space="preserve"> 90</v>
      </c>
      <c r="G45" s="2">
        <v>90</v>
      </c>
      <c r="H45" s="16">
        <f t="shared" si="0"/>
        <v>45749</v>
      </c>
      <c r="J45" s="2"/>
    </row>
    <row r="46" spans="1:10" x14ac:dyDescent="0.25">
      <c r="A46" s="8" t="s">
        <v>68</v>
      </c>
      <c r="B46" s="8" t="s">
        <v>5</v>
      </c>
      <c r="C46" s="8" t="s">
        <v>21</v>
      </c>
      <c r="D46" s="10">
        <v>45682</v>
      </c>
      <c r="E46" s="9">
        <v>84300</v>
      </c>
      <c r="F46" s="2" t="str">
        <f>INDEX(Vendors!E:E,MATCH(Vendor_Analysis!C46,Vendors!A:A,0))</f>
        <v xml:space="preserve"> 90</v>
      </c>
      <c r="G46" s="2">
        <v>90</v>
      </c>
      <c r="H46" s="16">
        <f t="shared" si="0"/>
        <v>45772</v>
      </c>
      <c r="J46" s="2"/>
    </row>
    <row r="47" spans="1:10" x14ac:dyDescent="0.25">
      <c r="A47" s="8" t="s">
        <v>69</v>
      </c>
      <c r="B47" s="8" t="s">
        <v>5</v>
      </c>
      <c r="C47" s="8" t="s">
        <v>37</v>
      </c>
      <c r="D47" s="10">
        <v>45697</v>
      </c>
      <c r="E47" s="9">
        <v>69215</v>
      </c>
      <c r="F47" s="2" t="str">
        <f>INDEX(Vendors!E:E,MATCH(Vendor_Analysis!C47,Vendors!A:A,0))</f>
        <v xml:space="preserve">30 </v>
      </c>
      <c r="G47" s="2">
        <v>30</v>
      </c>
      <c r="H47" s="16">
        <f t="shared" si="0"/>
        <v>45727</v>
      </c>
      <c r="J47" s="2"/>
    </row>
    <row r="48" spans="1:10" x14ac:dyDescent="0.25">
      <c r="A48" s="8" t="s">
        <v>70</v>
      </c>
      <c r="B48" s="8" t="s">
        <v>5</v>
      </c>
      <c r="C48" s="8" t="s">
        <v>8</v>
      </c>
      <c r="D48" s="10">
        <v>45712</v>
      </c>
      <c r="E48" s="9">
        <v>98447</v>
      </c>
      <c r="F48" s="2" t="str">
        <f>INDEX(Vendors!E:E,MATCH(Vendor_Analysis!C48,Vendors!A:A,0))</f>
        <v xml:space="preserve">60 </v>
      </c>
      <c r="G48" s="2">
        <v>60</v>
      </c>
      <c r="H48" s="16">
        <f t="shared" si="0"/>
        <v>45772</v>
      </c>
      <c r="J48" s="2"/>
    </row>
    <row r="49" spans="1:10" x14ac:dyDescent="0.25">
      <c r="A49" s="8" t="s">
        <v>72</v>
      </c>
      <c r="B49" s="8" t="s">
        <v>5</v>
      </c>
      <c r="C49" s="8" t="s">
        <v>50</v>
      </c>
      <c r="D49" s="10">
        <v>45722</v>
      </c>
      <c r="E49" s="9">
        <v>51215</v>
      </c>
      <c r="F49" s="2" t="str">
        <f>INDEX(Vendors!E:E,MATCH(Vendor_Analysis!C49,Vendors!A:A,0))</f>
        <v xml:space="preserve"> 90</v>
      </c>
      <c r="G49" s="2">
        <v>90</v>
      </c>
      <c r="H49" s="16">
        <f t="shared" si="0"/>
        <v>45812</v>
      </c>
      <c r="J49" s="2"/>
    </row>
    <row r="50" spans="1:10" x14ac:dyDescent="0.25">
      <c r="A50" s="8" t="s">
        <v>74</v>
      </c>
      <c r="B50" s="8" t="s">
        <v>5</v>
      </c>
      <c r="C50" s="8" t="s">
        <v>10</v>
      </c>
      <c r="D50" s="10">
        <v>45732</v>
      </c>
      <c r="E50" s="9">
        <v>76712</v>
      </c>
      <c r="F50" s="2" t="str">
        <f>INDEX(Vendors!E:E,MATCH(Vendor_Analysis!C50,Vendors!A:A,0))</f>
        <v xml:space="preserve">60 </v>
      </c>
      <c r="G50" s="2">
        <v>60</v>
      </c>
      <c r="H50" s="16">
        <f t="shared" si="0"/>
        <v>45792</v>
      </c>
      <c r="J50" s="2"/>
    </row>
    <row r="51" spans="1:10" x14ac:dyDescent="0.25">
      <c r="A51" s="8" t="s">
        <v>75</v>
      </c>
      <c r="B51" s="8" t="s">
        <v>5</v>
      </c>
      <c r="C51" s="8" t="s">
        <v>12</v>
      </c>
      <c r="D51" s="10">
        <v>45736</v>
      </c>
      <c r="E51" s="9">
        <v>88716</v>
      </c>
      <c r="F51" s="2" t="str">
        <f>INDEX(Vendors!E:E,MATCH(Vendor_Analysis!C51,Vendors!A:A,0))</f>
        <v xml:space="preserve">30 </v>
      </c>
      <c r="G51" s="2">
        <v>30</v>
      </c>
      <c r="H51" s="16">
        <f t="shared" si="0"/>
        <v>45766</v>
      </c>
      <c r="J51" s="2"/>
    </row>
    <row r="52" spans="1:10" x14ac:dyDescent="0.25">
      <c r="A52" s="8" t="s">
        <v>76</v>
      </c>
      <c r="B52" s="8" t="s">
        <v>5</v>
      </c>
      <c r="C52" s="8" t="s">
        <v>29</v>
      </c>
      <c r="D52" s="10">
        <v>45747</v>
      </c>
      <c r="E52" s="9">
        <v>61412</v>
      </c>
      <c r="F52" s="2" t="str">
        <f>INDEX(Vendors!E:E,MATCH(Vendor_Analysis!C52,Vendors!A:A,0))</f>
        <v xml:space="preserve">30 </v>
      </c>
      <c r="G52" s="2">
        <v>30</v>
      </c>
      <c r="H52" s="16">
        <f t="shared" si="0"/>
        <v>45777</v>
      </c>
      <c r="J52" s="2"/>
    </row>
    <row r="53" spans="1:10" x14ac:dyDescent="0.25">
      <c r="A53" s="8" t="s">
        <v>77</v>
      </c>
      <c r="B53" s="8" t="s">
        <v>5</v>
      </c>
      <c r="C53" s="8" t="s">
        <v>48</v>
      </c>
      <c r="D53" s="10">
        <v>45758</v>
      </c>
      <c r="E53" s="9">
        <v>96833</v>
      </c>
      <c r="F53" s="2" t="str">
        <f>INDEX(Vendors!E:E,MATCH(Vendor_Analysis!C53,Vendors!A:A,0))</f>
        <v xml:space="preserve"> 90</v>
      </c>
      <c r="G53" s="2">
        <v>90</v>
      </c>
      <c r="H53" s="16">
        <f t="shared" si="0"/>
        <v>45848</v>
      </c>
      <c r="J53" s="2"/>
    </row>
    <row r="54" spans="1:10" x14ac:dyDescent="0.25">
      <c r="A54" s="8" t="s">
        <v>78</v>
      </c>
      <c r="B54" s="8" t="s">
        <v>5</v>
      </c>
      <c r="C54" s="8" t="s">
        <v>29</v>
      </c>
      <c r="D54" s="10">
        <v>45775</v>
      </c>
      <c r="E54" s="9">
        <v>41436</v>
      </c>
      <c r="F54" s="2" t="str">
        <f>INDEX(Vendors!E:E,MATCH(Vendor_Analysis!C54,Vendors!A:A,0))</f>
        <v xml:space="preserve">30 </v>
      </c>
      <c r="G54" s="2">
        <v>30</v>
      </c>
      <c r="H54" s="16">
        <f t="shared" si="0"/>
        <v>45805</v>
      </c>
      <c r="J54" s="2"/>
    </row>
    <row r="55" spans="1:10" x14ac:dyDescent="0.25">
      <c r="A55" s="8" t="s">
        <v>79</v>
      </c>
      <c r="B55" s="8" t="s">
        <v>5</v>
      </c>
      <c r="C55" s="8" t="s">
        <v>91</v>
      </c>
      <c r="D55" s="10">
        <v>45788</v>
      </c>
      <c r="E55" s="9">
        <v>84851</v>
      </c>
      <c r="F55" s="2" t="str">
        <f>INDEX(Vendors!E:E,MATCH(Vendor_Analysis!C55,Vendors!A:A,0))</f>
        <v xml:space="preserve">60 </v>
      </c>
      <c r="G55" s="2">
        <v>60</v>
      </c>
      <c r="H55" s="16">
        <f t="shared" si="0"/>
        <v>45848</v>
      </c>
      <c r="J55" s="2"/>
    </row>
    <row r="56" spans="1:10" x14ac:dyDescent="0.25">
      <c r="A56" s="8" t="s">
        <v>80</v>
      </c>
      <c r="B56" s="8" t="s">
        <v>5</v>
      </c>
      <c r="C56" s="8" t="s">
        <v>110</v>
      </c>
      <c r="D56" s="10">
        <v>45799</v>
      </c>
      <c r="E56" s="9">
        <v>56808</v>
      </c>
      <c r="F56" s="2" t="str">
        <f>INDEX(Vendors!E:E,MATCH(Vendor_Analysis!C56,Vendors!A:A,0))</f>
        <v xml:space="preserve">30 </v>
      </c>
      <c r="G56" s="2">
        <v>30</v>
      </c>
      <c r="H56" s="16">
        <f t="shared" si="0"/>
        <v>45829</v>
      </c>
      <c r="J56" s="2"/>
    </row>
    <row r="57" spans="1:10" x14ac:dyDescent="0.25">
      <c r="A57" s="8" t="s">
        <v>81</v>
      </c>
      <c r="B57" s="8" t="s">
        <v>5</v>
      </c>
      <c r="C57" s="8" t="s">
        <v>50</v>
      </c>
      <c r="D57" s="10">
        <v>45808</v>
      </c>
      <c r="E57" s="9">
        <v>52404</v>
      </c>
      <c r="F57" s="2" t="str">
        <f>INDEX(Vendors!E:E,MATCH(Vendor_Analysis!C57,Vendors!A:A,0))</f>
        <v xml:space="preserve"> 90</v>
      </c>
      <c r="G57" s="2">
        <v>90</v>
      </c>
      <c r="H57" s="16">
        <f t="shared" si="0"/>
        <v>45898</v>
      </c>
      <c r="J57" s="2"/>
    </row>
    <row r="58" spans="1:10" x14ac:dyDescent="0.25">
      <c r="A58" s="8" t="s">
        <v>82</v>
      </c>
      <c r="B58" s="8" t="s">
        <v>5</v>
      </c>
      <c r="C58" s="8" t="s">
        <v>33</v>
      </c>
      <c r="D58" s="10">
        <v>45821</v>
      </c>
      <c r="E58" s="9">
        <v>50350</v>
      </c>
      <c r="F58" s="2" t="str">
        <f>INDEX(Vendors!E:E,MATCH(Vendor_Analysis!C58,Vendors!A:A,0))</f>
        <v xml:space="preserve">30 </v>
      </c>
      <c r="G58" s="2">
        <v>30</v>
      </c>
      <c r="H58" s="16">
        <f t="shared" si="0"/>
        <v>45851</v>
      </c>
      <c r="J58" s="2"/>
    </row>
    <row r="59" spans="1:10" x14ac:dyDescent="0.25">
      <c r="A59" s="8" t="s">
        <v>83</v>
      </c>
      <c r="B59" s="8" t="s">
        <v>5</v>
      </c>
      <c r="C59" s="8" t="s">
        <v>50</v>
      </c>
      <c r="D59" s="10">
        <v>45822</v>
      </c>
      <c r="E59" s="9">
        <v>90076</v>
      </c>
      <c r="F59" s="2" t="str">
        <f>INDEX(Vendors!E:E,MATCH(Vendor_Analysis!C59,Vendors!A:A,0))</f>
        <v xml:space="preserve"> 90</v>
      </c>
      <c r="G59" s="2">
        <v>90</v>
      </c>
      <c r="H59" s="16">
        <f t="shared" si="0"/>
        <v>45912</v>
      </c>
      <c r="J59" s="2"/>
    </row>
    <row r="60" spans="1:10" x14ac:dyDescent="0.25">
      <c r="A60" s="8" t="s">
        <v>84</v>
      </c>
      <c r="B60" s="8" t="s">
        <v>5</v>
      </c>
      <c r="C60" s="8" t="s">
        <v>55</v>
      </c>
      <c r="D60" s="10">
        <v>45846</v>
      </c>
      <c r="E60" s="9">
        <v>79258</v>
      </c>
      <c r="F60" s="2" t="str">
        <f>INDEX(Vendors!E:E,MATCH(Vendor_Analysis!C60,Vendors!A:A,0))</f>
        <v xml:space="preserve">30 </v>
      </c>
      <c r="G60" s="2">
        <v>30</v>
      </c>
      <c r="H60" s="16">
        <f t="shared" si="0"/>
        <v>45876</v>
      </c>
      <c r="J60" s="2"/>
    </row>
    <row r="61" spans="1:10" x14ac:dyDescent="0.25">
      <c r="A61" s="8" t="s">
        <v>85</v>
      </c>
      <c r="B61" s="8" t="s">
        <v>5</v>
      </c>
      <c r="C61" s="8" t="s">
        <v>35</v>
      </c>
      <c r="D61" s="10">
        <v>45859</v>
      </c>
      <c r="E61" s="9">
        <v>204912</v>
      </c>
      <c r="F61" s="2" t="str">
        <f>INDEX(Vendors!E:E,MATCH(Vendor_Analysis!C61,Vendors!A:A,0))</f>
        <v xml:space="preserve">60 </v>
      </c>
      <c r="G61" s="2">
        <v>60</v>
      </c>
      <c r="H61" s="16">
        <f t="shared" si="0"/>
        <v>45919</v>
      </c>
      <c r="J61" s="2"/>
    </row>
    <row r="62" spans="1:10" x14ac:dyDescent="0.25">
      <c r="A62" s="8" t="s">
        <v>86</v>
      </c>
      <c r="B62" s="8" t="s">
        <v>87</v>
      </c>
      <c r="C62" s="8" t="s">
        <v>44</v>
      </c>
      <c r="D62" s="10">
        <v>45379</v>
      </c>
      <c r="E62" s="9">
        <v>154945</v>
      </c>
      <c r="F62" s="2" t="str">
        <f>INDEX(Vendors!E:E,MATCH(Vendor_Analysis!C62,Vendors!A:A,0))</f>
        <v xml:space="preserve">45 </v>
      </c>
      <c r="G62" s="2">
        <v>45</v>
      </c>
      <c r="H62" s="16">
        <f t="shared" si="0"/>
        <v>45424</v>
      </c>
      <c r="J62" s="2"/>
    </row>
    <row r="63" spans="1:10" x14ac:dyDescent="0.25">
      <c r="A63" s="8" t="s">
        <v>88</v>
      </c>
      <c r="B63" s="8" t="s">
        <v>87</v>
      </c>
      <c r="C63" s="8" t="s">
        <v>35</v>
      </c>
      <c r="D63" s="10">
        <v>45381</v>
      </c>
      <c r="E63" s="9">
        <v>175730</v>
      </c>
      <c r="F63" s="2" t="str">
        <f>INDEX(Vendors!E:E,MATCH(Vendor_Analysis!C63,Vendors!A:A,0))</f>
        <v xml:space="preserve">60 </v>
      </c>
      <c r="G63" s="2">
        <v>60</v>
      </c>
      <c r="H63" s="16">
        <f t="shared" si="0"/>
        <v>45441</v>
      </c>
      <c r="J63" s="2"/>
    </row>
    <row r="64" spans="1:10" x14ac:dyDescent="0.25">
      <c r="A64" s="8" t="s">
        <v>89</v>
      </c>
      <c r="B64" s="8" t="s">
        <v>87</v>
      </c>
      <c r="C64" s="8" t="s">
        <v>55</v>
      </c>
      <c r="D64" s="10">
        <v>45389</v>
      </c>
      <c r="E64" s="9">
        <v>269906</v>
      </c>
      <c r="F64" s="2" t="str">
        <f>INDEX(Vendors!E:E,MATCH(Vendor_Analysis!C64,Vendors!A:A,0))</f>
        <v xml:space="preserve">30 </v>
      </c>
      <c r="G64" s="2">
        <v>30</v>
      </c>
      <c r="H64" s="16">
        <f t="shared" si="0"/>
        <v>45419</v>
      </c>
      <c r="J64" s="2"/>
    </row>
    <row r="65" spans="1:10" x14ac:dyDescent="0.25">
      <c r="A65" s="8" t="s">
        <v>90</v>
      </c>
      <c r="B65" s="8" t="s">
        <v>87</v>
      </c>
      <c r="C65" s="8" t="s">
        <v>8</v>
      </c>
      <c r="D65" s="10">
        <v>45428</v>
      </c>
      <c r="E65" s="9">
        <v>609587</v>
      </c>
      <c r="F65" s="2" t="str">
        <f>INDEX(Vendors!E:E,MATCH(Vendor_Analysis!C65,Vendors!A:A,0))</f>
        <v xml:space="preserve">60 </v>
      </c>
      <c r="G65" s="2">
        <v>60</v>
      </c>
      <c r="H65" s="16">
        <f t="shared" si="0"/>
        <v>45488</v>
      </c>
      <c r="J65" s="2"/>
    </row>
    <row r="66" spans="1:10" x14ac:dyDescent="0.25">
      <c r="A66" s="8" t="s">
        <v>92</v>
      </c>
      <c r="B66" s="8" t="s">
        <v>87</v>
      </c>
      <c r="C66" s="8" t="s">
        <v>23</v>
      </c>
      <c r="D66" s="10">
        <v>45430</v>
      </c>
      <c r="E66" s="9">
        <v>159231</v>
      </c>
      <c r="F66" s="2" t="str">
        <f>INDEX(Vendors!E:E,MATCH(Vendor_Analysis!C66,Vendors!A:A,0))</f>
        <v xml:space="preserve"> 90</v>
      </c>
      <c r="G66" s="2">
        <v>90</v>
      </c>
      <c r="H66" s="16">
        <f t="shared" si="0"/>
        <v>45520</v>
      </c>
      <c r="J66" s="2"/>
    </row>
    <row r="67" spans="1:10" x14ac:dyDescent="0.25">
      <c r="A67" s="8" t="s">
        <v>93</v>
      </c>
      <c r="B67" s="8" t="s">
        <v>87</v>
      </c>
      <c r="C67" s="8" t="s">
        <v>33</v>
      </c>
      <c r="D67" s="10">
        <v>45440</v>
      </c>
      <c r="E67" s="9">
        <v>221187</v>
      </c>
      <c r="F67" s="2" t="str">
        <f>INDEX(Vendors!E:E,MATCH(Vendor_Analysis!C67,Vendors!A:A,0))</f>
        <v xml:space="preserve">30 </v>
      </c>
      <c r="G67" s="2">
        <v>30</v>
      </c>
      <c r="H67" s="16">
        <f t="shared" ref="H67:H130" si="1">D67+F67</f>
        <v>45470</v>
      </c>
      <c r="J67" s="2"/>
    </row>
    <row r="68" spans="1:10" x14ac:dyDescent="0.25">
      <c r="A68" s="8" t="s">
        <v>94</v>
      </c>
      <c r="B68" s="8" t="s">
        <v>87</v>
      </c>
      <c r="C68" s="8" t="s">
        <v>55</v>
      </c>
      <c r="D68" s="10">
        <v>45443</v>
      </c>
      <c r="E68" s="9">
        <v>344592</v>
      </c>
      <c r="F68" s="2" t="str">
        <f>INDEX(Vendors!E:E,MATCH(Vendor_Analysis!C68,Vendors!A:A,0))</f>
        <v xml:space="preserve">30 </v>
      </c>
      <c r="G68" s="2">
        <v>30</v>
      </c>
      <c r="H68" s="16">
        <f t="shared" si="1"/>
        <v>45473</v>
      </c>
      <c r="J68" s="2"/>
    </row>
    <row r="69" spans="1:10" x14ac:dyDescent="0.25">
      <c r="A69" s="8" t="s">
        <v>95</v>
      </c>
      <c r="B69" s="8" t="s">
        <v>87</v>
      </c>
      <c r="C69" s="8" t="s">
        <v>35</v>
      </c>
      <c r="D69" s="10">
        <v>45456</v>
      </c>
      <c r="E69" s="9">
        <v>184281</v>
      </c>
      <c r="F69" s="2" t="str">
        <f>INDEX(Vendors!E:E,MATCH(Vendor_Analysis!C69,Vendors!A:A,0))</f>
        <v xml:space="preserve">60 </v>
      </c>
      <c r="G69" s="2">
        <v>60</v>
      </c>
      <c r="H69" s="16">
        <f t="shared" si="1"/>
        <v>45516</v>
      </c>
      <c r="J69" s="2"/>
    </row>
    <row r="70" spans="1:10" x14ac:dyDescent="0.25">
      <c r="A70" s="8" t="s">
        <v>96</v>
      </c>
      <c r="B70" s="8" t="s">
        <v>87</v>
      </c>
      <c r="C70" s="8" t="s">
        <v>10</v>
      </c>
      <c r="D70" s="10">
        <v>45477</v>
      </c>
      <c r="E70" s="9">
        <v>329748</v>
      </c>
      <c r="F70" s="2" t="str">
        <f>INDEX(Vendors!E:E,MATCH(Vendor_Analysis!C70,Vendors!A:A,0))</f>
        <v xml:space="preserve">60 </v>
      </c>
      <c r="G70" s="2">
        <v>60</v>
      </c>
      <c r="H70" s="16">
        <f t="shared" si="1"/>
        <v>45537</v>
      </c>
      <c r="J70" s="2"/>
    </row>
    <row r="71" spans="1:10" x14ac:dyDescent="0.25">
      <c r="A71" s="8" t="s">
        <v>97</v>
      </c>
      <c r="B71" s="8" t="s">
        <v>87</v>
      </c>
      <c r="C71" s="8" t="s">
        <v>8</v>
      </c>
      <c r="D71" s="10">
        <v>45489</v>
      </c>
      <c r="E71" s="9">
        <v>155993</v>
      </c>
      <c r="F71" s="2" t="str">
        <f>INDEX(Vendors!E:E,MATCH(Vendor_Analysis!C71,Vendors!A:A,0))</f>
        <v xml:space="preserve">60 </v>
      </c>
      <c r="G71" s="2">
        <v>60</v>
      </c>
      <c r="H71" s="16">
        <f t="shared" si="1"/>
        <v>45549</v>
      </c>
      <c r="J71" s="2"/>
    </row>
    <row r="72" spans="1:10" x14ac:dyDescent="0.25">
      <c r="A72" s="8" t="s">
        <v>98</v>
      </c>
      <c r="B72" s="8" t="s">
        <v>87</v>
      </c>
      <c r="C72" s="8" t="s">
        <v>37</v>
      </c>
      <c r="D72" s="10">
        <v>45502</v>
      </c>
      <c r="E72" s="9">
        <v>251512</v>
      </c>
      <c r="F72" s="2" t="str">
        <f>INDEX(Vendors!E:E,MATCH(Vendor_Analysis!C72,Vendors!A:A,0))</f>
        <v xml:space="preserve">30 </v>
      </c>
      <c r="G72" s="2">
        <v>30</v>
      </c>
      <c r="H72" s="16">
        <f t="shared" si="1"/>
        <v>45532</v>
      </c>
      <c r="J72" s="2"/>
    </row>
    <row r="73" spans="1:10" x14ac:dyDescent="0.25">
      <c r="A73" s="8" t="s">
        <v>99</v>
      </c>
      <c r="B73" s="8" t="s">
        <v>87</v>
      </c>
      <c r="C73" s="8" t="s">
        <v>19</v>
      </c>
      <c r="D73" s="10">
        <v>45509</v>
      </c>
      <c r="E73" s="9">
        <v>283818</v>
      </c>
      <c r="F73" s="2" t="str">
        <f>INDEX(Vendors!E:E,MATCH(Vendor_Analysis!C73,Vendors!A:A,0))</f>
        <v xml:space="preserve">45 </v>
      </c>
      <c r="G73" s="2">
        <v>45</v>
      </c>
      <c r="H73" s="16">
        <f t="shared" si="1"/>
        <v>45554</v>
      </c>
      <c r="J73" s="2"/>
    </row>
    <row r="74" spans="1:10" x14ac:dyDescent="0.25">
      <c r="A74" s="8" t="s">
        <v>100</v>
      </c>
      <c r="B74" s="8" t="s">
        <v>87</v>
      </c>
      <c r="C74" s="8" t="s">
        <v>17</v>
      </c>
      <c r="D74" s="10">
        <v>45540</v>
      </c>
      <c r="E74" s="9">
        <v>215560</v>
      </c>
      <c r="F74" s="2" t="str">
        <f>INDEX(Vendors!E:E,MATCH(Vendor_Analysis!C74,Vendors!A:A,0))</f>
        <v xml:space="preserve">45 </v>
      </c>
      <c r="G74" s="2">
        <v>45</v>
      </c>
      <c r="H74" s="16">
        <f t="shared" si="1"/>
        <v>45585</v>
      </c>
      <c r="J74" s="2"/>
    </row>
    <row r="75" spans="1:10" x14ac:dyDescent="0.25">
      <c r="A75" s="8" t="s">
        <v>101</v>
      </c>
      <c r="B75" s="8" t="s">
        <v>87</v>
      </c>
      <c r="C75" s="8" t="s">
        <v>71</v>
      </c>
      <c r="D75" s="10">
        <v>45551</v>
      </c>
      <c r="E75" s="9">
        <v>162635</v>
      </c>
      <c r="F75" s="2" t="str">
        <f>INDEX(Vendors!E:E,MATCH(Vendor_Analysis!C75,Vendors!A:A,0))</f>
        <v xml:space="preserve">45 </v>
      </c>
      <c r="G75" s="2">
        <v>45</v>
      </c>
      <c r="H75" s="16">
        <f t="shared" si="1"/>
        <v>45596</v>
      </c>
      <c r="J75" s="2"/>
    </row>
    <row r="76" spans="1:10" x14ac:dyDescent="0.25">
      <c r="A76" s="8" t="s">
        <v>102</v>
      </c>
      <c r="B76" s="8" t="s">
        <v>87</v>
      </c>
      <c r="C76" s="8" t="s">
        <v>29</v>
      </c>
      <c r="D76" s="10">
        <v>45560</v>
      </c>
      <c r="E76" s="9">
        <v>195516</v>
      </c>
      <c r="F76" s="2" t="str">
        <f>INDEX(Vendors!E:E,MATCH(Vendor_Analysis!C76,Vendors!A:A,0))</f>
        <v xml:space="preserve">30 </v>
      </c>
      <c r="G76" s="2">
        <v>30</v>
      </c>
      <c r="H76" s="16">
        <f t="shared" si="1"/>
        <v>45590</v>
      </c>
      <c r="J76" s="2"/>
    </row>
    <row r="77" spans="1:10" x14ac:dyDescent="0.25">
      <c r="A77" s="8" t="s">
        <v>103</v>
      </c>
      <c r="B77" s="8" t="s">
        <v>87</v>
      </c>
      <c r="C77" s="8" t="s">
        <v>33</v>
      </c>
      <c r="D77" s="10">
        <v>45560</v>
      </c>
      <c r="E77" s="9">
        <v>341450</v>
      </c>
      <c r="F77" s="2" t="str">
        <f>INDEX(Vendors!E:E,MATCH(Vendor_Analysis!C77,Vendors!A:A,0))</f>
        <v xml:space="preserve">30 </v>
      </c>
      <c r="G77" s="2">
        <v>30</v>
      </c>
      <c r="H77" s="16">
        <f t="shared" si="1"/>
        <v>45590</v>
      </c>
      <c r="J77" s="2"/>
    </row>
    <row r="78" spans="1:10" x14ac:dyDescent="0.25">
      <c r="A78" s="8" t="s">
        <v>104</v>
      </c>
      <c r="B78" s="8" t="s">
        <v>87</v>
      </c>
      <c r="C78" s="8" t="s">
        <v>50</v>
      </c>
      <c r="D78" s="10">
        <v>45572</v>
      </c>
      <c r="E78" s="9">
        <v>323636</v>
      </c>
      <c r="F78" s="2" t="str">
        <f>INDEX(Vendors!E:E,MATCH(Vendor_Analysis!C78,Vendors!A:A,0))</f>
        <v xml:space="preserve"> 90</v>
      </c>
      <c r="G78" s="2">
        <v>90</v>
      </c>
      <c r="H78" s="16">
        <f t="shared" si="1"/>
        <v>45662</v>
      </c>
      <c r="J78" s="2"/>
    </row>
    <row r="79" spans="1:10" x14ac:dyDescent="0.25">
      <c r="A79" s="8" t="s">
        <v>105</v>
      </c>
      <c r="B79" s="8" t="s">
        <v>87</v>
      </c>
      <c r="C79" s="8" t="s">
        <v>8</v>
      </c>
      <c r="D79" s="10">
        <v>45576</v>
      </c>
      <c r="E79" s="9">
        <v>157042</v>
      </c>
      <c r="F79" s="2" t="str">
        <f>INDEX(Vendors!E:E,MATCH(Vendor_Analysis!C79,Vendors!A:A,0))</f>
        <v xml:space="preserve">60 </v>
      </c>
      <c r="G79" s="2">
        <v>60</v>
      </c>
      <c r="H79" s="16">
        <f t="shared" si="1"/>
        <v>45636</v>
      </c>
      <c r="J79" s="2"/>
    </row>
    <row r="80" spans="1:10" x14ac:dyDescent="0.25">
      <c r="A80" s="8" t="s">
        <v>106</v>
      </c>
      <c r="B80" s="8" t="s">
        <v>87</v>
      </c>
      <c r="C80" s="8" t="s">
        <v>14</v>
      </c>
      <c r="D80" s="10">
        <v>45577</v>
      </c>
      <c r="E80" s="9">
        <v>254832</v>
      </c>
      <c r="F80" s="2" t="str">
        <f>INDEX(Vendors!E:E,MATCH(Vendor_Analysis!C80,Vendors!A:A,0))</f>
        <v xml:space="preserve"> 90</v>
      </c>
      <c r="G80" s="2">
        <v>90</v>
      </c>
      <c r="H80" s="16">
        <f t="shared" si="1"/>
        <v>45667</v>
      </c>
      <c r="J80" s="2"/>
    </row>
    <row r="81" spans="1:10" x14ac:dyDescent="0.25">
      <c r="A81" s="8" t="s">
        <v>107</v>
      </c>
      <c r="B81" s="8" t="s">
        <v>87</v>
      </c>
      <c r="C81" s="8" t="s">
        <v>109</v>
      </c>
      <c r="D81" s="10">
        <v>45582</v>
      </c>
      <c r="E81" s="9">
        <v>262109</v>
      </c>
      <c r="F81" s="2" t="str">
        <f>INDEX(Vendors!E:E,MATCH(Vendor_Analysis!C81,Vendors!A:A,0))</f>
        <v xml:space="preserve">30 </v>
      </c>
      <c r="G81" s="2">
        <v>30</v>
      </c>
      <c r="H81" s="16">
        <f t="shared" si="1"/>
        <v>45612</v>
      </c>
      <c r="J81" s="2"/>
    </row>
    <row r="82" spans="1:10" x14ac:dyDescent="0.25">
      <c r="A82" s="8" t="s">
        <v>111</v>
      </c>
      <c r="B82" s="8" t="s">
        <v>112</v>
      </c>
      <c r="C82" s="8" t="s">
        <v>17</v>
      </c>
      <c r="D82" s="10">
        <v>45190</v>
      </c>
      <c r="E82" s="9">
        <v>117311</v>
      </c>
      <c r="F82" s="2" t="str">
        <f>INDEX(Vendors!E:E,MATCH(Vendor_Analysis!C82,Vendors!A:A,0))</f>
        <v xml:space="preserve">45 </v>
      </c>
      <c r="G82" s="2">
        <v>45</v>
      </c>
      <c r="H82" s="16">
        <f t="shared" si="1"/>
        <v>45235</v>
      </c>
      <c r="J82" s="2"/>
    </row>
    <row r="83" spans="1:10" x14ac:dyDescent="0.25">
      <c r="A83" s="8" t="s">
        <v>113</v>
      </c>
      <c r="B83" s="8" t="s">
        <v>112</v>
      </c>
      <c r="C83" s="8" t="s">
        <v>108</v>
      </c>
      <c r="D83" s="10">
        <v>45190</v>
      </c>
      <c r="E83" s="9">
        <v>170977</v>
      </c>
      <c r="F83" s="2" t="str">
        <f>INDEX(Vendors!E:E,MATCH(Vendor_Analysis!C83,Vendors!A:A,0))</f>
        <v xml:space="preserve"> 90</v>
      </c>
      <c r="G83" s="2">
        <v>90</v>
      </c>
      <c r="H83" s="16">
        <f t="shared" si="1"/>
        <v>45280</v>
      </c>
      <c r="J83" s="2"/>
    </row>
    <row r="84" spans="1:10" x14ac:dyDescent="0.25">
      <c r="A84" s="8" t="s">
        <v>114</v>
      </c>
      <c r="B84" s="8" t="s">
        <v>112</v>
      </c>
      <c r="C84" s="8" t="s">
        <v>23</v>
      </c>
      <c r="D84" s="10">
        <v>45212</v>
      </c>
      <c r="E84" s="9">
        <v>217857</v>
      </c>
      <c r="F84" s="2" t="str">
        <f>INDEX(Vendors!E:E,MATCH(Vendor_Analysis!C84,Vendors!A:A,0))</f>
        <v xml:space="preserve"> 90</v>
      </c>
      <c r="G84" s="2">
        <v>90</v>
      </c>
      <c r="H84" s="16">
        <f t="shared" si="1"/>
        <v>45302</v>
      </c>
      <c r="J84" s="2"/>
    </row>
    <row r="85" spans="1:10" x14ac:dyDescent="0.25">
      <c r="A85" s="8" t="s">
        <v>115</v>
      </c>
      <c r="B85" s="8" t="s">
        <v>112</v>
      </c>
      <c r="C85" s="8" t="s">
        <v>27</v>
      </c>
      <c r="D85" s="10">
        <v>45225</v>
      </c>
      <c r="E85" s="9">
        <v>184007</v>
      </c>
      <c r="F85" s="2" t="str">
        <f>INDEX(Vendors!E:E,MATCH(Vendor_Analysis!C85,Vendors!A:A,0))</f>
        <v xml:space="preserve">45 </v>
      </c>
      <c r="G85" s="2">
        <v>45</v>
      </c>
      <c r="H85" s="16">
        <f t="shared" si="1"/>
        <v>45270</v>
      </c>
      <c r="J85" s="2"/>
    </row>
    <row r="86" spans="1:10" x14ac:dyDescent="0.25">
      <c r="A86" s="8" t="s">
        <v>116</v>
      </c>
      <c r="B86" s="8" t="s">
        <v>112</v>
      </c>
      <c r="C86" s="8" t="s">
        <v>50</v>
      </c>
      <c r="D86" s="10">
        <v>45233</v>
      </c>
      <c r="E86" s="9">
        <v>114096</v>
      </c>
      <c r="F86" s="2" t="str">
        <f>INDEX(Vendors!E:E,MATCH(Vendor_Analysis!C86,Vendors!A:A,0))</f>
        <v xml:space="preserve"> 90</v>
      </c>
      <c r="G86" s="2">
        <v>90</v>
      </c>
      <c r="H86" s="16">
        <f t="shared" si="1"/>
        <v>45323</v>
      </c>
      <c r="J86" s="2"/>
    </row>
    <row r="87" spans="1:10" x14ac:dyDescent="0.25">
      <c r="A87" s="8" t="s">
        <v>117</v>
      </c>
      <c r="B87" s="8" t="s">
        <v>112</v>
      </c>
      <c r="C87" s="8" t="s">
        <v>21</v>
      </c>
      <c r="D87" s="10">
        <v>45255</v>
      </c>
      <c r="E87" s="9">
        <v>241785</v>
      </c>
      <c r="F87" s="2" t="str">
        <f>INDEX(Vendors!E:E,MATCH(Vendor_Analysis!C87,Vendors!A:A,0))</f>
        <v xml:space="preserve"> 90</v>
      </c>
      <c r="G87" s="2">
        <v>90</v>
      </c>
      <c r="H87" s="16">
        <f t="shared" si="1"/>
        <v>45345</v>
      </c>
      <c r="J87" s="2"/>
    </row>
    <row r="88" spans="1:10" x14ac:dyDescent="0.25">
      <c r="A88" s="8" t="s">
        <v>118</v>
      </c>
      <c r="B88" s="8" t="s">
        <v>112</v>
      </c>
      <c r="C88" s="8" t="s">
        <v>14</v>
      </c>
      <c r="D88" s="10">
        <v>45279</v>
      </c>
      <c r="E88" s="9">
        <v>108431</v>
      </c>
      <c r="F88" s="2" t="str">
        <f>INDEX(Vendors!E:E,MATCH(Vendor_Analysis!C88,Vendors!A:A,0))</f>
        <v xml:space="preserve"> 90</v>
      </c>
      <c r="G88" s="2">
        <v>90</v>
      </c>
      <c r="H88" s="16">
        <f t="shared" si="1"/>
        <v>45369</v>
      </c>
      <c r="J88" s="2"/>
    </row>
    <row r="89" spans="1:10" x14ac:dyDescent="0.25">
      <c r="A89" s="8" t="s">
        <v>119</v>
      </c>
      <c r="B89" s="8" t="s">
        <v>112</v>
      </c>
      <c r="C89" s="8" t="s">
        <v>50</v>
      </c>
      <c r="D89" s="10">
        <v>45290</v>
      </c>
      <c r="E89" s="9">
        <v>123096</v>
      </c>
      <c r="F89" s="2" t="str">
        <f>INDEX(Vendors!E:E,MATCH(Vendor_Analysis!C89,Vendors!A:A,0))</f>
        <v xml:space="preserve"> 90</v>
      </c>
      <c r="G89" s="2">
        <v>90</v>
      </c>
      <c r="H89" s="16">
        <f t="shared" si="1"/>
        <v>45380</v>
      </c>
      <c r="J89" s="2"/>
    </row>
    <row r="90" spans="1:10" x14ac:dyDescent="0.25">
      <c r="A90" s="8" t="s">
        <v>120</v>
      </c>
      <c r="B90" s="8" t="s">
        <v>112</v>
      </c>
      <c r="C90" s="8" t="s">
        <v>17</v>
      </c>
      <c r="D90" s="10">
        <v>45297</v>
      </c>
      <c r="E90" s="9">
        <v>167422</v>
      </c>
      <c r="F90" s="2" t="str">
        <f>INDEX(Vendors!E:E,MATCH(Vendor_Analysis!C90,Vendors!A:A,0))</f>
        <v xml:space="preserve">45 </v>
      </c>
      <c r="G90" s="2">
        <v>45</v>
      </c>
      <c r="H90" s="16">
        <f t="shared" si="1"/>
        <v>45342</v>
      </c>
      <c r="J90" s="2"/>
    </row>
    <row r="91" spans="1:10" x14ac:dyDescent="0.25">
      <c r="A91" s="8" t="s">
        <v>121</v>
      </c>
      <c r="B91" s="8" t="s">
        <v>112</v>
      </c>
      <c r="C91" s="8" t="s">
        <v>21</v>
      </c>
      <c r="D91" s="10">
        <v>45323</v>
      </c>
      <c r="E91" s="9">
        <v>115900</v>
      </c>
      <c r="F91" s="2" t="str">
        <f>INDEX(Vendors!E:E,MATCH(Vendor_Analysis!C91,Vendors!A:A,0))</f>
        <v xml:space="preserve"> 90</v>
      </c>
      <c r="G91" s="2">
        <v>90</v>
      </c>
      <c r="H91" s="16">
        <f t="shared" si="1"/>
        <v>45413</v>
      </c>
      <c r="J91" s="2"/>
    </row>
    <row r="92" spans="1:10" x14ac:dyDescent="0.25">
      <c r="A92" s="8" t="s">
        <v>122</v>
      </c>
      <c r="B92" s="8" t="s">
        <v>112</v>
      </c>
      <c r="C92" s="8" t="s">
        <v>21</v>
      </c>
      <c r="D92" s="10">
        <v>45325</v>
      </c>
      <c r="E92" s="9">
        <v>129374</v>
      </c>
      <c r="F92" s="2" t="str">
        <f>INDEX(Vendors!E:E,MATCH(Vendor_Analysis!C92,Vendors!A:A,0))</f>
        <v xml:space="preserve"> 90</v>
      </c>
      <c r="G92" s="2">
        <v>90</v>
      </c>
      <c r="H92" s="16">
        <f t="shared" si="1"/>
        <v>45415</v>
      </c>
      <c r="J92" s="2"/>
    </row>
    <row r="93" spans="1:10" x14ac:dyDescent="0.25">
      <c r="A93" s="8" t="s">
        <v>123</v>
      </c>
      <c r="B93" s="8" t="s">
        <v>112</v>
      </c>
      <c r="C93" s="8" t="s">
        <v>25</v>
      </c>
      <c r="D93" s="10">
        <v>45344</v>
      </c>
      <c r="E93" s="9">
        <v>237885</v>
      </c>
      <c r="F93" s="2" t="str">
        <f>INDEX(Vendors!E:E,MATCH(Vendor_Analysis!C93,Vendors!A:A,0))</f>
        <v xml:space="preserve">30 </v>
      </c>
      <c r="G93" s="2">
        <v>30</v>
      </c>
      <c r="H93" s="16">
        <f t="shared" si="1"/>
        <v>45374</v>
      </c>
      <c r="J93" s="2"/>
    </row>
    <row r="94" spans="1:10" x14ac:dyDescent="0.25">
      <c r="A94" s="8" t="s">
        <v>124</v>
      </c>
      <c r="B94" s="8" t="s">
        <v>112</v>
      </c>
      <c r="C94" s="8" t="s">
        <v>23</v>
      </c>
      <c r="D94" s="10">
        <v>45354</v>
      </c>
      <c r="E94" s="9">
        <v>257992</v>
      </c>
      <c r="F94" s="2" t="str">
        <f>INDEX(Vendors!E:E,MATCH(Vendor_Analysis!C94,Vendors!A:A,0))</f>
        <v xml:space="preserve"> 90</v>
      </c>
      <c r="G94" s="2">
        <v>90</v>
      </c>
      <c r="H94" s="16">
        <f t="shared" si="1"/>
        <v>45444</v>
      </c>
      <c r="J94" s="2"/>
    </row>
    <row r="95" spans="1:10" x14ac:dyDescent="0.25">
      <c r="A95" s="8" t="s">
        <v>125</v>
      </c>
      <c r="B95" s="8" t="s">
        <v>112</v>
      </c>
      <c r="C95" s="8" t="s">
        <v>91</v>
      </c>
      <c r="D95" s="10">
        <v>45359</v>
      </c>
      <c r="E95" s="9">
        <v>205211</v>
      </c>
      <c r="F95" s="2" t="str">
        <f>INDEX(Vendors!E:E,MATCH(Vendor_Analysis!C95,Vendors!A:A,0))</f>
        <v xml:space="preserve">60 </v>
      </c>
      <c r="G95" s="2">
        <v>60</v>
      </c>
      <c r="H95" s="16">
        <f t="shared" si="1"/>
        <v>45419</v>
      </c>
      <c r="J95" s="2"/>
    </row>
    <row r="96" spans="1:10" x14ac:dyDescent="0.25">
      <c r="A96" s="8" t="s">
        <v>126</v>
      </c>
      <c r="B96" s="8" t="s">
        <v>112</v>
      </c>
      <c r="C96" s="8" t="s">
        <v>6</v>
      </c>
      <c r="D96" s="10">
        <v>45361</v>
      </c>
      <c r="E96" s="9">
        <v>164623</v>
      </c>
      <c r="F96" s="2" t="str">
        <f>INDEX(Vendors!E:E,MATCH(Vendor_Analysis!C96,Vendors!A:A,0))</f>
        <v xml:space="preserve">60 </v>
      </c>
      <c r="G96" s="2">
        <v>60</v>
      </c>
      <c r="H96" s="16">
        <f t="shared" si="1"/>
        <v>45421</v>
      </c>
      <c r="J96" s="2"/>
    </row>
    <row r="97" spans="1:10" x14ac:dyDescent="0.25">
      <c r="A97" s="8" t="s">
        <v>127</v>
      </c>
      <c r="B97" s="8" t="s">
        <v>112</v>
      </c>
      <c r="C97" s="8" t="s">
        <v>44</v>
      </c>
      <c r="D97" s="10">
        <v>45399</v>
      </c>
      <c r="E97" s="9">
        <v>236724</v>
      </c>
      <c r="F97" s="2" t="str">
        <f>INDEX(Vendors!E:E,MATCH(Vendor_Analysis!C97,Vendors!A:A,0))</f>
        <v xml:space="preserve">45 </v>
      </c>
      <c r="G97" s="2">
        <v>45</v>
      </c>
      <c r="H97" s="16">
        <f t="shared" si="1"/>
        <v>45444</v>
      </c>
      <c r="J97" s="2"/>
    </row>
    <row r="98" spans="1:10" x14ac:dyDescent="0.25">
      <c r="A98" s="8" t="s">
        <v>128</v>
      </c>
      <c r="B98" s="8" t="s">
        <v>112</v>
      </c>
      <c r="C98" s="8" t="s">
        <v>12</v>
      </c>
      <c r="D98" s="10">
        <v>45413</v>
      </c>
      <c r="E98" s="9">
        <v>104390</v>
      </c>
      <c r="F98" s="2" t="str">
        <f>INDEX(Vendors!E:E,MATCH(Vendor_Analysis!C98,Vendors!A:A,0))</f>
        <v xml:space="preserve">30 </v>
      </c>
      <c r="G98" s="2">
        <v>30</v>
      </c>
      <c r="H98" s="16">
        <f t="shared" si="1"/>
        <v>45443</v>
      </c>
      <c r="J98" s="2"/>
    </row>
    <row r="99" spans="1:10" x14ac:dyDescent="0.25">
      <c r="A99" s="8" t="s">
        <v>129</v>
      </c>
      <c r="B99" s="8" t="s">
        <v>112</v>
      </c>
      <c r="C99" s="8" t="s">
        <v>108</v>
      </c>
      <c r="D99" s="10">
        <v>45416</v>
      </c>
      <c r="E99" s="9">
        <v>213455</v>
      </c>
      <c r="F99" s="2" t="str">
        <f>INDEX(Vendors!E:E,MATCH(Vendor_Analysis!C99,Vendors!A:A,0))</f>
        <v xml:space="preserve"> 90</v>
      </c>
      <c r="G99" s="2">
        <v>90</v>
      </c>
      <c r="H99" s="16">
        <f t="shared" si="1"/>
        <v>45506</v>
      </c>
      <c r="J99" s="2"/>
    </row>
    <row r="100" spans="1:10" x14ac:dyDescent="0.25">
      <c r="A100" s="8" t="s">
        <v>130</v>
      </c>
      <c r="B100" s="8" t="s">
        <v>112</v>
      </c>
      <c r="C100" s="8" t="s">
        <v>48</v>
      </c>
      <c r="D100" s="10">
        <v>45449</v>
      </c>
      <c r="E100" s="9">
        <v>140220</v>
      </c>
      <c r="F100" s="2" t="str">
        <f>INDEX(Vendors!E:E,MATCH(Vendor_Analysis!C100,Vendors!A:A,0))</f>
        <v xml:space="preserve"> 90</v>
      </c>
      <c r="G100" s="2">
        <v>90</v>
      </c>
      <c r="H100" s="16">
        <f t="shared" si="1"/>
        <v>45539</v>
      </c>
      <c r="J100" s="2"/>
    </row>
    <row r="101" spans="1:10" x14ac:dyDescent="0.25">
      <c r="A101" s="8" t="s">
        <v>131</v>
      </c>
      <c r="B101" s="8" t="s">
        <v>112</v>
      </c>
      <c r="C101" s="8" t="s">
        <v>21</v>
      </c>
      <c r="D101" s="10">
        <v>45451</v>
      </c>
      <c r="E101" s="9">
        <v>148383</v>
      </c>
      <c r="F101" s="2" t="str">
        <f>INDEX(Vendors!E:E,MATCH(Vendor_Analysis!C101,Vendors!A:A,0))</f>
        <v xml:space="preserve"> 90</v>
      </c>
      <c r="G101" s="2">
        <v>90</v>
      </c>
      <c r="H101" s="16">
        <f t="shared" si="1"/>
        <v>45541</v>
      </c>
      <c r="J101" s="2"/>
    </row>
    <row r="102" spans="1:10" x14ac:dyDescent="0.25">
      <c r="A102" s="8" t="s">
        <v>132</v>
      </c>
      <c r="B102" s="8" t="s">
        <v>112</v>
      </c>
      <c r="C102" s="8" t="s">
        <v>6</v>
      </c>
      <c r="D102" s="10">
        <v>45451</v>
      </c>
      <c r="E102" s="9">
        <v>281944</v>
      </c>
      <c r="F102" s="2" t="str">
        <f>INDEX(Vendors!E:E,MATCH(Vendor_Analysis!C102,Vendors!A:A,0))</f>
        <v xml:space="preserve">60 </v>
      </c>
      <c r="G102" s="2">
        <v>60</v>
      </c>
      <c r="H102" s="16">
        <f t="shared" si="1"/>
        <v>45511</v>
      </c>
      <c r="J102" s="2"/>
    </row>
    <row r="103" spans="1:10" x14ac:dyDescent="0.25">
      <c r="A103" s="8" t="s">
        <v>133</v>
      </c>
      <c r="B103" s="8" t="s">
        <v>112</v>
      </c>
      <c r="C103" s="8" t="s">
        <v>6</v>
      </c>
      <c r="D103" s="10">
        <v>45465</v>
      </c>
      <c r="E103" s="9">
        <v>295942</v>
      </c>
      <c r="F103" s="2" t="str">
        <f>INDEX(Vendors!E:E,MATCH(Vendor_Analysis!C103,Vendors!A:A,0))</f>
        <v xml:space="preserve">60 </v>
      </c>
      <c r="G103" s="2">
        <v>60</v>
      </c>
      <c r="H103" s="16">
        <f t="shared" si="1"/>
        <v>45525</v>
      </c>
      <c r="J103" s="2"/>
    </row>
    <row r="104" spans="1:10" x14ac:dyDescent="0.25">
      <c r="A104" s="8" t="s">
        <v>134</v>
      </c>
      <c r="B104" s="8" t="s">
        <v>112</v>
      </c>
      <c r="C104" s="8" t="s">
        <v>33</v>
      </c>
      <c r="D104" s="10">
        <v>45485</v>
      </c>
      <c r="E104" s="9">
        <v>140486</v>
      </c>
      <c r="F104" s="2" t="str">
        <f>INDEX(Vendors!E:E,MATCH(Vendor_Analysis!C104,Vendors!A:A,0))</f>
        <v xml:space="preserve">30 </v>
      </c>
      <c r="G104" s="2">
        <v>30</v>
      </c>
      <c r="H104" s="16">
        <f t="shared" si="1"/>
        <v>45515</v>
      </c>
      <c r="J104" s="2"/>
    </row>
    <row r="105" spans="1:10" x14ac:dyDescent="0.25">
      <c r="A105" s="8" t="s">
        <v>135</v>
      </c>
      <c r="B105" s="8" t="s">
        <v>112</v>
      </c>
      <c r="C105" s="8" t="s">
        <v>25</v>
      </c>
      <c r="D105" s="10">
        <v>45486</v>
      </c>
      <c r="E105" s="9">
        <v>166607</v>
      </c>
      <c r="F105" s="2" t="str">
        <f>INDEX(Vendors!E:E,MATCH(Vendor_Analysis!C105,Vendors!A:A,0))</f>
        <v xml:space="preserve">30 </v>
      </c>
      <c r="G105" s="2">
        <v>30</v>
      </c>
      <c r="H105" s="16">
        <f t="shared" si="1"/>
        <v>45516</v>
      </c>
      <c r="J105" s="2"/>
    </row>
    <row r="106" spans="1:10" x14ac:dyDescent="0.25">
      <c r="A106" s="8" t="s">
        <v>136</v>
      </c>
      <c r="B106" s="8" t="s">
        <v>112</v>
      </c>
      <c r="C106" s="8" t="s">
        <v>44</v>
      </c>
      <c r="D106" s="10">
        <v>45495</v>
      </c>
      <c r="E106" s="9">
        <v>195569</v>
      </c>
      <c r="F106" s="2" t="str">
        <f>INDEX(Vendors!E:E,MATCH(Vendor_Analysis!C106,Vendors!A:A,0))</f>
        <v xml:space="preserve">45 </v>
      </c>
      <c r="G106" s="2">
        <v>45</v>
      </c>
      <c r="H106" s="16">
        <f t="shared" si="1"/>
        <v>45540</v>
      </c>
      <c r="J106" s="2"/>
    </row>
    <row r="107" spans="1:10" x14ac:dyDescent="0.25">
      <c r="A107" s="8" t="s">
        <v>137</v>
      </c>
      <c r="B107" s="8" t="s">
        <v>112</v>
      </c>
      <c r="C107" s="8" t="s">
        <v>109</v>
      </c>
      <c r="D107" s="10">
        <v>45529</v>
      </c>
      <c r="E107" s="9">
        <v>180283</v>
      </c>
      <c r="F107" s="2" t="str">
        <f>INDEX(Vendors!E:E,MATCH(Vendor_Analysis!C107,Vendors!A:A,0))</f>
        <v xml:space="preserve">30 </v>
      </c>
      <c r="G107" s="2">
        <v>30</v>
      </c>
      <c r="H107" s="16">
        <f t="shared" si="1"/>
        <v>45559</v>
      </c>
      <c r="J107" s="2"/>
    </row>
    <row r="108" spans="1:10" x14ac:dyDescent="0.25">
      <c r="A108" s="8" t="s">
        <v>138</v>
      </c>
      <c r="B108" s="8" t="s">
        <v>112</v>
      </c>
      <c r="C108" s="8" t="s">
        <v>91</v>
      </c>
      <c r="D108" s="10">
        <v>45529</v>
      </c>
      <c r="E108" s="9">
        <v>265163</v>
      </c>
      <c r="F108" s="2" t="str">
        <f>INDEX(Vendors!E:E,MATCH(Vendor_Analysis!C108,Vendors!A:A,0))</f>
        <v xml:space="preserve">60 </v>
      </c>
      <c r="G108" s="2">
        <v>60</v>
      </c>
      <c r="H108" s="16">
        <f t="shared" si="1"/>
        <v>45589</v>
      </c>
      <c r="J108" s="2"/>
    </row>
    <row r="109" spans="1:10" x14ac:dyDescent="0.25">
      <c r="A109" s="8" t="s">
        <v>139</v>
      </c>
      <c r="B109" s="8" t="s">
        <v>112</v>
      </c>
      <c r="C109" s="8" t="s">
        <v>29</v>
      </c>
      <c r="D109" s="10">
        <v>45530</v>
      </c>
      <c r="E109" s="9">
        <v>278944</v>
      </c>
      <c r="F109" s="2" t="str">
        <f>INDEX(Vendors!E:E,MATCH(Vendor_Analysis!C109,Vendors!A:A,0))</f>
        <v xml:space="preserve">30 </v>
      </c>
      <c r="G109" s="2">
        <v>30</v>
      </c>
      <c r="H109" s="16">
        <f t="shared" si="1"/>
        <v>45560</v>
      </c>
      <c r="J109" s="2"/>
    </row>
    <row r="110" spans="1:10" x14ac:dyDescent="0.25">
      <c r="A110" s="8" t="s">
        <v>140</v>
      </c>
      <c r="B110" s="8" t="s">
        <v>112</v>
      </c>
      <c r="C110" s="8" t="s">
        <v>71</v>
      </c>
      <c r="D110" s="10">
        <v>45536</v>
      </c>
      <c r="E110" s="9">
        <v>117590</v>
      </c>
      <c r="F110" s="2" t="str">
        <f>INDEX(Vendors!E:E,MATCH(Vendor_Analysis!C110,Vendors!A:A,0))</f>
        <v xml:space="preserve">45 </v>
      </c>
      <c r="G110" s="2">
        <v>45</v>
      </c>
      <c r="H110" s="16">
        <f t="shared" si="1"/>
        <v>45581</v>
      </c>
      <c r="J110" s="2"/>
    </row>
    <row r="111" spans="1:10" x14ac:dyDescent="0.25">
      <c r="A111" s="8" t="s">
        <v>141</v>
      </c>
      <c r="B111" s="8" t="s">
        <v>112</v>
      </c>
      <c r="C111" s="8" t="s">
        <v>55</v>
      </c>
      <c r="D111" s="10">
        <v>45546</v>
      </c>
      <c r="E111" s="9">
        <v>231244</v>
      </c>
      <c r="F111" s="2" t="str">
        <f>INDEX(Vendors!E:E,MATCH(Vendor_Analysis!C111,Vendors!A:A,0))</f>
        <v xml:space="preserve">30 </v>
      </c>
      <c r="G111" s="2">
        <v>30</v>
      </c>
      <c r="H111" s="16">
        <f t="shared" si="1"/>
        <v>45576</v>
      </c>
      <c r="J111" s="2"/>
    </row>
    <row r="112" spans="1:10" x14ac:dyDescent="0.25">
      <c r="A112" s="8" t="s">
        <v>142</v>
      </c>
      <c r="B112" s="8" t="s">
        <v>112</v>
      </c>
      <c r="C112" s="8" t="s">
        <v>33</v>
      </c>
      <c r="D112" s="10">
        <v>45558</v>
      </c>
      <c r="E112" s="9">
        <v>286051</v>
      </c>
      <c r="F112" s="2" t="str">
        <f>INDEX(Vendors!E:E,MATCH(Vendor_Analysis!C112,Vendors!A:A,0))</f>
        <v xml:space="preserve">30 </v>
      </c>
      <c r="G112" s="2">
        <v>30</v>
      </c>
      <c r="H112" s="16">
        <f t="shared" si="1"/>
        <v>45588</v>
      </c>
      <c r="J112" s="2"/>
    </row>
    <row r="113" spans="1:10" x14ac:dyDescent="0.25">
      <c r="A113" s="8" t="s">
        <v>143</v>
      </c>
      <c r="B113" s="8" t="s">
        <v>112</v>
      </c>
      <c r="C113" s="8" t="s">
        <v>17</v>
      </c>
      <c r="D113" s="10">
        <v>45563</v>
      </c>
      <c r="E113" s="9">
        <v>110934</v>
      </c>
      <c r="F113" s="2" t="str">
        <f>INDEX(Vendors!E:E,MATCH(Vendor_Analysis!C113,Vendors!A:A,0))</f>
        <v xml:space="preserve">45 </v>
      </c>
      <c r="G113" s="2">
        <v>45</v>
      </c>
      <c r="H113" s="16">
        <f t="shared" si="1"/>
        <v>45608</v>
      </c>
      <c r="J113" s="2"/>
    </row>
    <row r="114" spans="1:10" x14ac:dyDescent="0.25">
      <c r="A114" s="8" t="s">
        <v>144</v>
      </c>
      <c r="B114" s="8" t="s">
        <v>112</v>
      </c>
      <c r="C114" s="8" t="s">
        <v>27</v>
      </c>
      <c r="D114" s="10">
        <v>45566</v>
      </c>
      <c r="E114" s="9">
        <v>237542</v>
      </c>
      <c r="F114" s="2" t="str">
        <f>INDEX(Vendors!E:E,MATCH(Vendor_Analysis!C114,Vendors!A:A,0))</f>
        <v xml:space="preserve">45 </v>
      </c>
      <c r="G114" s="2">
        <v>45</v>
      </c>
      <c r="H114" s="16">
        <f t="shared" si="1"/>
        <v>45611</v>
      </c>
      <c r="J114" s="2"/>
    </row>
    <row r="115" spans="1:10" x14ac:dyDescent="0.25">
      <c r="A115" s="8" t="s">
        <v>145</v>
      </c>
      <c r="B115" s="8" t="s">
        <v>112</v>
      </c>
      <c r="C115" s="8" t="s">
        <v>50</v>
      </c>
      <c r="D115" s="10">
        <v>45569</v>
      </c>
      <c r="E115" s="9">
        <v>727524</v>
      </c>
      <c r="F115" s="2" t="str">
        <f>INDEX(Vendors!E:E,MATCH(Vendor_Analysis!C115,Vendors!A:A,0))</f>
        <v xml:space="preserve"> 90</v>
      </c>
      <c r="G115" s="2">
        <v>90</v>
      </c>
      <c r="H115" s="16">
        <f t="shared" si="1"/>
        <v>45659</v>
      </c>
      <c r="J115" s="2"/>
    </row>
    <row r="116" spans="1:10" x14ac:dyDescent="0.25">
      <c r="A116" s="8" t="s">
        <v>146</v>
      </c>
      <c r="B116" s="8" t="s">
        <v>112</v>
      </c>
      <c r="C116" s="8" t="s">
        <v>55</v>
      </c>
      <c r="D116" s="10">
        <v>45574</v>
      </c>
      <c r="E116" s="9">
        <v>136791</v>
      </c>
      <c r="F116" s="2" t="str">
        <f>INDEX(Vendors!E:E,MATCH(Vendor_Analysis!C116,Vendors!A:A,0))</f>
        <v xml:space="preserve">30 </v>
      </c>
      <c r="G116" s="2">
        <v>30</v>
      </c>
      <c r="H116" s="16">
        <f t="shared" si="1"/>
        <v>45604</v>
      </c>
      <c r="J116" s="2"/>
    </row>
    <row r="117" spans="1:10" x14ac:dyDescent="0.25">
      <c r="A117" s="8" t="s">
        <v>147</v>
      </c>
      <c r="B117" s="8" t="s">
        <v>148</v>
      </c>
      <c r="C117" s="8" t="s">
        <v>14</v>
      </c>
      <c r="D117" s="10">
        <v>45237</v>
      </c>
      <c r="E117" s="9">
        <v>7351</v>
      </c>
      <c r="F117" s="2" t="str">
        <f>INDEX(Vendors!E:E,MATCH(Vendor_Analysis!C117,Vendors!A:A,0))</f>
        <v xml:space="preserve"> 90</v>
      </c>
      <c r="G117" s="2">
        <v>90</v>
      </c>
      <c r="H117" s="16">
        <f t="shared" si="1"/>
        <v>45327</v>
      </c>
      <c r="J117" s="2"/>
    </row>
    <row r="118" spans="1:10" x14ac:dyDescent="0.25">
      <c r="A118" s="8" t="s">
        <v>149</v>
      </c>
      <c r="B118" s="8" t="s">
        <v>148</v>
      </c>
      <c r="C118" s="8" t="s">
        <v>108</v>
      </c>
      <c r="D118" s="10">
        <v>45238</v>
      </c>
      <c r="E118" s="9">
        <v>11832</v>
      </c>
      <c r="F118" s="2" t="str">
        <f>INDEX(Vendors!E:E,MATCH(Vendor_Analysis!C118,Vendors!A:A,0))</f>
        <v xml:space="preserve"> 90</v>
      </c>
      <c r="G118" s="2">
        <v>90</v>
      </c>
      <c r="H118" s="16">
        <f t="shared" si="1"/>
        <v>45328</v>
      </c>
      <c r="J118" s="2"/>
    </row>
    <row r="119" spans="1:10" x14ac:dyDescent="0.25">
      <c r="A119" s="8" t="s">
        <v>150</v>
      </c>
      <c r="B119" s="8" t="s">
        <v>148</v>
      </c>
      <c r="C119" s="8" t="s">
        <v>6</v>
      </c>
      <c r="D119" s="10">
        <v>45252</v>
      </c>
      <c r="E119" s="9">
        <v>10807</v>
      </c>
      <c r="F119" s="2" t="str">
        <f>INDEX(Vendors!E:E,MATCH(Vendor_Analysis!C119,Vendors!A:A,0))</f>
        <v xml:space="preserve">60 </v>
      </c>
      <c r="G119" s="2">
        <v>60</v>
      </c>
      <c r="H119" s="16">
        <f t="shared" si="1"/>
        <v>45312</v>
      </c>
      <c r="J119" s="2"/>
    </row>
    <row r="120" spans="1:10" x14ac:dyDescent="0.25">
      <c r="A120" s="8" t="s">
        <v>151</v>
      </c>
      <c r="B120" s="8" t="s">
        <v>148</v>
      </c>
      <c r="C120" s="8" t="s">
        <v>73</v>
      </c>
      <c r="D120" s="10">
        <v>45259</v>
      </c>
      <c r="E120" s="9">
        <v>16714</v>
      </c>
      <c r="F120" s="2" t="str">
        <f>INDEX(Vendors!E:E,MATCH(Vendor_Analysis!C120,Vendors!A:A,0))</f>
        <v xml:space="preserve">60 </v>
      </c>
      <c r="G120" s="2">
        <v>60</v>
      </c>
      <c r="H120" s="16">
        <f t="shared" si="1"/>
        <v>45319</v>
      </c>
      <c r="J120" s="2"/>
    </row>
    <row r="121" spans="1:10" x14ac:dyDescent="0.25">
      <c r="A121" s="8" t="s">
        <v>152</v>
      </c>
      <c r="B121" s="8" t="s">
        <v>148</v>
      </c>
      <c r="C121" s="8" t="s">
        <v>21</v>
      </c>
      <c r="D121" s="10">
        <v>45261</v>
      </c>
      <c r="E121" s="9">
        <v>8958</v>
      </c>
      <c r="F121" s="2" t="str">
        <f>INDEX(Vendors!E:E,MATCH(Vendor_Analysis!C121,Vendors!A:A,0))</f>
        <v xml:space="preserve"> 90</v>
      </c>
      <c r="G121" s="2">
        <v>90</v>
      </c>
      <c r="H121" s="16">
        <f t="shared" si="1"/>
        <v>45351</v>
      </c>
      <c r="J121" s="2"/>
    </row>
    <row r="122" spans="1:10" x14ac:dyDescent="0.25">
      <c r="A122" s="8" t="s">
        <v>153</v>
      </c>
      <c r="B122" s="8" t="s">
        <v>148</v>
      </c>
      <c r="C122" s="8" t="s">
        <v>29</v>
      </c>
      <c r="D122" s="10">
        <v>45279</v>
      </c>
      <c r="E122" s="9">
        <v>10602</v>
      </c>
      <c r="F122" s="2" t="str">
        <f>INDEX(Vendors!E:E,MATCH(Vendor_Analysis!C122,Vendors!A:A,0))</f>
        <v xml:space="preserve">30 </v>
      </c>
      <c r="G122" s="2">
        <v>30</v>
      </c>
      <c r="H122" s="16">
        <f t="shared" si="1"/>
        <v>45309</v>
      </c>
      <c r="J122" s="2"/>
    </row>
    <row r="123" spans="1:10" x14ac:dyDescent="0.25">
      <c r="A123" s="8" t="s">
        <v>154</v>
      </c>
      <c r="B123" s="8" t="s">
        <v>148</v>
      </c>
      <c r="C123" s="8" t="s">
        <v>29</v>
      </c>
      <c r="D123" s="10">
        <v>45297</v>
      </c>
      <c r="E123" s="9">
        <v>4971</v>
      </c>
      <c r="F123" s="2" t="str">
        <f>INDEX(Vendors!E:E,MATCH(Vendor_Analysis!C123,Vendors!A:A,0))</f>
        <v xml:space="preserve">30 </v>
      </c>
      <c r="G123" s="2">
        <v>30</v>
      </c>
      <c r="H123" s="16">
        <f t="shared" si="1"/>
        <v>45327</v>
      </c>
      <c r="J123" s="2"/>
    </row>
    <row r="124" spans="1:10" x14ac:dyDescent="0.25">
      <c r="A124" s="8" t="s">
        <v>155</v>
      </c>
      <c r="B124" s="8" t="s">
        <v>148</v>
      </c>
      <c r="C124" s="8" t="s">
        <v>110</v>
      </c>
      <c r="D124" s="10">
        <v>45306</v>
      </c>
      <c r="E124" s="9">
        <v>9692</v>
      </c>
      <c r="F124" s="2" t="str">
        <f>INDEX(Vendors!E:E,MATCH(Vendor_Analysis!C124,Vendors!A:A,0))</f>
        <v xml:space="preserve">30 </v>
      </c>
      <c r="G124" s="2">
        <v>30</v>
      </c>
      <c r="H124" s="16">
        <f t="shared" si="1"/>
        <v>45336</v>
      </c>
      <c r="J124" s="2"/>
    </row>
    <row r="125" spans="1:10" x14ac:dyDescent="0.25">
      <c r="A125" s="8" t="s">
        <v>156</v>
      </c>
      <c r="B125" s="8" t="s">
        <v>148</v>
      </c>
      <c r="C125" s="8" t="s">
        <v>6</v>
      </c>
      <c r="D125" s="10">
        <v>45311</v>
      </c>
      <c r="E125" s="9">
        <v>8563</v>
      </c>
      <c r="F125" s="2" t="str">
        <f>INDEX(Vendors!E:E,MATCH(Vendor_Analysis!C125,Vendors!A:A,0))</f>
        <v xml:space="preserve">60 </v>
      </c>
      <c r="G125" s="2">
        <v>60</v>
      </c>
      <c r="H125" s="16">
        <f t="shared" si="1"/>
        <v>45371</v>
      </c>
      <c r="J125" s="2"/>
    </row>
    <row r="126" spans="1:10" x14ac:dyDescent="0.25">
      <c r="A126" s="8" t="s">
        <v>157</v>
      </c>
      <c r="B126" s="8" t="s">
        <v>148</v>
      </c>
      <c r="C126" s="8" t="s">
        <v>21</v>
      </c>
      <c r="D126" s="10">
        <v>45314</v>
      </c>
      <c r="E126" s="9">
        <v>5777</v>
      </c>
      <c r="F126" s="2" t="str">
        <f>INDEX(Vendors!E:E,MATCH(Vendor_Analysis!C126,Vendors!A:A,0))</f>
        <v xml:space="preserve"> 90</v>
      </c>
      <c r="G126" s="2">
        <v>90</v>
      </c>
      <c r="H126" s="16">
        <f t="shared" si="1"/>
        <v>45404</v>
      </c>
      <c r="J126" s="2"/>
    </row>
    <row r="127" spans="1:10" x14ac:dyDescent="0.25">
      <c r="A127" s="8" t="s">
        <v>158</v>
      </c>
      <c r="B127" s="8" t="s">
        <v>148</v>
      </c>
      <c r="C127" s="8" t="s">
        <v>23</v>
      </c>
      <c r="D127" s="10">
        <v>45341</v>
      </c>
      <c r="E127" s="9">
        <v>32724</v>
      </c>
      <c r="F127" s="2" t="str">
        <f>INDEX(Vendors!E:E,MATCH(Vendor_Analysis!C127,Vendors!A:A,0))</f>
        <v xml:space="preserve"> 90</v>
      </c>
      <c r="G127" s="2">
        <v>90</v>
      </c>
      <c r="H127" s="16">
        <f t="shared" si="1"/>
        <v>45431</v>
      </c>
      <c r="J127" s="2"/>
    </row>
    <row r="128" spans="1:10" x14ac:dyDescent="0.25">
      <c r="A128" s="8" t="s">
        <v>159</v>
      </c>
      <c r="B128" s="8" t="s">
        <v>148</v>
      </c>
      <c r="C128" s="8" t="s">
        <v>14</v>
      </c>
      <c r="D128" s="10">
        <v>45356</v>
      </c>
      <c r="E128" s="9">
        <v>10784</v>
      </c>
      <c r="F128" s="2" t="str">
        <f>INDEX(Vendors!E:E,MATCH(Vendor_Analysis!C128,Vendors!A:A,0))</f>
        <v xml:space="preserve"> 90</v>
      </c>
      <c r="G128" s="2">
        <v>90</v>
      </c>
      <c r="H128" s="16">
        <f t="shared" si="1"/>
        <v>45446</v>
      </c>
      <c r="J128" s="2"/>
    </row>
    <row r="129" spans="1:10" x14ac:dyDescent="0.25">
      <c r="A129" s="8" t="s">
        <v>160</v>
      </c>
      <c r="B129" s="8" t="s">
        <v>148</v>
      </c>
      <c r="C129" s="8" t="s">
        <v>19</v>
      </c>
      <c r="D129" s="10">
        <v>45388</v>
      </c>
      <c r="E129" s="9">
        <v>14813</v>
      </c>
      <c r="F129" s="2" t="str">
        <f>INDEX(Vendors!E:E,MATCH(Vendor_Analysis!C129,Vendors!A:A,0))</f>
        <v xml:space="preserve">45 </v>
      </c>
      <c r="G129" s="2">
        <v>45</v>
      </c>
      <c r="H129" s="16">
        <f t="shared" si="1"/>
        <v>45433</v>
      </c>
      <c r="J129" s="2"/>
    </row>
    <row r="130" spans="1:10" x14ac:dyDescent="0.25">
      <c r="A130" s="8" t="s">
        <v>161</v>
      </c>
      <c r="B130" s="8" t="s">
        <v>148</v>
      </c>
      <c r="C130" s="8" t="s">
        <v>19</v>
      </c>
      <c r="D130" s="10">
        <v>45394</v>
      </c>
      <c r="E130" s="9">
        <v>8929</v>
      </c>
      <c r="F130" s="2" t="str">
        <f>INDEX(Vendors!E:E,MATCH(Vendor_Analysis!C130,Vendors!A:A,0))</f>
        <v xml:space="preserve">45 </v>
      </c>
      <c r="G130" s="2">
        <v>45</v>
      </c>
      <c r="H130" s="16">
        <f t="shared" si="1"/>
        <v>45439</v>
      </c>
      <c r="J130" s="2"/>
    </row>
    <row r="131" spans="1:10" x14ac:dyDescent="0.25">
      <c r="A131" s="8" t="s">
        <v>162</v>
      </c>
      <c r="B131" s="8" t="s">
        <v>148</v>
      </c>
      <c r="C131" s="8" t="s">
        <v>73</v>
      </c>
      <c r="D131" s="10">
        <v>45435</v>
      </c>
      <c r="E131" s="9">
        <v>14603</v>
      </c>
      <c r="F131" s="2" t="str">
        <f>INDEX(Vendors!E:E,MATCH(Vendor_Analysis!C131,Vendors!A:A,0))</f>
        <v xml:space="preserve">60 </v>
      </c>
      <c r="G131" s="2">
        <v>60</v>
      </c>
      <c r="H131" s="16">
        <f t="shared" ref="H131:H194" si="2">D131+F131</f>
        <v>45495</v>
      </c>
      <c r="J131" s="2"/>
    </row>
    <row r="132" spans="1:10" x14ac:dyDescent="0.25">
      <c r="A132" s="8" t="s">
        <v>163</v>
      </c>
      <c r="B132" s="8" t="s">
        <v>148</v>
      </c>
      <c r="C132" s="8" t="s">
        <v>21</v>
      </c>
      <c r="D132" s="10">
        <v>45456</v>
      </c>
      <c r="E132" s="9">
        <v>11800</v>
      </c>
      <c r="F132" s="2" t="str">
        <f>INDEX(Vendors!E:E,MATCH(Vendor_Analysis!C132,Vendors!A:A,0))</f>
        <v xml:space="preserve"> 90</v>
      </c>
      <c r="G132" s="2">
        <v>90</v>
      </c>
      <c r="H132" s="16">
        <f t="shared" si="2"/>
        <v>45546</v>
      </c>
      <c r="J132" s="2"/>
    </row>
    <row r="133" spans="1:10" x14ac:dyDescent="0.25">
      <c r="A133" s="8" t="s">
        <v>164</v>
      </c>
      <c r="B133" s="8" t="s">
        <v>148</v>
      </c>
      <c r="C133" s="8" t="s">
        <v>109</v>
      </c>
      <c r="D133" s="10">
        <v>45457</v>
      </c>
      <c r="E133" s="9">
        <v>10365</v>
      </c>
      <c r="F133" s="2" t="str">
        <f>INDEX(Vendors!E:E,MATCH(Vendor_Analysis!C133,Vendors!A:A,0))</f>
        <v xml:space="preserve">30 </v>
      </c>
      <c r="G133" s="2">
        <v>30</v>
      </c>
      <c r="H133" s="16">
        <f t="shared" si="2"/>
        <v>45487</v>
      </c>
      <c r="J133" s="2"/>
    </row>
    <row r="134" spans="1:10" x14ac:dyDescent="0.25">
      <c r="A134" s="8" t="s">
        <v>165</v>
      </c>
      <c r="B134" s="8" t="s">
        <v>148</v>
      </c>
      <c r="C134" s="8" t="s">
        <v>12</v>
      </c>
      <c r="D134" s="10">
        <v>45468</v>
      </c>
      <c r="E134" s="9">
        <v>9551</v>
      </c>
      <c r="F134" s="2" t="str">
        <f>INDEX(Vendors!E:E,MATCH(Vendor_Analysis!C134,Vendors!A:A,0))</f>
        <v xml:space="preserve">30 </v>
      </c>
      <c r="G134" s="2">
        <v>30</v>
      </c>
      <c r="H134" s="16">
        <f t="shared" si="2"/>
        <v>45498</v>
      </c>
      <c r="J134" s="2"/>
    </row>
    <row r="135" spans="1:10" x14ac:dyDescent="0.25">
      <c r="A135" s="8" t="s">
        <v>166</v>
      </c>
      <c r="B135" s="8" t="s">
        <v>148</v>
      </c>
      <c r="C135" s="8" t="s">
        <v>37</v>
      </c>
      <c r="D135" s="10">
        <v>45472</v>
      </c>
      <c r="E135" s="9">
        <v>6016</v>
      </c>
      <c r="F135" s="2" t="str">
        <f>INDEX(Vendors!E:E,MATCH(Vendor_Analysis!C135,Vendors!A:A,0))</f>
        <v xml:space="preserve">30 </v>
      </c>
      <c r="G135" s="2">
        <v>30</v>
      </c>
      <c r="H135" s="16">
        <f t="shared" si="2"/>
        <v>45502</v>
      </c>
      <c r="J135" s="2"/>
    </row>
    <row r="136" spans="1:10" x14ac:dyDescent="0.25">
      <c r="A136" s="8" t="s">
        <v>167</v>
      </c>
      <c r="B136" s="8" t="s">
        <v>148</v>
      </c>
      <c r="C136" s="8" t="s">
        <v>44</v>
      </c>
      <c r="D136" s="10">
        <v>45476</v>
      </c>
      <c r="E136" s="9">
        <v>12430</v>
      </c>
      <c r="F136" s="2" t="str">
        <f>INDEX(Vendors!E:E,MATCH(Vendor_Analysis!C136,Vendors!A:A,0))</f>
        <v xml:space="preserve">45 </v>
      </c>
      <c r="G136" s="2">
        <v>45</v>
      </c>
      <c r="H136" s="16">
        <f t="shared" si="2"/>
        <v>45521</v>
      </c>
      <c r="J136" s="2"/>
    </row>
    <row r="137" spans="1:10" x14ac:dyDescent="0.25">
      <c r="A137" s="8" t="s">
        <v>168</v>
      </c>
      <c r="B137" s="8" t="s">
        <v>148</v>
      </c>
      <c r="C137" s="8" t="s">
        <v>17</v>
      </c>
      <c r="D137" s="10">
        <v>45481</v>
      </c>
      <c r="E137" s="9">
        <v>10888</v>
      </c>
      <c r="F137" s="2" t="str">
        <f>INDEX(Vendors!E:E,MATCH(Vendor_Analysis!C137,Vendors!A:A,0))</f>
        <v xml:space="preserve">45 </v>
      </c>
      <c r="G137" s="2">
        <v>45</v>
      </c>
      <c r="H137" s="16">
        <f t="shared" si="2"/>
        <v>45526</v>
      </c>
      <c r="J137" s="2"/>
    </row>
    <row r="138" spans="1:10" x14ac:dyDescent="0.25">
      <c r="A138" s="8" t="s">
        <v>169</v>
      </c>
      <c r="B138" s="8" t="s">
        <v>148</v>
      </c>
      <c r="C138" s="8" t="s">
        <v>25</v>
      </c>
      <c r="D138" s="10">
        <v>45485</v>
      </c>
      <c r="E138" s="9">
        <v>5821</v>
      </c>
      <c r="F138" s="2" t="str">
        <f>INDEX(Vendors!E:E,MATCH(Vendor_Analysis!C138,Vendors!A:A,0))</f>
        <v xml:space="preserve">30 </v>
      </c>
      <c r="G138" s="2">
        <v>30</v>
      </c>
      <c r="H138" s="16">
        <f t="shared" si="2"/>
        <v>45515</v>
      </c>
      <c r="J138" s="2"/>
    </row>
    <row r="139" spans="1:10" x14ac:dyDescent="0.25">
      <c r="A139" s="8" t="s">
        <v>170</v>
      </c>
      <c r="B139" s="8" t="s">
        <v>148</v>
      </c>
      <c r="C139" s="8" t="s">
        <v>21</v>
      </c>
      <c r="D139" s="10">
        <v>45511</v>
      </c>
      <c r="E139" s="9">
        <v>8906</v>
      </c>
      <c r="F139" s="2" t="str">
        <f>INDEX(Vendors!E:E,MATCH(Vendor_Analysis!C139,Vendors!A:A,0))</f>
        <v xml:space="preserve"> 90</v>
      </c>
      <c r="G139" s="2">
        <v>90</v>
      </c>
      <c r="H139" s="16">
        <f t="shared" si="2"/>
        <v>45601</v>
      </c>
      <c r="J139" s="2"/>
    </row>
    <row r="140" spans="1:10" x14ac:dyDescent="0.25">
      <c r="A140" s="8" t="s">
        <v>171</v>
      </c>
      <c r="B140" s="8" t="s">
        <v>148</v>
      </c>
      <c r="C140" s="8" t="s">
        <v>27</v>
      </c>
      <c r="D140" s="10">
        <v>45515</v>
      </c>
      <c r="E140" s="9">
        <v>5604</v>
      </c>
      <c r="F140" s="2" t="str">
        <f>INDEX(Vendors!E:E,MATCH(Vendor_Analysis!C140,Vendors!A:A,0))</f>
        <v xml:space="preserve">45 </v>
      </c>
      <c r="G140" s="2">
        <v>45</v>
      </c>
      <c r="H140" s="16">
        <f t="shared" si="2"/>
        <v>45560</v>
      </c>
      <c r="J140" s="2"/>
    </row>
    <row r="141" spans="1:10" x14ac:dyDescent="0.25">
      <c r="A141" s="8" t="s">
        <v>172</v>
      </c>
      <c r="B141" s="8" t="s">
        <v>148</v>
      </c>
      <c r="C141" s="8" t="s">
        <v>25</v>
      </c>
      <c r="D141" s="10">
        <v>45537</v>
      </c>
      <c r="E141" s="9">
        <v>5740</v>
      </c>
      <c r="F141" s="2" t="str">
        <f>INDEX(Vendors!E:E,MATCH(Vendor_Analysis!C141,Vendors!A:A,0))</f>
        <v xml:space="preserve">30 </v>
      </c>
      <c r="G141" s="2">
        <v>30</v>
      </c>
      <c r="H141" s="16">
        <f t="shared" si="2"/>
        <v>45567</v>
      </c>
      <c r="J141" s="2"/>
    </row>
    <row r="142" spans="1:10" x14ac:dyDescent="0.25">
      <c r="A142" s="8" t="s">
        <v>173</v>
      </c>
      <c r="B142" s="8" t="s">
        <v>148</v>
      </c>
      <c r="C142" s="8" t="s">
        <v>73</v>
      </c>
      <c r="D142" s="10">
        <v>45549</v>
      </c>
      <c r="E142" s="9">
        <v>10987</v>
      </c>
      <c r="F142" s="2" t="str">
        <f>INDEX(Vendors!E:E,MATCH(Vendor_Analysis!C142,Vendors!A:A,0))</f>
        <v xml:space="preserve">60 </v>
      </c>
      <c r="G142" s="2">
        <v>60</v>
      </c>
      <c r="H142" s="16">
        <f t="shared" si="2"/>
        <v>45609</v>
      </c>
      <c r="J142" s="2"/>
    </row>
    <row r="143" spans="1:10" x14ac:dyDescent="0.25">
      <c r="A143" s="8" t="s">
        <v>174</v>
      </c>
      <c r="B143" s="8" t="s">
        <v>148</v>
      </c>
      <c r="C143" s="8" t="s">
        <v>91</v>
      </c>
      <c r="D143" s="10">
        <v>45559</v>
      </c>
      <c r="E143" s="9">
        <v>13221</v>
      </c>
      <c r="F143" s="2" t="str">
        <f>INDEX(Vendors!E:E,MATCH(Vendor_Analysis!C143,Vendors!A:A,0))</f>
        <v xml:space="preserve">60 </v>
      </c>
      <c r="G143" s="2">
        <v>60</v>
      </c>
      <c r="H143" s="16">
        <f t="shared" si="2"/>
        <v>45619</v>
      </c>
      <c r="J143" s="2"/>
    </row>
    <row r="144" spans="1:10" x14ac:dyDescent="0.25">
      <c r="A144" s="8" t="s">
        <v>175</v>
      </c>
      <c r="B144" s="8" t="s">
        <v>148</v>
      </c>
      <c r="C144" s="8" t="s">
        <v>109</v>
      </c>
      <c r="D144" s="10">
        <v>45570</v>
      </c>
      <c r="E144" s="9">
        <v>9549</v>
      </c>
      <c r="F144" s="2" t="str">
        <f>INDEX(Vendors!E:E,MATCH(Vendor_Analysis!C144,Vendors!A:A,0))</f>
        <v xml:space="preserve">30 </v>
      </c>
      <c r="G144" s="2">
        <v>30</v>
      </c>
      <c r="H144" s="16">
        <f t="shared" si="2"/>
        <v>45600</v>
      </c>
      <c r="J144" s="2"/>
    </row>
    <row r="145" spans="1:10" x14ac:dyDescent="0.25">
      <c r="A145" s="8" t="s">
        <v>176</v>
      </c>
      <c r="B145" s="8" t="s">
        <v>148</v>
      </c>
      <c r="C145" s="8" t="s">
        <v>71</v>
      </c>
      <c r="D145" s="10">
        <v>45625</v>
      </c>
      <c r="E145" s="9">
        <v>10606</v>
      </c>
      <c r="F145" s="2" t="str">
        <f>INDEX(Vendors!E:E,MATCH(Vendor_Analysis!C145,Vendors!A:A,0))</f>
        <v xml:space="preserve">45 </v>
      </c>
      <c r="G145" s="2">
        <v>45</v>
      </c>
      <c r="H145" s="16">
        <f t="shared" si="2"/>
        <v>45670</v>
      </c>
      <c r="J145" s="2"/>
    </row>
    <row r="146" spans="1:10" x14ac:dyDescent="0.25">
      <c r="A146" s="8" t="s">
        <v>177</v>
      </c>
      <c r="B146" s="8" t="s">
        <v>148</v>
      </c>
      <c r="C146" s="8" t="s">
        <v>110</v>
      </c>
      <c r="D146" s="10">
        <v>45635</v>
      </c>
      <c r="E146" s="9">
        <v>9203</v>
      </c>
      <c r="F146" s="2" t="str">
        <f>INDEX(Vendors!E:E,MATCH(Vendor_Analysis!C146,Vendors!A:A,0))</f>
        <v xml:space="preserve">30 </v>
      </c>
      <c r="G146" s="2">
        <v>30</v>
      </c>
      <c r="H146" s="16">
        <f t="shared" si="2"/>
        <v>45665</v>
      </c>
      <c r="J146" s="2"/>
    </row>
    <row r="147" spans="1:10" x14ac:dyDescent="0.25">
      <c r="A147" s="8" t="s">
        <v>178</v>
      </c>
      <c r="B147" s="8" t="s">
        <v>148</v>
      </c>
      <c r="C147" s="8" t="s">
        <v>55</v>
      </c>
      <c r="D147" s="10">
        <v>45646</v>
      </c>
      <c r="E147" s="9">
        <v>10755</v>
      </c>
      <c r="F147" s="2" t="str">
        <f>INDEX(Vendors!E:E,MATCH(Vendor_Analysis!C147,Vendors!A:A,0))</f>
        <v xml:space="preserve">30 </v>
      </c>
      <c r="G147" s="2">
        <v>30</v>
      </c>
      <c r="H147" s="16">
        <f t="shared" si="2"/>
        <v>45676</v>
      </c>
      <c r="J147" s="2"/>
    </row>
    <row r="148" spans="1:10" x14ac:dyDescent="0.25">
      <c r="A148" s="8" t="s">
        <v>179</v>
      </c>
      <c r="B148" s="8" t="s">
        <v>148</v>
      </c>
      <c r="C148" s="8" t="s">
        <v>109</v>
      </c>
      <c r="D148" s="10">
        <v>45657</v>
      </c>
      <c r="E148" s="9">
        <v>10264</v>
      </c>
      <c r="F148" s="2" t="str">
        <f>INDEX(Vendors!E:E,MATCH(Vendor_Analysis!C148,Vendors!A:A,0))</f>
        <v xml:space="preserve">30 </v>
      </c>
      <c r="G148" s="2">
        <v>30</v>
      </c>
      <c r="H148" s="16">
        <f t="shared" si="2"/>
        <v>45687</v>
      </c>
      <c r="J148" s="2"/>
    </row>
    <row r="149" spans="1:10" x14ac:dyDescent="0.25">
      <c r="A149" s="8" t="s">
        <v>180</v>
      </c>
      <c r="B149" s="8" t="s">
        <v>148</v>
      </c>
      <c r="C149" s="8" t="s">
        <v>25</v>
      </c>
      <c r="D149" s="10">
        <v>45661</v>
      </c>
      <c r="E149" s="9">
        <v>10717</v>
      </c>
      <c r="F149" s="2" t="str">
        <f>INDEX(Vendors!E:E,MATCH(Vendor_Analysis!C149,Vendors!A:A,0))</f>
        <v xml:space="preserve">30 </v>
      </c>
      <c r="G149" s="2">
        <v>30</v>
      </c>
      <c r="H149" s="16">
        <f t="shared" si="2"/>
        <v>45691</v>
      </c>
      <c r="J149" s="2"/>
    </row>
    <row r="150" spans="1:10" x14ac:dyDescent="0.25">
      <c r="A150" s="8" t="s">
        <v>181</v>
      </c>
      <c r="B150" s="8" t="s">
        <v>148</v>
      </c>
      <c r="C150" s="8" t="s">
        <v>25</v>
      </c>
      <c r="D150" s="10">
        <v>45662</v>
      </c>
      <c r="E150" s="9">
        <v>11308</v>
      </c>
      <c r="F150" s="2" t="str">
        <f>INDEX(Vendors!E:E,MATCH(Vendor_Analysis!C150,Vendors!A:A,0))</f>
        <v xml:space="preserve">30 </v>
      </c>
      <c r="G150" s="2">
        <v>30</v>
      </c>
      <c r="H150" s="16">
        <f t="shared" si="2"/>
        <v>45692</v>
      </c>
      <c r="J150" s="2"/>
    </row>
    <row r="151" spans="1:10" x14ac:dyDescent="0.25">
      <c r="A151" s="8" t="s">
        <v>182</v>
      </c>
      <c r="B151" s="8" t="s">
        <v>148</v>
      </c>
      <c r="C151" s="8" t="s">
        <v>19</v>
      </c>
      <c r="D151" s="10">
        <v>45670</v>
      </c>
      <c r="E151" s="9">
        <v>12207</v>
      </c>
      <c r="F151" s="2" t="str">
        <f>INDEX(Vendors!E:E,MATCH(Vendor_Analysis!C151,Vendors!A:A,0))</f>
        <v xml:space="preserve">45 </v>
      </c>
      <c r="G151" s="2">
        <v>45</v>
      </c>
      <c r="H151" s="16">
        <f t="shared" si="2"/>
        <v>45715</v>
      </c>
      <c r="J151" s="2"/>
    </row>
    <row r="152" spans="1:10" x14ac:dyDescent="0.25">
      <c r="A152" s="8" t="s">
        <v>183</v>
      </c>
      <c r="B152" s="8" t="s">
        <v>148</v>
      </c>
      <c r="C152" s="8" t="s">
        <v>44</v>
      </c>
      <c r="D152" s="10">
        <v>45685</v>
      </c>
      <c r="E152" s="9">
        <v>6492</v>
      </c>
      <c r="F152" s="2" t="str">
        <f>INDEX(Vendors!E:E,MATCH(Vendor_Analysis!C152,Vendors!A:A,0))</f>
        <v xml:space="preserve">45 </v>
      </c>
      <c r="G152" s="2">
        <v>45</v>
      </c>
      <c r="H152" s="16">
        <f t="shared" si="2"/>
        <v>45730</v>
      </c>
      <c r="J152" s="2"/>
    </row>
    <row r="153" spans="1:10" x14ac:dyDescent="0.25">
      <c r="A153" s="8" t="s">
        <v>184</v>
      </c>
      <c r="B153" s="8" t="s">
        <v>148</v>
      </c>
      <c r="C153" s="8" t="s">
        <v>35</v>
      </c>
      <c r="D153" s="10">
        <v>45704</v>
      </c>
      <c r="E153" s="9">
        <v>10179</v>
      </c>
      <c r="F153" s="2" t="str">
        <f>INDEX(Vendors!E:E,MATCH(Vendor_Analysis!C153,Vendors!A:A,0))</f>
        <v xml:space="preserve">60 </v>
      </c>
      <c r="G153" s="2">
        <v>60</v>
      </c>
      <c r="H153" s="16">
        <f t="shared" si="2"/>
        <v>45764</v>
      </c>
      <c r="J153" s="2"/>
    </row>
    <row r="154" spans="1:10" x14ac:dyDescent="0.25">
      <c r="A154" s="8" t="s">
        <v>185</v>
      </c>
      <c r="B154" s="8" t="s">
        <v>148</v>
      </c>
      <c r="C154" s="8" t="s">
        <v>73</v>
      </c>
      <c r="D154" s="10">
        <v>45707</v>
      </c>
      <c r="E154" s="9">
        <v>10171</v>
      </c>
      <c r="F154" s="2" t="str">
        <f>INDEX(Vendors!E:E,MATCH(Vendor_Analysis!C154,Vendors!A:A,0))</f>
        <v xml:space="preserve">60 </v>
      </c>
      <c r="G154" s="2">
        <v>60</v>
      </c>
      <c r="H154" s="16">
        <f t="shared" si="2"/>
        <v>45767</v>
      </c>
      <c r="J154" s="2"/>
    </row>
    <row r="155" spans="1:10" x14ac:dyDescent="0.25">
      <c r="A155" s="8" t="s">
        <v>186</v>
      </c>
      <c r="B155" s="8" t="s">
        <v>148</v>
      </c>
      <c r="C155" s="8" t="s">
        <v>25</v>
      </c>
      <c r="D155" s="10">
        <v>45710</v>
      </c>
      <c r="E155" s="9">
        <v>11079</v>
      </c>
      <c r="F155" s="2" t="str">
        <f>INDEX(Vendors!E:E,MATCH(Vendor_Analysis!C155,Vendors!A:A,0))</f>
        <v xml:space="preserve">30 </v>
      </c>
      <c r="G155" s="2">
        <v>30</v>
      </c>
      <c r="H155" s="16">
        <f t="shared" si="2"/>
        <v>45740</v>
      </c>
      <c r="J155" s="2"/>
    </row>
    <row r="156" spans="1:10" x14ac:dyDescent="0.25">
      <c r="A156" s="8" t="s">
        <v>187</v>
      </c>
      <c r="B156" s="8" t="s">
        <v>148</v>
      </c>
      <c r="C156" s="8" t="s">
        <v>108</v>
      </c>
      <c r="D156" s="10">
        <v>45718</v>
      </c>
      <c r="E156" s="9">
        <v>12437</v>
      </c>
      <c r="F156" s="2" t="str">
        <f>INDEX(Vendors!E:E,MATCH(Vendor_Analysis!C156,Vendors!A:A,0))</f>
        <v xml:space="preserve"> 90</v>
      </c>
      <c r="G156" s="2">
        <v>90</v>
      </c>
      <c r="H156" s="16">
        <f t="shared" si="2"/>
        <v>45808</v>
      </c>
      <c r="J156" s="2"/>
    </row>
    <row r="157" spans="1:10" x14ac:dyDescent="0.25">
      <c r="A157" s="8" t="s">
        <v>188</v>
      </c>
      <c r="B157" s="8" t="s">
        <v>148</v>
      </c>
      <c r="C157" s="8" t="s">
        <v>12</v>
      </c>
      <c r="D157" s="10">
        <v>45718</v>
      </c>
      <c r="E157" s="9">
        <v>9232</v>
      </c>
      <c r="F157" s="2" t="str">
        <f>INDEX(Vendors!E:E,MATCH(Vendor_Analysis!C157,Vendors!A:A,0))</f>
        <v xml:space="preserve">30 </v>
      </c>
      <c r="G157" s="2">
        <v>30</v>
      </c>
      <c r="H157" s="16">
        <f t="shared" si="2"/>
        <v>45748</v>
      </c>
      <c r="J157" s="2"/>
    </row>
    <row r="158" spans="1:10" x14ac:dyDescent="0.25">
      <c r="A158" s="8" t="s">
        <v>189</v>
      </c>
      <c r="B158" s="8" t="s">
        <v>148</v>
      </c>
      <c r="C158" s="8" t="s">
        <v>37</v>
      </c>
      <c r="D158" s="10">
        <v>45748</v>
      </c>
      <c r="E158" s="9">
        <v>8190</v>
      </c>
      <c r="F158" s="2" t="str">
        <f>INDEX(Vendors!E:E,MATCH(Vendor_Analysis!C158,Vendors!A:A,0))</f>
        <v xml:space="preserve">30 </v>
      </c>
      <c r="G158" s="2">
        <v>30</v>
      </c>
      <c r="H158" s="16">
        <f t="shared" si="2"/>
        <v>45778</v>
      </c>
      <c r="J158" s="2"/>
    </row>
    <row r="159" spans="1:10" x14ac:dyDescent="0.25">
      <c r="A159" s="8" t="s">
        <v>190</v>
      </c>
      <c r="B159" s="8" t="s">
        <v>148</v>
      </c>
      <c r="C159" s="8" t="s">
        <v>109</v>
      </c>
      <c r="D159" s="10">
        <v>45762</v>
      </c>
      <c r="E159" s="9">
        <v>6558</v>
      </c>
      <c r="F159" s="2" t="str">
        <f>INDEX(Vendors!E:E,MATCH(Vendor_Analysis!C159,Vendors!A:A,0))</f>
        <v xml:space="preserve">30 </v>
      </c>
      <c r="G159" s="2">
        <v>30</v>
      </c>
      <c r="H159" s="16">
        <f t="shared" si="2"/>
        <v>45792</v>
      </c>
      <c r="J159" s="2"/>
    </row>
    <row r="160" spans="1:10" x14ac:dyDescent="0.25">
      <c r="A160" s="8" t="s">
        <v>191</v>
      </c>
      <c r="B160" s="8" t="s">
        <v>148</v>
      </c>
      <c r="C160" s="8" t="s">
        <v>23</v>
      </c>
      <c r="D160" s="10">
        <v>45765</v>
      </c>
      <c r="E160" s="9">
        <v>5826</v>
      </c>
      <c r="F160" s="2" t="str">
        <f>INDEX(Vendors!E:E,MATCH(Vendor_Analysis!C160,Vendors!A:A,0))</f>
        <v xml:space="preserve"> 90</v>
      </c>
      <c r="G160" s="2">
        <v>90</v>
      </c>
      <c r="H160" s="16">
        <f t="shared" si="2"/>
        <v>45855</v>
      </c>
      <c r="J160" s="2"/>
    </row>
    <row r="161" spans="1:10" x14ac:dyDescent="0.25">
      <c r="A161" s="8" t="s">
        <v>192</v>
      </c>
      <c r="B161" s="8" t="s">
        <v>148</v>
      </c>
      <c r="C161" s="8" t="s">
        <v>8</v>
      </c>
      <c r="D161" s="10">
        <v>45778</v>
      </c>
      <c r="E161" s="9">
        <v>7422</v>
      </c>
      <c r="F161" s="2" t="str">
        <f>INDEX(Vendors!E:E,MATCH(Vendor_Analysis!C161,Vendors!A:A,0))</f>
        <v xml:space="preserve">60 </v>
      </c>
      <c r="G161" s="2">
        <v>60</v>
      </c>
      <c r="H161" s="16">
        <f t="shared" si="2"/>
        <v>45838</v>
      </c>
      <c r="J161" s="2"/>
    </row>
    <row r="162" spans="1:10" x14ac:dyDescent="0.25">
      <c r="A162" s="8" t="s">
        <v>193</v>
      </c>
      <c r="B162" s="8" t="s">
        <v>148</v>
      </c>
      <c r="C162" s="8" t="s">
        <v>110</v>
      </c>
      <c r="D162" s="10">
        <v>45791</v>
      </c>
      <c r="E162" s="9">
        <v>6020</v>
      </c>
      <c r="F162" s="2" t="str">
        <f>INDEX(Vendors!E:E,MATCH(Vendor_Analysis!C162,Vendors!A:A,0))</f>
        <v xml:space="preserve">30 </v>
      </c>
      <c r="G162" s="2">
        <v>30</v>
      </c>
      <c r="H162" s="16">
        <f t="shared" si="2"/>
        <v>45821</v>
      </c>
      <c r="J162" s="2"/>
    </row>
    <row r="163" spans="1:10" x14ac:dyDescent="0.25">
      <c r="A163" s="8" t="s">
        <v>194</v>
      </c>
      <c r="B163" s="8" t="s">
        <v>148</v>
      </c>
      <c r="C163" s="8" t="s">
        <v>10</v>
      </c>
      <c r="D163" s="10">
        <v>45793</v>
      </c>
      <c r="E163" s="9">
        <v>8384</v>
      </c>
      <c r="F163" s="2" t="str">
        <f>INDEX(Vendors!E:E,MATCH(Vendor_Analysis!C163,Vendors!A:A,0))</f>
        <v xml:space="preserve">60 </v>
      </c>
      <c r="G163" s="2">
        <v>60</v>
      </c>
      <c r="H163" s="16">
        <f t="shared" si="2"/>
        <v>45853</v>
      </c>
      <c r="J163" s="2"/>
    </row>
    <row r="164" spans="1:10" x14ac:dyDescent="0.25">
      <c r="A164" s="8" t="s">
        <v>195</v>
      </c>
      <c r="B164" s="8" t="s">
        <v>148</v>
      </c>
      <c r="C164" s="8" t="s">
        <v>50</v>
      </c>
      <c r="D164" s="10">
        <v>45802</v>
      </c>
      <c r="E164" s="9">
        <v>11789</v>
      </c>
      <c r="F164" s="2" t="str">
        <f>INDEX(Vendors!E:E,MATCH(Vendor_Analysis!C164,Vendors!A:A,0))</f>
        <v xml:space="preserve"> 90</v>
      </c>
      <c r="G164" s="2">
        <v>90</v>
      </c>
      <c r="H164" s="16">
        <f t="shared" si="2"/>
        <v>45892</v>
      </c>
      <c r="J164" s="2"/>
    </row>
    <row r="165" spans="1:10" x14ac:dyDescent="0.25">
      <c r="A165" s="8" t="s">
        <v>196</v>
      </c>
      <c r="B165" s="8" t="s">
        <v>148</v>
      </c>
      <c r="C165" s="8" t="s">
        <v>50</v>
      </c>
      <c r="D165" s="10">
        <v>45804</v>
      </c>
      <c r="E165" s="9">
        <v>15263</v>
      </c>
      <c r="F165" s="2" t="str">
        <f>INDEX(Vendors!E:E,MATCH(Vendor_Analysis!C165,Vendors!A:A,0))</f>
        <v xml:space="preserve"> 90</v>
      </c>
      <c r="G165" s="2">
        <v>90</v>
      </c>
      <c r="H165" s="16">
        <f t="shared" si="2"/>
        <v>45894</v>
      </c>
      <c r="J165" s="2"/>
    </row>
    <row r="166" spans="1:10" x14ac:dyDescent="0.25">
      <c r="A166" s="8" t="s">
        <v>197</v>
      </c>
      <c r="B166" s="8" t="s">
        <v>148</v>
      </c>
      <c r="C166" s="8" t="s">
        <v>91</v>
      </c>
      <c r="D166" s="10">
        <v>45821</v>
      </c>
      <c r="E166" s="9">
        <v>10433</v>
      </c>
      <c r="F166" s="2" t="str">
        <f>INDEX(Vendors!E:E,MATCH(Vendor_Analysis!C166,Vendors!A:A,0))</f>
        <v xml:space="preserve">60 </v>
      </c>
      <c r="G166" s="2">
        <v>60</v>
      </c>
      <c r="H166" s="16">
        <f t="shared" si="2"/>
        <v>45881</v>
      </c>
      <c r="J166" s="2"/>
    </row>
    <row r="167" spans="1:10" x14ac:dyDescent="0.25">
      <c r="A167" s="8" t="s">
        <v>198</v>
      </c>
      <c r="B167" s="8" t="s">
        <v>148</v>
      </c>
      <c r="C167" s="8" t="s">
        <v>21</v>
      </c>
      <c r="D167" s="10">
        <v>45821</v>
      </c>
      <c r="E167" s="9">
        <v>9003</v>
      </c>
      <c r="F167" s="2" t="str">
        <f>INDEX(Vendors!E:E,MATCH(Vendor_Analysis!C167,Vendors!A:A,0))</f>
        <v xml:space="preserve"> 90</v>
      </c>
      <c r="G167" s="2">
        <v>90</v>
      </c>
      <c r="H167" s="16">
        <f t="shared" si="2"/>
        <v>45911</v>
      </c>
      <c r="J167" s="2"/>
    </row>
    <row r="168" spans="1:10" x14ac:dyDescent="0.25">
      <c r="A168" s="8" t="s">
        <v>199</v>
      </c>
      <c r="B168" s="8" t="s">
        <v>148</v>
      </c>
      <c r="C168" s="8" t="s">
        <v>23</v>
      </c>
      <c r="D168" s="10">
        <v>45830</v>
      </c>
      <c r="E168" s="9">
        <v>4572</v>
      </c>
      <c r="F168" s="2" t="str">
        <f>INDEX(Vendors!E:E,MATCH(Vendor_Analysis!C168,Vendors!A:A,0))</f>
        <v xml:space="preserve"> 90</v>
      </c>
      <c r="G168" s="2">
        <v>90</v>
      </c>
      <c r="H168" s="16">
        <f t="shared" si="2"/>
        <v>45920</v>
      </c>
      <c r="J168" s="2"/>
    </row>
    <row r="169" spans="1:10" x14ac:dyDescent="0.25">
      <c r="A169" s="8" t="s">
        <v>200</v>
      </c>
      <c r="B169" s="8" t="s">
        <v>201</v>
      </c>
      <c r="C169" s="8" t="s">
        <v>29</v>
      </c>
      <c r="D169" s="10">
        <v>45212</v>
      </c>
      <c r="E169" s="9">
        <v>253420</v>
      </c>
      <c r="F169" s="2" t="str">
        <f>INDEX(Vendors!E:E,MATCH(Vendor_Analysis!C169,Vendors!A:A,0))</f>
        <v xml:space="preserve">30 </v>
      </c>
      <c r="G169" s="2">
        <v>30</v>
      </c>
      <c r="H169" s="16">
        <f t="shared" si="2"/>
        <v>45242</v>
      </c>
      <c r="J169" s="2"/>
    </row>
    <row r="170" spans="1:10" x14ac:dyDescent="0.25">
      <c r="A170" s="8" t="s">
        <v>202</v>
      </c>
      <c r="B170" s="8" t="s">
        <v>201</v>
      </c>
      <c r="C170" s="8" t="s">
        <v>48</v>
      </c>
      <c r="D170" s="10">
        <v>45233</v>
      </c>
      <c r="E170" s="9">
        <v>171221</v>
      </c>
      <c r="F170" s="2" t="str">
        <f>INDEX(Vendors!E:E,MATCH(Vendor_Analysis!C170,Vendors!A:A,0))</f>
        <v xml:space="preserve"> 90</v>
      </c>
      <c r="G170" s="2">
        <v>90</v>
      </c>
      <c r="H170" s="16">
        <f t="shared" si="2"/>
        <v>45323</v>
      </c>
      <c r="J170" s="2"/>
    </row>
    <row r="171" spans="1:10" x14ac:dyDescent="0.25">
      <c r="A171" s="8" t="s">
        <v>203</v>
      </c>
      <c r="B171" s="8" t="s">
        <v>201</v>
      </c>
      <c r="C171" s="8" t="s">
        <v>35</v>
      </c>
      <c r="D171" s="10">
        <v>45234</v>
      </c>
      <c r="E171" s="9">
        <v>125293</v>
      </c>
      <c r="F171" s="2" t="str">
        <f>INDEX(Vendors!E:E,MATCH(Vendor_Analysis!C171,Vendors!A:A,0))</f>
        <v xml:space="preserve">60 </v>
      </c>
      <c r="G171" s="2">
        <v>60</v>
      </c>
      <c r="H171" s="16">
        <f t="shared" si="2"/>
        <v>45294</v>
      </c>
      <c r="J171" s="2"/>
    </row>
    <row r="172" spans="1:10" x14ac:dyDescent="0.25">
      <c r="A172" s="8" t="s">
        <v>204</v>
      </c>
      <c r="B172" s="8" t="s">
        <v>201</v>
      </c>
      <c r="C172" s="8" t="s">
        <v>35</v>
      </c>
      <c r="D172" s="10">
        <v>45245</v>
      </c>
      <c r="E172" s="9">
        <v>159629</v>
      </c>
      <c r="F172" s="2" t="str">
        <f>INDEX(Vendors!E:E,MATCH(Vendor_Analysis!C172,Vendors!A:A,0))</f>
        <v xml:space="preserve">60 </v>
      </c>
      <c r="G172" s="2">
        <v>60</v>
      </c>
      <c r="H172" s="16">
        <f t="shared" si="2"/>
        <v>45305</v>
      </c>
      <c r="J172" s="2"/>
    </row>
    <row r="173" spans="1:10" x14ac:dyDescent="0.25">
      <c r="A173" s="8" t="s">
        <v>205</v>
      </c>
      <c r="B173" s="8" t="s">
        <v>201</v>
      </c>
      <c r="C173" s="8" t="s">
        <v>23</v>
      </c>
      <c r="D173" s="10">
        <v>45262</v>
      </c>
      <c r="E173" s="9">
        <v>559874</v>
      </c>
      <c r="F173" s="2" t="str">
        <f>INDEX(Vendors!E:E,MATCH(Vendor_Analysis!C173,Vendors!A:A,0))</f>
        <v xml:space="preserve"> 90</v>
      </c>
      <c r="G173" s="2">
        <v>90</v>
      </c>
      <c r="H173" s="16">
        <f t="shared" si="2"/>
        <v>45352</v>
      </c>
      <c r="J173" s="2"/>
    </row>
    <row r="174" spans="1:10" x14ac:dyDescent="0.25">
      <c r="A174" s="8" t="s">
        <v>206</v>
      </c>
      <c r="B174" s="8" t="s">
        <v>201</v>
      </c>
      <c r="C174" s="8" t="s">
        <v>71</v>
      </c>
      <c r="D174" s="10">
        <v>45262</v>
      </c>
      <c r="E174" s="9">
        <v>177637</v>
      </c>
      <c r="F174" s="2" t="str">
        <f>INDEX(Vendors!E:E,MATCH(Vendor_Analysis!C174,Vendors!A:A,0))</f>
        <v xml:space="preserve">45 </v>
      </c>
      <c r="G174" s="2">
        <v>45</v>
      </c>
      <c r="H174" s="16">
        <f t="shared" si="2"/>
        <v>45307</v>
      </c>
      <c r="J174" s="2"/>
    </row>
    <row r="175" spans="1:10" x14ac:dyDescent="0.25">
      <c r="A175" s="8" t="s">
        <v>207</v>
      </c>
      <c r="B175" s="8" t="s">
        <v>201</v>
      </c>
      <c r="C175" s="8" t="s">
        <v>14</v>
      </c>
      <c r="D175" s="10">
        <v>45275</v>
      </c>
      <c r="E175" s="9">
        <v>204414</v>
      </c>
      <c r="F175" s="2" t="str">
        <f>INDEX(Vendors!E:E,MATCH(Vendor_Analysis!C175,Vendors!A:A,0))</f>
        <v xml:space="preserve"> 90</v>
      </c>
      <c r="G175" s="2">
        <v>90</v>
      </c>
      <c r="H175" s="16">
        <f t="shared" si="2"/>
        <v>45365</v>
      </c>
      <c r="J175" s="2"/>
    </row>
    <row r="176" spans="1:10" x14ac:dyDescent="0.25">
      <c r="A176" s="8" t="s">
        <v>208</v>
      </c>
      <c r="B176" s="8" t="s">
        <v>201</v>
      </c>
      <c r="C176" s="8" t="s">
        <v>91</v>
      </c>
      <c r="D176" s="10">
        <v>45280</v>
      </c>
      <c r="E176" s="9">
        <v>155220</v>
      </c>
      <c r="F176" s="2" t="str">
        <f>INDEX(Vendors!E:E,MATCH(Vendor_Analysis!C176,Vendors!A:A,0))</f>
        <v xml:space="preserve">60 </v>
      </c>
      <c r="G176" s="2">
        <v>60</v>
      </c>
      <c r="H176" s="16">
        <f t="shared" si="2"/>
        <v>45340</v>
      </c>
      <c r="J176" s="2"/>
    </row>
    <row r="177" spans="1:10" x14ac:dyDescent="0.25">
      <c r="A177" s="8" t="s">
        <v>209</v>
      </c>
      <c r="B177" s="8" t="s">
        <v>201</v>
      </c>
      <c r="C177" s="8" t="s">
        <v>71</v>
      </c>
      <c r="D177" s="10">
        <v>45300</v>
      </c>
      <c r="E177" s="9">
        <v>110240</v>
      </c>
      <c r="F177" s="2" t="str">
        <f>INDEX(Vendors!E:E,MATCH(Vendor_Analysis!C177,Vendors!A:A,0))</f>
        <v xml:space="preserve">45 </v>
      </c>
      <c r="G177" s="2">
        <v>45</v>
      </c>
      <c r="H177" s="16">
        <f t="shared" si="2"/>
        <v>45345</v>
      </c>
      <c r="J177" s="2"/>
    </row>
    <row r="178" spans="1:10" x14ac:dyDescent="0.25">
      <c r="A178" s="8" t="s">
        <v>210</v>
      </c>
      <c r="B178" s="8" t="s">
        <v>201</v>
      </c>
      <c r="C178" s="8" t="s">
        <v>19</v>
      </c>
      <c r="D178" s="10">
        <v>45302</v>
      </c>
      <c r="E178" s="9">
        <v>293448</v>
      </c>
      <c r="F178" s="2" t="str">
        <f>INDEX(Vendors!E:E,MATCH(Vendor_Analysis!C178,Vendors!A:A,0))</f>
        <v xml:space="preserve">45 </v>
      </c>
      <c r="G178" s="2">
        <v>45</v>
      </c>
      <c r="H178" s="16">
        <f t="shared" si="2"/>
        <v>45347</v>
      </c>
      <c r="J178" s="2"/>
    </row>
    <row r="179" spans="1:10" x14ac:dyDescent="0.25">
      <c r="A179" s="8" t="s">
        <v>211</v>
      </c>
      <c r="B179" s="8" t="s">
        <v>201</v>
      </c>
      <c r="C179" s="8" t="s">
        <v>21</v>
      </c>
      <c r="D179" s="10">
        <v>45309</v>
      </c>
      <c r="E179" s="9">
        <v>243984</v>
      </c>
      <c r="F179" s="2" t="str">
        <f>INDEX(Vendors!E:E,MATCH(Vendor_Analysis!C179,Vendors!A:A,0))</f>
        <v xml:space="preserve"> 90</v>
      </c>
      <c r="G179" s="2">
        <v>90</v>
      </c>
      <c r="H179" s="16">
        <f t="shared" si="2"/>
        <v>45399</v>
      </c>
      <c r="J179" s="2"/>
    </row>
    <row r="180" spans="1:10" x14ac:dyDescent="0.25">
      <c r="A180" s="8" t="s">
        <v>212</v>
      </c>
      <c r="B180" s="8" t="s">
        <v>201</v>
      </c>
      <c r="C180" s="8" t="s">
        <v>44</v>
      </c>
      <c r="D180" s="10">
        <v>45309</v>
      </c>
      <c r="E180" s="9">
        <v>180971</v>
      </c>
      <c r="F180" s="2" t="str">
        <f>INDEX(Vendors!E:E,MATCH(Vendor_Analysis!C180,Vendors!A:A,0))</f>
        <v xml:space="preserve">45 </v>
      </c>
      <c r="G180" s="2">
        <v>45</v>
      </c>
      <c r="H180" s="16">
        <f t="shared" si="2"/>
        <v>45354</v>
      </c>
      <c r="J180" s="2"/>
    </row>
    <row r="181" spans="1:10" x14ac:dyDescent="0.25">
      <c r="A181" s="8" t="s">
        <v>213</v>
      </c>
      <c r="B181" s="8" t="s">
        <v>201</v>
      </c>
      <c r="C181" s="8" t="s">
        <v>71</v>
      </c>
      <c r="D181" s="10">
        <v>45315</v>
      </c>
      <c r="E181" s="9">
        <v>136186</v>
      </c>
      <c r="F181" s="2" t="str">
        <f>INDEX(Vendors!E:E,MATCH(Vendor_Analysis!C181,Vendors!A:A,0))</f>
        <v xml:space="preserve">45 </v>
      </c>
      <c r="G181" s="2">
        <v>45</v>
      </c>
      <c r="H181" s="16">
        <f t="shared" si="2"/>
        <v>45360</v>
      </c>
      <c r="J181" s="2"/>
    </row>
    <row r="182" spans="1:10" x14ac:dyDescent="0.25">
      <c r="A182" s="8" t="s">
        <v>214</v>
      </c>
      <c r="B182" s="8" t="s">
        <v>201</v>
      </c>
      <c r="C182" s="8" t="s">
        <v>110</v>
      </c>
      <c r="D182" s="10">
        <v>45359</v>
      </c>
      <c r="E182" s="9">
        <v>292804</v>
      </c>
      <c r="F182" s="2" t="str">
        <f>INDEX(Vendors!E:E,MATCH(Vendor_Analysis!C182,Vendors!A:A,0))</f>
        <v xml:space="preserve">30 </v>
      </c>
      <c r="G182" s="2">
        <v>30</v>
      </c>
      <c r="H182" s="16">
        <f t="shared" si="2"/>
        <v>45389</v>
      </c>
      <c r="J182" s="2"/>
    </row>
    <row r="183" spans="1:10" x14ac:dyDescent="0.25">
      <c r="A183" s="8" t="s">
        <v>215</v>
      </c>
      <c r="B183" s="8" t="s">
        <v>201</v>
      </c>
      <c r="C183" s="8" t="s">
        <v>73</v>
      </c>
      <c r="D183" s="10">
        <v>45363</v>
      </c>
      <c r="E183" s="9">
        <v>723079</v>
      </c>
      <c r="F183" s="2" t="str">
        <f>INDEX(Vendors!E:E,MATCH(Vendor_Analysis!C183,Vendors!A:A,0))</f>
        <v xml:space="preserve">60 </v>
      </c>
      <c r="G183" s="2">
        <v>60</v>
      </c>
      <c r="H183" s="16">
        <f t="shared" si="2"/>
        <v>45423</v>
      </c>
      <c r="J183" s="2"/>
    </row>
    <row r="184" spans="1:10" x14ac:dyDescent="0.25">
      <c r="A184" s="8" t="s">
        <v>216</v>
      </c>
      <c r="B184" s="8" t="s">
        <v>201</v>
      </c>
      <c r="C184" s="8" t="s">
        <v>19</v>
      </c>
      <c r="D184" s="10">
        <v>45378</v>
      </c>
      <c r="E184" s="9">
        <v>192070</v>
      </c>
      <c r="F184" s="2" t="str">
        <f>INDEX(Vendors!E:E,MATCH(Vendor_Analysis!C184,Vendors!A:A,0))</f>
        <v xml:space="preserve">45 </v>
      </c>
      <c r="G184" s="2">
        <v>45</v>
      </c>
      <c r="H184" s="16">
        <f t="shared" si="2"/>
        <v>45423</v>
      </c>
      <c r="J184" s="2"/>
    </row>
    <row r="185" spans="1:10" x14ac:dyDescent="0.25">
      <c r="A185" s="8" t="s">
        <v>217</v>
      </c>
      <c r="B185" s="8" t="s">
        <v>201</v>
      </c>
      <c r="C185" s="8" t="s">
        <v>29</v>
      </c>
      <c r="D185" s="10">
        <v>45395</v>
      </c>
      <c r="E185" s="9">
        <v>184231</v>
      </c>
      <c r="F185" s="2" t="str">
        <f>INDEX(Vendors!E:E,MATCH(Vendor_Analysis!C185,Vendors!A:A,0))</f>
        <v xml:space="preserve">30 </v>
      </c>
      <c r="G185" s="2">
        <v>30</v>
      </c>
      <c r="H185" s="16">
        <f t="shared" si="2"/>
        <v>45425</v>
      </c>
      <c r="J185" s="2"/>
    </row>
    <row r="186" spans="1:10" x14ac:dyDescent="0.25">
      <c r="A186" s="8" t="s">
        <v>218</v>
      </c>
      <c r="B186" s="8" t="s">
        <v>201</v>
      </c>
      <c r="C186" s="8" t="s">
        <v>29</v>
      </c>
      <c r="D186" s="10">
        <v>45408</v>
      </c>
      <c r="E186" s="9">
        <v>248400</v>
      </c>
      <c r="F186" s="2" t="str">
        <f>INDEX(Vendors!E:E,MATCH(Vendor_Analysis!C186,Vendors!A:A,0))</f>
        <v xml:space="preserve">30 </v>
      </c>
      <c r="G186" s="2">
        <v>30</v>
      </c>
      <c r="H186" s="16">
        <f t="shared" si="2"/>
        <v>45438</v>
      </c>
      <c r="J186" s="2"/>
    </row>
    <row r="187" spans="1:10" x14ac:dyDescent="0.25">
      <c r="A187" s="8" t="s">
        <v>219</v>
      </c>
      <c r="B187" s="8" t="s">
        <v>201</v>
      </c>
      <c r="C187" s="8" t="s">
        <v>12</v>
      </c>
      <c r="D187" s="10">
        <v>45415</v>
      </c>
      <c r="E187" s="9">
        <v>141286</v>
      </c>
      <c r="F187" s="2" t="str">
        <f>INDEX(Vendors!E:E,MATCH(Vendor_Analysis!C187,Vendors!A:A,0))</f>
        <v xml:space="preserve">30 </v>
      </c>
      <c r="G187" s="2">
        <v>30</v>
      </c>
      <c r="H187" s="16">
        <f t="shared" si="2"/>
        <v>45445</v>
      </c>
      <c r="J187" s="2"/>
    </row>
    <row r="188" spans="1:10" x14ac:dyDescent="0.25">
      <c r="A188" s="8" t="s">
        <v>220</v>
      </c>
      <c r="B188" s="8" t="s">
        <v>201</v>
      </c>
      <c r="C188" s="8" t="s">
        <v>6</v>
      </c>
      <c r="D188" s="10">
        <v>45436</v>
      </c>
      <c r="E188" s="9">
        <v>119990</v>
      </c>
      <c r="F188" s="2" t="str">
        <f>INDEX(Vendors!E:E,MATCH(Vendor_Analysis!C188,Vendors!A:A,0))</f>
        <v xml:space="preserve">60 </v>
      </c>
      <c r="G188" s="2">
        <v>60</v>
      </c>
      <c r="H188" s="16">
        <f t="shared" si="2"/>
        <v>45496</v>
      </c>
      <c r="J188" s="2"/>
    </row>
    <row r="189" spans="1:10" x14ac:dyDescent="0.25">
      <c r="A189" s="8" t="s">
        <v>221</v>
      </c>
      <c r="B189" s="8" t="s">
        <v>201</v>
      </c>
      <c r="C189" s="8" t="s">
        <v>14</v>
      </c>
      <c r="D189" s="10">
        <v>45440</v>
      </c>
      <c r="E189" s="9">
        <v>120809</v>
      </c>
      <c r="F189" s="2" t="str">
        <f>INDEX(Vendors!E:E,MATCH(Vendor_Analysis!C189,Vendors!A:A,0))</f>
        <v xml:space="preserve"> 90</v>
      </c>
      <c r="G189" s="2">
        <v>90</v>
      </c>
      <c r="H189" s="16">
        <f t="shared" si="2"/>
        <v>45530</v>
      </c>
      <c r="J189" s="2"/>
    </row>
    <row r="190" spans="1:10" x14ac:dyDescent="0.25">
      <c r="A190" s="8" t="s">
        <v>222</v>
      </c>
      <c r="B190" s="8" t="s">
        <v>201</v>
      </c>
      <c r="C190" s="8" t="s">
        <v>37</v>
      </c>
      <c r="D190" s="10">
        <v>45443</v>
      </c>
      <c r="E190" s="9">
        <v>250278</v>
      </c>
      <c r="F190" s="2" t="str">
        <f>INDEX(Vendors!E:E,MATCH(Vendor_Analysis!C190,Vendors!A:A,0))</f>
        <v xml:space="preserve">30 </v>
      </c>
      <c r="G190" s="2">
        <v>30</v>
      </c>
      <c r="H190" s="16">
        <f t="shared" si="2"/>
        <v>45473</v>
      </c>
      <c r="J190" s="2"/>
    </row>
    <row r="191" spans="1:10" x14ac:dyDescent="0.25">
      <c r="A191" s="8" t="s">
        <v>223</v>
      </c>
      <c r="B191" s="8" t="s">
        <v>201</v>
      </c>
      <c r="C191" s="8" t="s">
        <v>109</v>
      </c>
      <c r="D191" s="10">
        <v>45445</v>
      </c>
      <c r="E191" s="9">
        <v>142652</v>
      </c>
      <c r="F191" s="2" t="str">
        <f>INDEX(Vendors!E:E,MATCH(Vendor_Analysis!C191,Vendors!A:A,0))</f>
        <v xml:space="preserve">30 </v>
      </c>
      <c r="G191" s="2">
        <v>30</v>
      </c>
      <c r="H191" s="16">
        <f t="shared" si="2"/>
        <v>45475</v>
      </c>
      <c r="J191" s="2"/>
    </row>
    <row r="192" spans="1:10" x14ac:dyDescent="0.25">
      <c r="A192" s="8" t="s">
        <v>224</v>
      </c>
      <c r="B192" s="8" t="s">
        <v>201</v>
      </c>
      <c r="C192" s="8" t="s">
        <v>29</v>
      </c>
      <c r="D192" s="10">
        <v>45454</v>
      </c>
      <c r="E192" s="9">
        <v>220912</v>
      </c>
      <c r="F192" s="2" t="str">
        <f>INDEX(Vendors!E:E,MATCH(Vendor_Analysis!C192,Vendors!A:A,0))</f>
        <v xml:space="preserve">30 </v>
      </c>
      <c r="G192" s="2">
        <v>30</v>
      </c>
      <c r="H192" s="16">
        <f t="shared" si="2"/>
        <v>45484</v>
      </c>
      <c r="J192" s="2"/>
    </row>
    <row r="193" spans="1:10" x14ac:dyDescent="0.25">
      <c r="A193" s="8" t="s">
        <v>225</v>
      </c>
      <c r="B193" s="8" t="s">
        <v>201</v>
      </c>
      <c r="C193" s="8" t="s">
        <v>44</v>
      </c>
      <c r="D193" s="10">
        <v>45458</v>
      </c>
      <c r="E193" s="9">
        <v>199956</v>
      </c>
      <c r="F193" s="2" t="str">
        <f>INDEX(Vendors!E:E,MATCH(Vendor_Analysis!C193,Vendors!A:A,0))</f>
        <v xml:space="preserve">45 </v>
      </c>
      <c r="G193" s="2">
        <v>45</v>
      </c>
      <c r="H193" s="16">
        <f t="shared" si="2"/>
        <v>45503</v>
      </c>
      <c r="J193" s="2"/>
    </row>
    <row r="194" spans="1:10" x14ac:dyDescent="0.25">
      <c r="A194" s="8" t="s">
        <v>226</v>
      </c>
      <c r="B194" s="8" t="s">
        <v>201</v>
      </c>
      <c r="C194" s="8" t="s">
        <v>73</v>
      </c>
      <c r="D194" s="10">
        <v>45466</v>
      </c>
      <c r="E194" s="9">
        <v>153339</v>
      </c>
      <c r="F194" s="2" t="str">
        <f>INDEX(Vendors!E:E,MATCH(Vendor_Analysis!C194,Vendors!A:A,0))</f>
        <v xml:space="preserve">60 </v>
      </c>
      <c r="G194" s="2">
        <v>60</v>
      </c>
      <c r="H194" s="16">
        <f t="shared" si="2"/>
        <v>45526</v>
      </c>
      <c r="J194" s="2"/>
    </row>
    <row r="195" spans="1:10" x14ac:dyDescent="0.25">
      <c r="A195" s="8" t="s">
        <v>227</v>
      </c>
      <c r="B195" s="8" t="s">
        <v>201</v>
      </c>
      <c r="C195" s="8" t="s">
        <v>17</v>
      </c>
      <c r="D195" s="10">
        <v>45468</v>
      </c>
      <c r="E195" s="9">
        <v>119513</v>
      </c>
      <c r="F195" s="2" t="str">
        <f>INDEX(Vendors!E:E,MATCH(Vendor_Analysis!C195,Vendors!A:A,0))</f>
        <v xml:space="preserve">45 </v>
      </c>
      <c r="G195" s="2">
        <v>45</v>
      </c>
      <c r="H195" s="16">
        <f t="shared" ref="H195:H258" si="3">D195+F195</f>
        <v>45513</v>
      </c>
      <c r="J195" s="2"/>
    </row>
    <row r="196" spans="1:10" x14ac:dyDescent="0.25">
      <c r="A196" s="8" t="s">
        <v>228</v>
      </c>
      <c r="B196" s="8" t="s">
        <v>201</v>
      </c>
      <c r="C196" s="8" t="s">
        <v>19</v>
      </c>
      <c r="D196" s="10">
        <v>45500</v>
      </c>
      <c r="E196" s="9">
        <v>187156</v>
      </c>
      <c r="F196" s="2" t="str">
        <f>INDEX(Vendors!E:E,MATCH(Vendor_Analysis!C196,Vendors!A:A,0))</f>
        <v xml:space="preserve">45 </v>
      </c>
      <c r="G196" s="2">
        <v>45</v>
      </c>
      <c r="H196" s="16">
        <f t="shared" si="3"/>
        <v>45545</v>
      </c>
      <c r="J196" s="2"/>
    </row>
    <row r="197" spans="1:10" x14ac:dyDescent="0.25">
      <c r="A197" s="8" t="s">
        <v>229</v>
      </c>
      <c r="B197" s="8" t="s">
        <v>201</v>
      </c>
      <c r="C197" s="8" t="s">
        <v>37</v>
      </c>
      <c r="D197" s="10">
        <v>45511</v>
      </c>
      <c r="E197" s="9">
        <v>152143</v>
      </c>
      <c r="F197" s="2" t="str">
        <f>INDEX(Vendors!E:E,MATCH(Vendor_Analysis!C197,Vendors!A:A,0))</f>
        <v xml:space="preserve">30 </v>
      </c>
      <c r="G197" s="2">
        <v>30</v>
      </c>
      <c r="H197" s="16">
        <f t="shared" si="3"/>
        <v>45541</v>
      </c>
      <c r="J197" s="2"/>
    </row>
    <row r="198" spans="1:10" x14ac:dyDescent="0.25">
      <c r="A198" s="8" t="s">
        <v>230</v>
      </c>
      <c r="B198" s="8" t="s">
        <v>201</v>
      </c>
      <c r="C198" s="8" t="s">
        <v>14</v>
      </c>
      <c r="D198" s="10">
        <v>45537</v>
      </c>
      <c r="E198" s="9">
        <v>167838</v>
      </c>
      <c r="F198" s="2" t="str">
        <f>INDEX(Vendors!E:E,MATCH(Vendor_Analysis!C198,Vendors!A:A,0))</f>
        <v xml:space="preserve"> 90</v>
      </c>
      <c r="G198" s="2">
        <v>90</v>
      </c>
      <c r="H198" s="16">
        <f t="shared" si="3"/>
        <v>45627</v>
      </c>
      <c r="J198" s="2"/>
    </row>
    <row r="199" spans="1:10" x14ac:dyDescent="0.25">
      <c r="A199" s="8" t="s">
        <v>231</v>
      </c>
      <c r="B199" s="8" t="s">
        <v>201</v>
      </c>
      <c r="C199" s="8" t="s">
        <v>14</v>
      </c>
      <c r="D199" s="10">
        <v>45541</v>
      </c>
      <c r="E199" s="9">
        <v>268552</v>
      </c>
      <c r="F199" s="2" t="str">
        <f>INDEX(Vendors!E:E,MATCH(Vendor_Analysis!C199,Vendors!A:A,0))</f>
        <v xml:space="preserve"> 90</v>
      </c>
      <c r="G199" s="2">
        <v>90</v>
      </c>
      <c r="H199" s="16">
        <f t="shared" si="3"/>
        <v>45631</v>
      </c>
      <c r="J199" s="2"/>
    </row>
    <row r="200" spans="1:10" x14ac:dyDescent="0.25">
      <c r="A200" s="8" t="s">
        <v>232</v>
      </c>
      <c r="B200" s="8" t="s">
        <v>201</v>
      </c>
      <c r="C200" s="8" t="s">
        <v>33</v>
      </c>
      <c r="D200" s="10">
        <v>45550</v>
      </c>
      <c r="E200" s="9">
        <v>222787</v>
      </c>
      <c r="F200" s="2" t="str">
        <f>INDEX(Vendors!E:E,MATCH(Vendor_Analysis!C200,Vendors!A:A,0))</f>
        <v xml:space="preserve">30 </v>
      </c>
      <c r="G200" s="2">
        <v>30</v>
      </c>
      <c r="H200" s="16">
        <f t="shared" si="3"/>
        <v>45580</v>
      </c>
      <c r="J200" s="2"/>
    </row>
    <row r="201" spans="1:10" x14ac:dyDescent="0.25">
      <c r="A201" s="8" t="s">
        <v>233</v>
      </c>
      <c r="B201" s="8" t="s">
        <v>201</v>
      </c>
      <c r="C201" s="8" t="s">
        <v>8</v>
      </c>
      <c r="D201" s="10">
        <v>45562</v>
      </c>
      <c r="E201" s="9">
        <v>293287</v>
      </c>
      <c r="F201" s="2" t="str">
        <f>INDEX(Vendors!E:E,MATCH(Vendor_Analysis!C201,Vendors!A:A,0))</f>
        <v xml:space="preserve">60 </v>
      </c>
      <c r="G201" s="2">
        <v>60</v>
      </c>
      <c r="H201" s="16">
        <f t="shared" si="3"/>
        <v>45622</v>
      </c>
      <c r="J201" s="2"/>
    </row>
    <row r="202" spans="1:10" x14ac:dyDescent="0.25">
      <c r="A202" s="8" t="s">
        <v>234</v>
      </c>
      <c r="B202" s="8" t="s">
        <v>201</v>
      </c>
      <c r="C202" s="8" t="s">
        <v>110</v>
      </c>
      <c r="D202" s="10">
        <v>45576</v>
      </c>
      <c r="E202" s="9">
        <v>176905</v>
      </c>
      <c r="F202" s="2" t="str">
        <f>INDEX(Vendors!E:E,MATCH(Vendor_Analysis!C202,Vendors!A:A,0))</f>
        <v xml:space="preserve">30 </v>
      </c>
      <c r="G202" s="2">
        <v>30</v>
      </c>
      <c r="H202" s="16">
        <f t="shared" si="3"/>
        <v>45606</v>
      </c>
      <c r="J202" s="2"/>
    </row>
    <row r="203" spans="1:10" x14ac:dyDescent="0.25">
      <c r="A203" s="8" t="s">
        <v>235</v>
      </c>
      <c r="B203" s="8" t="s">
        <v>201</v>
      </c>
      <c r="C203" s="8" t="s">
        <v>35</v>
      </c>
      <c r="D203" s="10">
        <v>45580</v>
      </c>
      <c r="E203" s="9">
        <v>153055</v>
      </c>
      <c r="F203" s="2" t="str">
        <f>INDEX(Vendors!E:E,MATCH(Vendor_Analysis!C203,Vendors!A:A,0))</f>
        <v xml:space="preserve">60 </v>
      </c>
      <c r="G203" s="2">
        <v>60</v>
      </c>
      <c r="H203" s="16">
        <f t="shared" si="3"/>
        <v>45640</v>
      </c>
      <c r="J203" s="2"/>
    </row>
    <row r="204" spans="1:10" x14ac:dyDescent="0.25">
      <c r="A204" s="8" t="s">
        <v>236</v>
      </c>
      <c r="B204" s="8" t="s">
        <v>201</v>
      </c>
      <c r="C204" s="8" t="s">
        <v>6</v>
      </c>
      <c r="D204" s="10">
        <v>45580</v>
      </c>
      <c r="E204" s="9">
        <v>234895</v>
      </c>
      <c r="F204" s="2" t="str">
        <f>INDEX(Vendors!E:E,MATCH(Vendor_Analysis!C204,Vendors!A:A,0))</f>
        <v xml:space="preserve">60 </v>
      </c>
      <c r="G204" s="2">
        <v>60</v>
      </c>
      <c r="H204" s="16">
        <f t="shared" si="3"/>
        <v>45640</v>
      </c>
      <c r="J204" s="2"/>
    </row>
    <row r="205" spans="1:10" x14ac:dyDescent="0.25">
      <c r="A205" s="8" t="s">
        <v>237</v>
      </c>
      <c r="B205" s="8" t="s">
        <v>201</v>
      </c>
      <c r="C205" s="8" t="s">
        <v>25</v>
      </c>
      <c r="D205" s="10">
        <v>45622</v>
      </c>
      <c r="E205" s="9">
        <v>88648</v>
      </c>
      <c r="F205" s="2" t="str">
        <f>INDEX(Vendors!E:E,MATCH(Vendor_Analysis!C205,Vendors!A:A,0))</f>
        <v xml:space="preserve">30 </v>
      </c>
      <c r="G205" s="2">
        <v>30</v>
      </c>
      <c r="H205" s="16">
        <f t="shared" si="3"/>
        <v>45652</v>
      </c>
      <c r="J205" s="2"/>
    </row>
    <row r="206" spans="1:10" x14ac:dyDescent="0.25">
      <c r="A206" s="8" t="s">
        <v>238</v>
      </c>
      <c r="B206" s="8" t="s">
        <v>201</v>
      </c>
      <c r="C206" s="8" t="s">
        <v>91</v>
      </c>
      <c r="D206" s="10">
        <v>45623</v>
      </c>
      <c r="E206" s="9">
        <v>142599</v>
      </c>
      <c r="F206" s="2" t="str">
        <f>INDEX(Vendors!E:E,MATCH(Vendor_Analysis!C206,Vendors!A:A,0))</f>
        <v xml:space="preserve">60 </v>
      </c>
      <c r="G206" s="2">
        <v>60</v>
      </c>
      <c r="H206" s="16">
        <f t="shared" si="3"/>
        <v>45683</v>
      </c>
      <c r="J206" s="2"/>
    </row>
    <row r="207" spans="1:10" x14ac:dyDescent="0.25">
      <c r="A207" s="8" t="s">
        <v>239</v>
      </c>
      <c r="B207" s="8" t="s">
        <v>201</v>
      </c>
      <c r="C207" s="8" t="s">
        <v>33</v>
      </c>
      <c r="D207" s="10">
        <v>45630</v>
      </c>
      <c r="E207" s="9">
        <v>110002</v>
      </c>
      <c r="F207" s="2" t="str">
        <f>INDEX(Vendors!E:E,MATCH(Vendor_Analysis!C207,Vendors!A:A,0))</f>
        <v xml:space="preserve">30 </v>
      </c>
      <c r="G207" s="2">
        <v>30</v>
      </c>
      <c r="H207" s="16">
        <f t="shared" si="3"/>
        <v>45660</v>
      </c>
      <c r="J207" s="2"/>
    </row>
    <row r="208" spans="1:10" x14ac:dyDescent="0.25">
      <c r="A208" s="8" t="s">
        <v>240</v>
      </c>
      <c r="B208" s="8" t="s">
        <v>201</v>
      </c>
      <c r="C208" s="8" t="s">
        <v>14</v>
      </c>
      <c r="D208" s="10">
        <v>45637</v>
      </c>
      <c r="E208" s="9">
        <v>104695</v>
      </c>
      <c r="F208" s="2" t="str">
        <f>INDEX(Vendors!E:E,MATCH(Vendor_Analysis!C208,Vendors!A:A,0))</f>
        <v xml:space="preserve"> 90</v>
      </c>
      <c r="G208" s="2">
        <v>90</v>
      </c>
      <c r="H208" s="16">
        <f t="shared" si="3"/>
        <v>45727</v>
      </c>
      <c r="J208" s="2"/>
    </row>
    <row r="209" spans="1:10" x14ac:dyDescent="0.25">
      <c r="A209" s="8" t="s">
        <v>241</v>
      </c>
      <c r="B209" s="8" t="s">
        <v>201</v>
      </c>
      <c r="C209" s="8" t="s">
        <v>12</v>
      </c>
      <c r="D209" s="10">
        <v>45653</v>
      </c>
      <c r="E209" s="9">
        <v>232293</v>
      </c>
      <c r="F209" s="2" t="str">
        <f>INDEX(Vendors!E:E,MATCH(Vendor_Analysis!C209,Vendors!A:A,0))</f>
        <v xml:space="preserve">30 </v>
      </c>
      <c r="G209" s="2">
        <v>30</v>
      </c>
      <c r="H209" s="16">
        <f t="shared" si="3"/>
        <v>45683</v>
      </c>
      <c r="J209" s="2"/>
    </row>
    <row r="210" spans="1:10" x14ac:dyDescent="0.25">
      <c r="A210" s="8" t="s">
        <v>242</v>
      </c>
      <c r="B210" s="8" t="s">
        <v>201</v>
      </c>
      <c r="C210" s="8" t="s">
        <v>8</v>
      </c>
      <c r="D210" s="10">
        <v>45662</v>
      </c>
      <c r="E210" s="9">
        <v>236456</v>
      </c>
      <c r="F210" s="2" t="str">
        <f>INDEX(Vendors!E:E,MATCH(Vendor_Analysis!C210,Vendors!A:A,0))</f>
        <v xml:space="preserve">60 </v>
      </c>
      <c r="G210" s="2">
        <v>60</v>
      </c>
      <c r="H210" s="16">
        <f t="shared" si="3"/>
        <v>45722</v>
      </c>
      <c r="J210" s="2"/>
    </row>
    <row r="211" spans="1:10" x14ac:dyDescent="0.25">
      <c r="A211" s="8" t="s">
        <v>243</v>
      </c>
      <c r="B211" s="8" t="s">
        <v>201</v>
      </c>
      <c r="C211" s="8" t="s">
        <v>8</v>
      </c>
      <c r="D211" s="10">
        <v>45667</v>
      </c>
      <c r="E211" s="9">
        <v>98766</v>
      </c>
      <c r="F211" s="2" t="str">
        <f>INDEX(Vendors!E:E,MATCH(Vendor_Analysis!C211,Vendors!A:A,0))</f>
        <v xml:space="preserve">60 </v>
      </c>
      <c r="G211" s="2">
        <v>60</v>
      </c>
      <c r="H211" s="16">
        <f t="shared" si="3"/>
        <v>45727</v>
      </c>
      <c r="J211" s="2"/>
    </row>
    <row r="212" spans="1:10" x14ac:dyDescent="0.25">
      <c r="A212" s="8" t="s">
        <v>244</v>
      </c>
      <c r="B212" s="8" t="s">
        <v>201</v>
      </c>
      <c r="C212" s="8" t="s">
        <v>25</v>
      </c>
      <c r="D212" s="10">
        <v>45687</v>
      </c>
      <c r="E212" s="9">
        <v>104766</v>
      </c>
      <c r="F212" s="2" t="str">
        <f>INDEX(Vendors!E:E,MATCH(Vendor_Analysis!C212,Vendors!A:A,0))</f>
        <v xml:space="preserve">30 </v>
      </c>
      <c r="G212" s="2">
        <v>30</v>
      </c>
      <c r="H212" s="16">
        <f t="shared" si="3"/>
        <v>45717</v>
      </c>
      <c r="J212" s="2"/>
    </row>
    <row r="213" spans="1:10" x14ac:dyDescent="0.25">
      <c r="A213" s="8" t="s">
        <v>245</v>
      </c>
      <c r="B213" s="8" t="s">
        <v>201</v>
      </c>
      <c r="C213" s="8" t="s">
        <v>17</v>
      </c>
      <c r="D213" s="10">
        <v>45698</v>
      </c>
      <c r="E213" s="9">
        <v>173510</v>
      </c>
      <c r="F213" s="2" t="str">
        <f>INDEX(Vendors!E:E,MATCH(Vendor_Analysis!C213,Vendors!A:A,0))</f>
        <v xml:space="preserve">45 </v>
      </c>
      <c r="G213" s="2">
        <v>45</v>
      </c>
      <c r="H213" s="16">
        <f t="shared" si="3"/>
        <v>45743</v>
      </c>
      <c r="J213" s="2"/>
    </row>
    <row r="214" spans="1:10" x14ac:dyDescent="0.25">
      <c r="A214" s="8" t="s">
        <v>246</v>
      </c>
      <c r="B214" s="8" t="s">
        <v>247</v>
      </c>
      <c r="C214" s="8" t="s">
        <v>71</v>
      </c>
      <c r="D214" s="10">
        <v>45141</v>
      </c>
      <c r="E214" s="9">
        <v>208476</v>
      </c>
      <c r="F214" s="2" t="str">
        <f>INDEX(Vendors!E:E,MATCH(Vendor_Analysis!C214,Vendors!A:A,0))</f>
        <v xml:space="preserve">45 </v>
      </c>
      <c r="G214" s="2">
        <v>45</v>
      </c>
      <c r="H214" s="16">
        <f t="shared" si="3"/>
        <v>45186</v>
      </c>
      <c r="J214" s="2"/>
    </row>
    <row r="215" spans="1:10" x14ac:dyDescent="0.25">
      <c r="A215" s="8" t="s">
        <v>248</v>
      </c>
      <c r="B215" s="8" t="s">
        <v>247</v>
      </c>
      <c r="C215" s="8" t="s">
        <v>33</v>
      </c>
      <c r="D215" s="10">
        <v>45151</v>
      </c>
      <c r="E215" s="9">
        <v>86071</v>
      </c>
      <c r="F215" s="2" t="str">
        <f>INDEX(Vendors!E:E,MATCH(Vendor_Analysis!C215,Vendors!A:A,0))</f>
        <v xml:space="preserve">30 </v>
      </c>
      <c r="G215" s="2">
        <v>30</v>
      </c>
      <c r="H215" s="16">
        <f t="shared" si="3"/>
        <v>45181</v>
      </c>
      <c r="J215" s="2"/>
    </row>
    <row r="216" spans="1:10" x14ac:dyDescent="0.25">
      <c r="A216" s="8" t="s">
        <v>249</v>
      </c>
      <c r="B216" s="8" t="s">
        <v>247</v>
      </c>
      <c r="C216" s="8" t="s">
        <v>71</v>
      </c>
      <c r="D216" s="10">
        <v>45191</v>
      </c>
      <c r="E216" s="9">
        <v>59491</v>
      </c>
      <c r="F216" s="2" t="str">
        <f>INDEX(Vendors!E:E,MATCH(Vendor_Analysis!C216,Vendors!A:A,0))</f>
        <v xml:space="preserve">45 </v>
      </c>
      <c r="G216" s="2">
        <v>45</v>
      </c>
      <c r="H216" s="16">
        <f t="shared" si="3"/>
        <v>45236</v>
      </c>
      <c r="J216" s="2"/>
    </row>
    <row r="217" spans="1:10" x14ac:dyDescent="0.25">
      <c r="A217" s="8" t="s">
        <v>250</v>
      </c>
      <c r="B217" s="8" t="s">
        <v>247</v>
      </c>
      <c r="C217" s="8" t="s">
        <v>17</v>
      </c>
      <c r="D217" s="10">
        <v>45194</v>
      </c>
      <c r="E217" s="9">
        <v>84472</v>
      </c>
      <c r="F217" s="2" t="str">
        <f>INDEX(Vendors!E:E,MATCH(Vendor_Analysis!C217,Vendors!A:A,0))</f>
        <v xml:space="preserve">45 </v>
      </c>
      <c r="G217" s="2">
        <v>45</v>
      </c>
      <c r="H217" s="16">
        <f t="shared" si="3"/>
        <v>45239</v>
      </c>
      <c r="J217" s="2"/>
    </row>
    <row r="218" spans="1:10" x14ac:dyDescent="0.25">
      <c r="A218" s="8" t="s">
        <v>251</v>
      </c>
      <c r="B218" s="8" t="s">
        <v>247</v>
      </c>
      <c r="C218" s="8" t="s">
        <v>17</v>
      </c>
      <c r="D218" s="10">
        <v>45200</v>
      </c>
      <c r="E218" s="9">
        <v>92903</v>
      </c>
      <c r="F218" s="2" t="str">
        <f>INDEX(Vendors!E:E,MATCH(Vendor_Analysis!C218,Vendors!A:A,0))</f>
        <v xml:space="preserve">45 </v>
      </c>
      <c r="G218" s="2">
        <v>45</v>
      </c>
      <c r="H218" s="16">
        <f t="shared" si="3"/>
        <v>45245</v>
      </c>
      <c r="J218" s="2"/>
    </row>
    <row r="219" spans="1:10" x14ac:dyDescent="0.25">
      <c r="A219" s="8" t="s">
        <v>252</v>
      </c>
      <c r="B219" s="8" t="s">
        <v>247</v>
      </c>
      <c r="C219" s="8" t="s">
        <v>10</v>
      </c>
      <c r="D219" s="10">
        <v>45205</v>
      </c>
      <c r="E219" s="9">
        <v>101889</v>
      </c>
      <c r="F219" s="2" t="str">
        <f>INDEX(Vendors!E:E,MATCH(Vendor_Analysis!C219,Vendors!A:A,0))</f>
        <v xml:space="preserve">60 </v>
      </c>
      <c r="G219" s="2">
        <v>60</v>
      </c>
      <c r="H219" s="16">
        <f t="shared" si="3"/>
        <v>45265</v>
      </c>
      <c r="J219" s="2"/>
    </row>
    <row r="220" spans="1:10" x14ac:dyDescent="0.25">
      <c r="A220" s="8" t="s">
        <v>253</v>
      </c>
      <c r="B220" s="8" t="s">
        <v>247</v>
      </c>
      <c r="C220" s="8" t="s">
        <v>37</v>
      </c>
      <c r="D220" s="10">
        <v>45214</v>
      </c>
      <c r="E220" s="9">
        <v>64599</v>
      </c>
      <c r="F220" s="2" t="str">
        <f>INDEX(Vendors!E:E,MATCH(Vendor_Analysis!C220,Vendors!A:A,0))</f>
        <v xml:space="preserve">30 </v>
      </c>
      <c r="G220" s="2">
        <v>30</v>
      </c>
      <c r="H220" s="16">
        <f t="shared" si="3"/>
        <v>45244</v>
      </c>
      <c r="J220" s="2"/>
    </row>
    <row r="221" spans="1:10" x14ac:dyDescent="0.25">
      <c r="A221" s="8" t="s">
        <v>254</v>
      </c>
      <c r="B221" s="8" t="s">
        <v>247</v>
      </c>
      <c r="C221" s="8" t="s">
        <v>91</v>
      </c>
      <c r="D221" s="10">
        <v>45226</v>
      </c>
      <c r="E221" s="9">
        <v>315709</v>
      </c>
      <c r="F221" s="2" t="str">
        <f>INDEX(Vendors!E:E,MATCH(Vendor_Analysis!C221,Vendors!A:A,0))</f>
        <v xml:space="preserve">60 </v>
      </c>
      <c r="G221" s="2">
        <v>60</v>
      </c>
      <c r="H221" s="16">
        <f t="shared" si="3"/>
        <v>45286</v>
      </c>
      <c r="J221" s="2"/>
    </row>
    <row r="222" spans="1:10" x14ac:dyDescent="0.25">
      <c r="A222" s="8" t="s">
        <v>255</v>
      </c>
      <c r="B222" s="8" t="s">
        <v>247</v>
      </c>
      <c r="C222" s="8" t="s">
        <v>14</v>
      </c>
      <c r="D222" s="10">
        <v>45234</v>
      </c>
      <c r="E222" s="9">
        <v>74921</v>
      </c>
      <c r="F222" s="2" t="str">
        <f>INDEX(Vendors!E:E,MATCH(Vendor_Analysis!C222,Vendors!A:A,0))</f>
        <v xml:space="preserve"> 90</v>
      </c>
      <c r="G222" s="2">
        <v>90</v>
      </c>
      <c r="H222" s="16">
        <f t="shared" si="3"/>
        <v>45324</v>
      </c>
      <c r="J222" s="2"/>
    </row>
    <row r="223" spans="1:10" x14ac:dyDescent="0.25">
      <c r="A223" s="8" t="s">
        <v>256</v>
      </c>
      <c r="B223" s="8" t="s">
        <v>247</v>
      </c>
      <c r="C223" s="8" t="s">
        <v>19</v>
      </c>
      <c r="D223" s="10">
        <v>45241</v>
      </c>
      <c r="E223" s="9">
        <v>57283</v>
      </c>
      <c r="F223" s="2" t="str">
        <f>INDEX(Vendors!E:E,MATCH(Vendor_Analysis!C223,Vendors!A:A,0))</f>
        <v xml:space="preserve">45 </v>
      </c>
      <c r="G223" s="2">
        <v>45</v>
      </c>
      <c r="H223" s="16">
        <f t="shared" si="3"/>
        <v>45286</v>
      </c>
      <c r="J223" s="2"/>
    </row>
    <row r="224" spans="1:10" x14ac:dyDescent="0.25">
      <c r="A224" s="8" t="s">
        <v>257</v>
      </c>
      <c r="B224" s="8" t="s">
        <v>247</v>
      </c>
      <c r="C224" s="8" t="s">
        <v>55</v>
      </c>
      <c r="D224" s="10">
        <v>45262</v>
      </c>
      <c r="E224" s="9">
        <v>60875</v>
      </c>
      <c r="F224" s="2" t="str">
        <f>INDEX(Vendors!E:E,MATCH(Vendor_Analysis!C224,Vendors!A:A,0))</f>
        <v xml:space="preserve">30 </v>
      </c>
      <c r="G224" s="2">
        <v>30</v>
      </c>
      <c r="H224" s="16">
        <f t="shared" si="3"/>
        <v>45292</v>
      </c>
      <c r="J224" s="2"/>
    </row>
    <row r="225" spans="1:10" x14ac:dyDescent="0.25">
      <c r="A225" s="8" t="s">
        <v>258</v>
      </c>
      <c r="B225" s="8" t="s">
        <v>247</v>
      </c>
      <c r="C225" s="8" t="s">
        <v>27</v>
      </c>
      <c r="D225" s="10">
        <v>45291</v>
      </c>
      <c r="E225" s="9">
        <v>88912</v>
      </c>
      <c r="F225" s="2" t="str">
        <f>INDEX(Vendors!E:E,MATCH(Vendor_Analysis!C225,Vendors!A:A,0))</f>
        <v xml:space="preserve">45 </v>
      </c>
      <c r="G225" s="2">
        <v>45</v>
      </c>
      <c r="H225" s="16">
        <f t="shared" si="3"/>
        <v>45336</v>
      </c>
      <c r="J225" s="2"/>
    </row>
    <row r="226" spans="1:10" x14ac:dyDescent="0.25">
      <c r="A226" s="8" t="s">
        <v>259</v>
      </c>
      <c r="B226" s="8" t="s">
        <v>247</v>
      </c>
      <c r="C226" s="8" t="s">
        <v>12</v>
      </c>
      <c r="D226" s="10">
        <v>45299</v>
      </c>
      <c r="E226" s="9">
        <v>47883</v>
      </c>
      <c r="F226" s="2" t="str">
        <f>INDEX(Vendors!E:E,MATCH(Vendor_Analysis!C226,Vendors!A:A,0))</f>
        <v xml:space="preserve">30 </v>
      </c>
      <c r="G226" s="2">
        <v>30</v>
      </c>
      <c r="H226" s="16">
        <f t="shared" si="3"/>
        <v>45329</v>
      </c>
      <c r="J226" s="2"/>
    </row>
    <row r="227" spans="1:10" x14ac:dyDescent="0.25">
      <c r="A227" s="8" t="s">
        <v>260</v>
      </c>
      <c r="B227" s="8" t="s">
        <v>247</v>
      </c>
      <c r="C227" s="8" t="s">
        <v>21</v>
      </c>
      <c r="D227" s="10">
        <v>45322</v>
      </c>
      <c r="E227" s="9">
        <v>110321</v>
      </c>
      <c r="F227" s="2" t="str">
        <f>INDEX(Vendors!E:E,MATCH(Vendor_Analysis!C227,Vendors!A:A,0))</f>
        <v xml:space="preserve"> 90</v>
      </c>
      <c r="G227" s="2">
        <v>90</v>
      </c>
      <c r="H227" s="16">
        <f t="shared" si="3"/>
        <v>45412</v>
      </c>
      <c r="J227" s="2"/>
    </row>
    <row r="228" spans="1:10" x14ac:dyDescent="0.25">
      <c r="A228" s="8" t="s">
        <v>261</v>
      </c>
      <c r="B228" s="8" t="s">
        <v>247</v>
      </c>
      <c r="C228" s="8" t="s">
        <v>21</v>
      </c>
      <c r="D228" s="10">
        <v>45351</v>
      </c>
      <c r="E228" s="9">
        <v>92093</v>
      </c>
      <c r="F228" s="2" t="str">
        <f>INDEX(Vendors!E:E,MATCH(Vendor_Analysis!C228,Vendors!A:A,0))</f>
        <v xml:space="preserve"> 90</v>
      </c>
      <c r="G228" s="2">
        <v>90</v>
      </c>
      <c r="H228" s="16">
        <f t="shared" si="3"/>
        <v>45441</v>
      </c>
      <c r="J228" s="2"/>
    </row>
    <row r="229" spans="1:10" x14ac:dyDescent="0.25">
      <c r="A229" s="8" t="s">
        <v>262</v>
      </c>
      <c r="B229" s="8" t="s">
        <v>247</v>
      </c>
      <c r="C229" s="8" t="s">
        <v>73</v>
      </c>
      <c r="D229" s="10">
        <v>45360</v>
      </c>
      <c r="E229" s="9">
        <v>51423</v>
      </c>
      <c r="F229" s="2" t="str">
        <f>INDEX(Vendors!E:E,MATCH(Vendor_Analysis!C229,Vendors!A:A,0))</f>
        <v xml:space="preserve">60 </v>
      </c>
      <c r="G229" s="2">
        <v>60</v>
      </c>
      <c r="H229" s="16">
        <f t="shared" si="3"/>
        <v>45420</v>
      </c>
      <c r="J229" s="2"/>
    </row>
    <row r="230" spans="1:10" x14ac:dyDescent="0.25">
      <c r="A230" s="8" t="s">
        <v>263</v>
      </c>
      <c r="B230" s="8" t="s">
        <v>247</v>
      </c>
      <c r="C230" s="8" t="s">
        <v>71</v>
      </c>
      <c r="D230" s="10">
        <v>45385</v>
      </c>
      <c r="E230" s="9">
        <v>73703</v>
      </c>
      <c r="F230" s="2" t="str">
        <f>INDEX(Vendors!E:E,MATCH(Vendor_Analysis!C230,Vendors!A:A,0))</f>
        <v xml:space="preserve">45 </v>
      </c>
      <c r="G230" s="2">
        <v>45</v>
      </c>
      <c r="H230" s="16">
        <f t="shared" si="3"/>
        <v>45430</v>
      </c>
      <c r="J230" s="2"/>
    </row>
    <row r="231" spans="1:10" x14ac:dyDescent="0.25">
      <c r="A231" s="8" t="s">
        <v>264</v>
      </c>
      <c r="B231" s="8" t="s">
        <v>247</v>
      </c>
      <c r="C231" s="8" t="s">
        <v>29</v>
      </c>
      <c r="D231" s="10">
        <v>45393</v>
      </c>
      <c r="E231" s="9">
        <v>70540</v>
      </c>
      <c r="F231" s="2" t="str">
        <f>INDEX(Vendors!E:E,MATCH(Vendor_Analysis!C231,Vendors!A:A,0))</f>
        <v xml:space="preserve">30 </v>
      </c>
      <c r="G231" s="2">
        <v>30</v>
      </c>
      <c r="H231" s="16">
        <f t="shared" si="3"/>
        <v>45423</v>
      </c>
      <c r="J231" s="2"/>
    </row>
    <row r="232" spans="1:10" x14ac:dyDescent="0.25">
      <c r="A232" s="8" t="s">
        <v>265</v>
      </c>
      <c r="B232" s="8" t="s">
        <v>247</v>
      </c>
      <c r="C232" s="8" t="s">
        <v>17</v>
      </c>
      <c r="D232" s="10">
        <v>45409</v>
      </c>
      <c r="E232" s="9">
        <v>82520</v>
      </c>
      <c r="F232" s="2" t="str">
        <f>INDEX(Vendors!E:E,MATCH(Vendor_Analysis!C232,Vendors!A:A,0))</f>
        <v xml:space="preserve">45 </v>
      </c>
      <c r="G232" s="2">
        <v>45</v>
      </c>
      <c r="H232" s="16">
        <f t="shared" si="3"/>
        <v>45454</v>
      </c>
      <c r="J232" s="2"/>
    </row>
    <row r="233" spans="1:10" x14ac:dyDescent="0.25">
      <c r="A233" s="8" t="s">
        <v>266</v>
      </c>
      <c r="B233" s="8" t="s">
        <v>247</v>
      </c>
      <c r="C233" s="8" t="s">
        <v>71</v>
      </c>
      <c r="D233" s="10">
        <v>45419</v>
      </c>
      <c r="E233" s="9">
        <v>90975</v>
      </c>
      <c r="F233" s="2" t="str">
        <f>INDEX(Vendors!E:E,MATCH(Vendor_Analysis!C233,Vendors!A:A,0))</f>
        <v xml:space="preserve">45 </v>
      </c>
      <c r="G233" s="2">
        <v>45</v>
      </c>
      <c r="H233" s="16">
        <f t="shared" si="3"/>
        <v>45464</v>
      </c>
      <c r="J233" s="2"/>
    </row>
    <row r="234" spans="1:10" x14ac:dyDescent="0.25">
      <c r="A234" s="8" t="s">
        <v>267</v>
      </c>
      <c r="B234" s="8" t="s">
        <v>247</v>
      </c>
      <c r="C234" s="8" t="s">
        <v>91</v>
      </c>
      <c r="D234" s="10">
        <v>45421</v>
      </c>
      <c r="E234" s="9">
        <v>49688</v>
      </c>
      <c r="F234" s="2" t="str">
        <f>INDEX(Vendors!E:E,MATCH(Vendor_Analysis!C234,Vendors!A:A,0))</f>
        <v xml:space="preserve">60 </v>
      </c>
      <c r="G234" s="2">
        <v>60</v>
      </c>
      <c r="H234" s="16">
        <f t="shared" si="3"/>
        <v>45481</v>
      </c>
      <c r="J234" s="2"/>
    </row>
    <row r="235" spans="1:10" x14ac:dyDescent="0.25">
      <c r="A235" s="8" t="s">
        <v>268</v>
      </c>
      <c r="B235" s="8" t="s">
        <v>247</v>
      </c>
      <c r="C235" s="8" t="s">
        <v>6</v>
      </c>
      <c r="D235" s="10">
        <v>45422</v>
      </c>
      <c r="E235" s="9">
        <v>60434</v>
      </c>
      <c r="F235" s="2" t="str">
        <f>INDEX(Vendors!E:E,MATCH(Vendor_Analysis!C235,Vendors!A:A,0))</f>
        <v xml:space="preserve">60 </v>
      </c>
      <c r="G235" s="2">
        <v>60</v>
      </c>
      <c r="H235" s="16">
        <f t="shared" si="3"/>
        <v>45482</v>
      </c>
      <c r="J235" s="2"/>
    </row>
    <row r="236" spans="1:10" x14ac:dyDescent="0.25">
      <c r="A236" s="8" t="s">
        <v>269</v>
      </c>
      <c r="B236" s="8" t="s">
        <v>247</v>
      </c>
      <c r="C236" s="8" t="s">
        <v>55</v>
      </c>
      <c r="D236" s="10">
        <v>45437</v>
      </c>
      <c r="E236" s="9">
        <v>42080</v>
      </c>
      <c r="F236" s="2" t="str">
        <f>INDEX(Vendors!E:E,MATCH(Vendor_Analysis!C236,Vendors!A:A,0))</f>
        <v xml:space="preserve">30 </v>
      </c>
      <c r="G236" s="2">
        <v>30</v>
      </c>
      <c r="H236" s="16">
        <f t="shared" si="3"/>
        <v>45467</v>
      </c>
      <c r="J236" s="2"/>
    </row>
    <row r="237" spans="1:10" x14ac:dyDescent="0.25">
      <c r="A237" s="8" t="s">
        <v>270</v>
      </c>
      <c r="B237" s="8" t="s">
        <v>247</v>
      </c>
      <c r="C237" s="8" t="s">
        <v>6</v>
      </c>
      <c r="D237" s="10">
        <v>45442</v>
      </c>
      <c r="E237" s="9">
        <v>84739</v>
      </c>
      <c r="F237" s="2" t="str">
        <f>INDEX(Vendors!E:E,MATCH(Vendor_Analysis!C237,Vendors!A:A,0))</f>
        <v xml:space="preserve">60 </v>
      </c>
      <c r="G237" s="2">
        <v>60</v>
      </c>
      <c r="H237" s="16">
        <f t="shared" si="3"/>
        <v>45502</v>
      </c>
      <c r="J237" s="2"/>
    </row>
    <row r="238" spans="1:10" x14ac:dyDescent="0.25">
      <c r="A238" s="8" t="s">
        <v>271</v>
      </c>
      <c r="B238" s="8" t="s">
        <v>247</v>
      </c>
      <c r="C238" s="8" t="s">
        <v>73</v>
      </c>
      <c r="D238" s="10">
        <v>45450</v>
      </c>
      <c r="E238" s="9">
        <v>99332</v>
      </c>
      <c r="F238" s="2" t="str">
        <f>INDEX(Vendors!E:E,MATCH(Vendor_Analysis!C238,Vendors!A:A,0))</f>
        <v xml:space="preserve">60 </v>
      </c>
      <c r="G238" s="2">
        <v>60</v>
      </c>
      <c r="H238" s="16">
        <f t="shared" si="3"/>
        <v>45510</v>
      </c>
      <c r="J238" s="2"/>
    </row>
    <row r="239" spans="1:10" x14ac:dyDescent="0.25">
      <c r="A239" s="8" t="s">
        <v>272</v>
      </c>
      <c r="B239" s="8" t="s">
        <v>247</v>
      </c>
      <c r="C239" s="8" t="s">
        <v>25</v>
      </c>
      <c r="D239" s="10">
        <v>45451</v>
      </c>
      <c r="E239" s="9">
        <v>39417</v>
      </c>
      <c r="F239" s="2" t="str">
        <f>INDEX(Vendors!E:E,MATCH(Vendor_Analysis!C239,Vendors!A:A,0))</f>
        <v xml:space="preserve">30 </v>
      </c>
      <c r="G239" s="2">
        <v>30</v>
      </c>
      <c r="H239" s="16">
        <f t="shared" si="3"/>
        <v>45481</v>
      </c>
      <c r="J239" s="2"/>
    </row>
    <row r="240" spans="1:10" x14ac:dyDescent="0.25">
      <c r="A240" s="8" t="s">
        <v>273</v>
      </c>
      <c r="B240" s="8" t="s">
        <v>247</v>
      </c>
      <c r="C240" s="8" t="s">
        <v>108</v>
      </c>
      <c r="D240" s="10">
        <v>45452</v>
      </c>
      <c r="E240" s="9">
        <v>61072</v>
      </c>
      <c r="F240" s="2" t="str">
        <f>INDEX(Vendors!E:E,MATCH(Vendor_Analysis!C240,Vendors!A:A,0))</f>
        <v xml:space="preserve"> 90</v>
      </c>
      <c r="G240" s="2">
        <v>90</v>
      </c>
      <c r="H240" s="16">
        <f t="shared" si="3"/>
        <v>45542</v>
      </c>
      <c r="J240" s="2"/>
    </row>
    <row r="241" spans="1:10" x14ac:dyDescent="0.25">
      <c r="A241" s="8" t="s">
        <v>274</v>
      </c>
      <c r="B241" s="8" t="s">
        <v>247</v>
      </c>
      <c r="C241" s="8" t="s">
        <v>10</v>
      </c>
      <c r="D241" s="10">
        <v>45452</v>
      </c>
      <c r="E241" s="9">
        <v>41092</v>
      </c>
      <c r="F241" s="2" t="str">
        <f>INDEX(Vendors!E:E,MATCH(Vendor_Analysis!C241,Vendors!A:A,0))</f>
        <v xml:space="preserve">60 </v>
      </c>
      <c r="G241" s="2">
        <v>60</v>
      </c>
      <c r="H241" s="16">
        <f t="shared" si="3"/>
        <v>45512</v>
      </c>
      <c r="J241" s="2"/>
    </row>
    <row r="242" spans="1:10" x14ac:dyDescent="0.25">
      <c r="A242" s="8" t="s">
        <v>275</v>
      </c>
      <c r="B242" s="8" t="s">
        <v>247</v>
      </c>
      <c r="C242" s="8" t="s">
        <v>17</v>
      </c>
      <c r="D242" s="10">
        <v>45462</v>
      </c>
      <c r="E242" s="9">
        <v>59140</v>
      </c>
      <c r="F242" s="2" t="str">
        <f>INDEX(Vendors!E:E,MATCH(Vendor_Analysis!C242,Vendors!A:A,0))</f>
        <v xml:space="preserve">45 </v>
      </c>
      <c r="G242" s="2">
        <v>45</v>
      </c>
      <c r="H242" s="16">
        <f t="shared" si="3"/>
        <v>45507</v>
      </c>
      <c r="J242" s="2"/>
    </row>
    <row r="243" spans="1:10" x14ac:dyDescent="0.25">
      <c r="A243" s="8" t="s">
        <v>276</v>
      </c>
      <c r="B243" s="8" t="s">
        <v>247</v>
      </c>
      <c r="C243" s="8" t="s">
        <v>37</v>
      </c>
      <c r="D243" s="10">
        <v>45487</v>
      </c>
      <c r="E243" s="9">
        <v>42778</v>
      </c>
      <c r="F243" s="2" t="str">
        <f>INDEX(Vendors!E:E,MATCH(Vendor_Analysis!C243,Vendors!A:A,0))</f>
        <v xml:space="preserve">30 </v>
      </c>
      <c r="G243" s="2">
        <v>30</v>
      </c>
      <c r="H243" s="16">
        <f t="shared" si="3"/>
        <v>45517</v>
      </c>
      <c r="J243" s="2"/>
    </row>
    <row r="244" spans="1:10" x14ac:dyDescent="0.25">
      <c r="A244" s="8" t="s">
        <v>277</v>
      </c>
      <c r="B244" s="8" t="s">
        <v>247</v>
      </c>
      <c r="C244" s="8" t="s">
        <v>50</v>
      </c>
      <c r="D244" s="10">
        <v>45487</v>
      </c>
      <c r="E244" s="9">
        <v>92008</v>
      </c>
      <c r="F244" s="2" t="str">
        <f>INDEX(Vendors!E:E,MATCH(Vendor_Analysis!C244,Vendors!A:A,0))</f>
        <v xml:space="preserve"> 90</v>
      </c>
      <c r="G244" s="2">
        <v>90</v>
      </c>
      <c r="H244" s="16">
        <f t="shared" si="3"/>
        <v>45577</v>
      </c>
      <c r="J244" s="2"/>
    </row>
    <row r="245" spans="1:10" x14ac:dyDescent="0.25">
      <c r="A245" s="8" t="s">
        <v>278</v>
      </c>
      <c r="B245" s="8" t="s">
        <v>247</v>
      </c>
      <c r="C245" s="8" t="s">
        <v>55</v>
      </c>
      <c r="D245" s="10">
        <v>45502</v>
      </c>
      <c r="E245" s="9">
        <v>100128</v>
      </c>
      <c r="F245" s="2" t="str">
        <f>INDEX(Vendors!E:E,MATCH(Vendor_Analysis!C245,Vendors!A:A,0))</f>
        <v xml:space="preserve">30 </v>
      </c>
      <c r="G245" s="2">
        <v>30</v>
      </c>
      <c r="H245" s="16">
        <f t="shared" si="3"/>
        <v>45532</v>
      </c>
      <c r="J245" s="2"/>
    </row>
    <row r="246" spans="1:10" x14ac:dyDescent="0.25">
      <c r="A246" s="8" t="s">
        <v>279</v>
      </c>
      <c r="B246" s="8" t="s">
        <v>247</v>
      </c>
      <c r="C246" s="8" t="s">
        <v>17</v>
      </c>
      <c r="D246" s="10">
        <v>45516</v>
      </c>
      <c r="E246" s="9">
        <v>82076</v>
      </c>
      <c r="F246" s="2" t="str">
        <f>INDEX(Vendors!E:E,MATCH(Vendor_Analysis!C246,Vendors!A:A,0))</f>
        <v xml:space="preserve">45 </v>
      </c>
      <c r="G246" s="2">
        <v>45</v>
      </c>
      <c r="H246" s="16">
        <f t="shared" si="3"/>
        <v>45561</v>
      </c>
      <c r="J246" s="2"/>
    </row>
    <row r="247" spans="1:10" x14ac:dyDescent="0.25">
      <c r="A247" s="8" t="s">
        <v>280</v>
      </c>
      <c r="B247" s="8" t="s">
        <v>247</v>
      </c>
      <c r="C247" s="8" t="s">
        <v>12</v>
      </c>
      <c r="D247" s="10">
        <v>45553</v>
      </c>
      <c r="E247" s="9">
        <v>76155</v>
      </c>
      <c r="F247" s="2" t="str">
        <f>INDEX(Vendors!E:E,MATCH(Vendor_Analysis!C247,Vendors!A:A,0))</f>
        <v xml:space="preserve">30 </v>
      </c>
      <c r="G247" s="2">
        <v>30</v>
      </c>
      <c r="H247" s="16">
        <f t="shared" si="3"/>
        <v>45583</v>
      </c>
      <c r="J247" s="2"/>
    </row>
    <row r="248" spans="1:10" x14ac:dyDescent="0.25">
      <c r="A248" s="8" t="s">
        <v>281</v>
      </c>
      <c r="B248" s="8" t="s">
        <v>247</v>
      </c>
      <c r="C248" s="8" t="s">
        <v>55</v>
      </c>
      <c r="D248" s="10">
        <v>45555</v>
      </c>
      <c r="E248" s="9">
        <v>90877</v>
      </c>
      <c r="F248" s="2" t="str">
        <f>INDEX(Vendors!E:E,MATCH(Vendor_Analysis!C248,Vendors!A:A,0))</f>
        <v xml:space="preserve">30 </v>
      </c>
      <c r="G248" s="2">
        <v>30</v>
      </c>
      <c r="H248" s="16">
        <f t="shared" si="3"/>
        <v>45585</v>
      </c>
      <c r="J248" s="2"/>
    </row>
    <row r="249" spans="1:10" x14ac:dyDescent="0.25">
      <c r="A249" s="8" t="s">
        <v>282</v>
      </c>
      <c r="B249" s="8" t="s">
        <v>247</v>
      </c>
      <c r="C249" s="8" t="s">
        <v>91</v>
      </c>
      <c r="D249" s="10">
        <v>45565</v>
      </c>
      <c r="E249" s="9">
        <v>40559</v>
      </c>
      <c r="F249" s="2" t="str">
        <f>INDEX(Vendors!E:E,MATCH(Vendor_Analysis!C249,Vendors!A:A,0))</f>
        <v xml:space="preserve">60 </v>
      </c>
      <c r="G249" s="2">
        <v>60</v>
      </c>
      <c r="H249" s="16">
        <f t="shared" si="3"/>
        <v>45625</v>
      </c>
      <c r="J249" s="2"/>
    </row>
    <row r="250" spans="1:10" x14ac:dyDescent="0.25">
      <c r="A250" s="8" t="s">
        <v>283</v>
      </c>
      <c r="B250" s="8" t="s">
        <v>247</v>
      </c>
      <c r="C250" s="8" t="s">
        <v>50</v>
      </c>
      <c r="D250" s="10">
        <v>45592</v>
      </c>
      <c r="E250" s="9">
        <v>84287</v>
      </c>
      <c r="F250" s="2" t="str">
        <f>INDEX(Vendors!E:E,MATCH(Vendor_Analysis!C250,Vendors!A:A,0))</f>
        <v xml:space="preserve"> 90</v>
      </c>
      <c r="G250" s="2">
        <v>90</v>
      </c>
      <c r="H250" s="16">
        <f t="shared" si="3"/>
        <v>45682</v>
      </c>
      <c r="J250" s="2"/>
    </row>
    <row r="251" spans="1:10" x14ac:dyDescent="0.25">
      <c r="A251" s="8" t="s">
        <v>284</v>
      </c>
      <c r="B251" s="8" t="s">
        <v>247</v>
      </c>
      <c r="C251" s="8" t="s">
        <v>35</v>
      </c>
      <c r="D251" s="10">
        <v>45597</v>
      </c>
      <c r="E251" s="9">
        <v>77717</v>
      </c>
      <c r="F251" s="2" t="str">
        <f>INDEX(Vendors!E:E,MATCH(Vendor_Analysis!C251,Vendors!A:A,0))</f>
        <v xml:space="preserve">60 </v>
      </c>
      <c r="G251" s="2">
        <v>60</v>
      </c>
      <c r="H251" s="16">
        <f t="shared" si="3"/>
        <v>45657</v>
      </c>
      <c r="J251" s="2"/>
    </row>
    <row r="252" spans="1:10" x14ac:dyDescent="0.25">
      <c r="A252" s="8" t="s">
        <v>285</v>
      </c>
      <c r="B252" s="8" t="s">
        <v>247</v>
      </c>
      <c r="C252" s="8" t="s">
        <v>110</v>
      </c>
      <c r="D252" s="10">
        <v>45619</v>
      </c>
      <c r="E252" s="9">
        <v>86286</v>
      </c>
      <c r="F252" s="2" t="str">
        <f>INDEX(Vendors!E:E,MATCH(Vendor_Analysis!C252,Vendors!A:A,0))</f>
        <v xml:space="preserve">30 </v>
      </c>
      <c r="G252" s="2">
        <v>30</v>
      </c>
      <c r="H252" s="16">
        <f t="shared" si="3"/>
        <v>45649</v>
      </c>
      <c r="J252" s="2"/>
    </row>
    <row r="253" spans="1:10" x14ac:dyDescent="0.25">
      <c r="A253" s="8" t="s">
        <v>286</v>
      </c>
      <c r="B253" s="8" t="s">
        <v>247</v>
      </c>
      <c r="C253" s="8" t="s">
        <v>109</v>
      </c>
      <c r="D253" s="10">
        <v>45628</v>
      </c>
      <c r="E253" s="9">
        <v>62590</v>
      </c>
      <c r="F253" s="2" t="str">
        <f>INDEX(Vendors!E:E,MATCH(Vendor_Analysis!C253,Vendors!A:A,0))</f>
        <v xml:space="preserve">30 </v>
      </c>
      <c r="G253" s="2">
        <v>30</v>
      </c>
      <c r="H253" s="16">
        <f t="shared" si="3"/>
        <v>45658</v>
      </c>
      <c r="J253" s="2"/>
    </row>
    <row r="254" spans="1:10" x14ac:dyDescent="0.25">
      <c r="A254" s="8" t="s">
        <v>287</v>
      </c>
      <c r="B254" s="8" t="s">
        <v>247</v>
      </c>
      <c r="C254" s="8" t="s">
        <v>25</v>
      </c>
      <c r="D254" s="10">
        <v>45641</v>
      </c>
      <c r="E254" s="9">
        <v>40563</v>
      </c>
      <c r="F254" s="2" t="str">
        <f>INDEX(Vendors!E:E,MATCH(Vendor_Analysis!C254,Vendors!A:A,0))</f>
        <v xml:space="preserve">30 </v>
      </c>
      <c r="G254" s="2">
        <v>30</v>
      </c>
      <c r="H254" s="16">
        <f t="shared" si="3"/>
        <v>45671</v>
      </c>
      <c r="J254" s="2"/>
    </row>
    <row r="255" spans="1:10" x14ac:dyDescent="0.25">
      <c r="A255" s="8" t="s">
        <v>288</v>
      </c>
      <c r="B255" s="8" t="s">
        <v>247</v>
      </c>
      <c r="C255" s="8" t="s">
        <v>33</v>
      </c>
      <c r="D255" s="10">
        <v>45668</v>
      </c>
      <c r="E255" s="9">
        <v>84551</v>
      </c>
      <c r="F255" s="2" t="str">
        <f>INDEX(Vendors!E:E,MATCH(Vendor_Analysis!C255,Vendors!A:A,0))</f>
        <v xml:space="preserve">30 </v>
      </c>
      <c r="G255" s="2">
        <v>30</v>
      </c>
      <c r="H255" s="16">
        <f t="shared" si="3"/>
        <v>45698</v>
      </c>
      <c r="J255" s="2"/>
    </row>
    <row r="256" spans="1:10" x14ac:dyDescent="0.25">
      <c r="A256" s="8" t="s">
        <v>289</v>
      </c>
      <c r="B256" s="8" t="s">
        <v>247</v>
      </c>
      <c r="C256" s="8" t="s">
        <v>12</v>
      </c>
      <c r="D256" s="10">
        <v>45674</v>
      </c>
      <c r="E256" s="9">
        <v>89590</v>
      </c>
      <c r="F256" s="2" t="str">
        <f>INDEX(Vendors!E:E,MATCH(Vendor_Analysis!C256,Vendors!A:A,0))</f>
        <v xml:space="preserve">30 </v>
      </c>
      <c r="G256" s="2">
        <v>30</v>
      </c>
      <c r="H256" s="16">
        <f t="shared" si="3"/>
        <v>45704</v>
      </c>
      <c r="J256" s="2"/>
    </row>
    <row r="257" spans="1:10" x14ac:dyDescent="0.25">
      <c r="A257" s="8" t="s">
        <v>290</v>
      </c>
      <c r="B257" s="8" t="s">
        <v>247</v>
      </c>
      <c r="C257" s="8" t="s">
        <v>27</v>
      </c>
      <c r="D257" s="10">
        <v>45676</v>
      </c>
      <c r="E257" s="9">
        <v>44430</v>
      </c>
      <c r="F257" s="2" t="str">
        <f>INDEX(Vendors!E:E,MATCH(Vendor_Analysis!C257,Vendors!A:A,0))</f>
        <v xml:space="preserve">45 </v>
      </c>
      <c r="G257" s="2">
        <v>45</v>
      </c>
      <c r="H257" s="16">
        <f t="shared" si="3"/>
        <v>45721</v>
      </c>
      <c r="J257" s="2"/>
    </row>
    <row r="258" spans="1:10" x14ac:dyDescent="0.25">
      <c r="A258" s="8" t="s">
        <v>291</v>
      </c>
      <c r="B258" s="8" t="s">
        <v>247</v>
      </c>
      <c r="C258" s="8" t="s">
        <v>23</v>
      </c>
      <c r="D258" s="10">
        <v>45682</v>
      </c>
      <c r="E258" s="9">
        <v>40495</v>
      </c>
      <c r="F258" s="2" t="str">
        <f>INDEX(Vendors!E:E,MATCH(Vendor_Analysis!C258,Vendors!A:A,0))</f>
        <v xml:space="preserve"> 90</v>
      </c>
      <c r="G258" s="2">
        <v>90</v>
      </c>
      <c r="H258" s="16">
        <f t="shared" si="3"/>
        <v>45772</v>
      </c>
      <c r="J258" s="2"/>
    </row>
    <row r="259" spans="1:10" x14ac:dyDescent="0.25">
      <c r="A259" s="8" t="s">
        <v>292</v>
      </c>
      <c r="B259" s="8" t="s">
        <v>247</v>
      </c>
      <c r="C259" s="8" t="s">
        <v>48</v>
      </c>
      <c r="D259" s="10">
        <v>45687</v>
      </c>
      <c r="E259" s="9">
        <v>49214</v>
      </c>
      <c r="F259" s="2" t="str">
        <f>INDEX(Vendors!E:E,MATCH(Vendor_Analysis!C259,Vendors!A:A,0))</f>
        <v xml:space="preserve"> 90</v>
      </c>
      <c r="G259" s="2">
        <v>90</v>
      </c>
      <c r="H259" s="16">
        <f t="shared" ref="H259:H322" si="4">D259+F259</f>
        <v>45777</v>
      </c>
      <c r="J259" s="2"/>
    </row>
    <row r="260" spans="1:10" x14ac:dyDescent="0.25">
      <c r="A260" s="8" t="s">
        <v>293</v>
      </c>
      <c r="B260" s="8" t="s">
        <v>247</v>
      </c>
      <c r="C260" s="8" t="s">
        <v>73</v>
      </c>
      <c r="D260" s="10">
        <v>45702</v>
      </c>
      <c r="E260" s="9">
        <v>92738</v>
      </c>
      <c r="F260" s="2" t="str">
        <f>INDEX(Vendors!E:E,MATCH(Vendor_Analysis!C260,Vendors!A:A,0))</f>
        <v xml:space="preserve">60 </v>
      </c>
      <c r="G260" s="2">
        <v>60</v>
      </c>
      <c r="H260" s="16">
        <f t="shared" si="4"/>
        <v>45762</v>
      </c>
      <c r="J260" s="2"/>
    </row>
    <row r="261" spans="1:10" x14ac:dyDescent="0.25">
      <c r="A261" s="8" t="s">
        <v>294</v>
      </c>
      <c r="B261" s="8" t="s">
        <v>247</v>
      </c>
      <c r="C261" s="8" t="s">
        <v>8</v>
      </c>
      <c r="D261" s="10">
        <v>45704</v>
      </c>
      <c r="E261" s="9">
        <v>75474</v>
      </c>
      <c r="F261" s="2" t="str">
        <f>INDEX(Vendors!E:E,MATCH(Vendor_Analysis!C261,Vendors!A:A,0))</f>
        <v xml:space="preserve">60 </v>
      </c>
      <c r="G261" s="2">
        <v>60</v>
      </c>
      <c r="H261" s="16">
        <f t="shared" si="4"/>
        <v>45764</v>
      </c>
      <c r="J261" s="2"/>
    </row>
    <row r="262" spans="1:10" x14ac:dyDescent="0.25">
      <c r="A262" s="8" t="s">
        <v>295</v>
      </c>
      <c r="B262" s="8" t="s">
        <v>247</v>
      </c>
      <c r="C262" s="8" t="s">
        <v>14</v>
      </c>
      <c r="D262" s="10">
        <v>45741</v>
      </c>
      <c r="E262" s="9">
        <v>36556</v>
      </c>
      <c r="F262" s="2" t="str">
        <f>INDEX(Vendors!E:E,MATCH(Vendor_Analysis!C262,Vendors!A:A,0))</f>
        <v xml:space="preserve"> 90</v>
      </c>
      <c r="G262" s="2">
        <v>90</v>
      </c>
      <c r="H262" s="16">
        <f t="shared" si="4"/>
        <v>45831</v>
      </c>
      <c r="J262" s="2"/>
    </row>
    <row r="263" spans="1:10" x14ac:dyDescent="0.25">
      <c r="A263" s="8" t="s">
        <v>296</v>
      </c>
      <c r="B263" s="8" t="s">
        <v>247</v>
      </c>
      <c r="C263" s="8" t="s">
        <v>23</v>
      </c>
      <c r="D263" s="10">
        <v>45749</v>
      </c>
      <c r="E263" s="9">
        <v>82382</v>
      </c>
      <c r="F263" s="2" t="str">
        <f>INDEX(Vendors!E:E,MATCH(Vendor_Analysis!C263,Vendors!A:A,0))</f>
        <v xml:space="preserve"> 90</v>
      </c>
      <c r="G263" s="2">
        <v>90</v>
      </c>
      <c r="H263" s="16">
        <f t="shared" si="4"/>
        <v>45839</v>
      </c>
      <c r="J263" s="2"/>
    </row>
    <row r="264" spans="1:10" x14ac:dyDescent="0.25">
      <c r="A264" s="8" t="s">
        <v>297</v>
      </c>
      <c r="B264" s="8" t="s">
        <v>247</v>
      </c>
      <c r="C264" s="8" t="s">
        <v>48</v>
      </c>
      <c r="D264" s="10">
        <v>45772</v>
      </c>
      <c r="E264" s="9">
        <v>57187</v>
      </c>
      <c r="F264" s="2" t="str">
        <f>INDEX(Vendors!E:E,MATCH(Vendor_Analysis!C264,Vendors!A:A,0))</f>
        <v xml:space="preserve"> 90</v>
      </c>
      <c r="G264" s="2">
        <v>90</v>
      </c>
      <c r="H264" s="16">
        <f t="shared" si="4"/>
        <v>45862</v>
      </c>
      <c r="J264" s="2"/>
    </row>
    <row r="265" spans="1:10" x14ac:dyDescent="0.25">
      <c r="A265" s="8" t="s">
        <v>298</v>
      </c>
      <c r="B265" s="8" t="s">
        <v>247</v>
      </c>
      <c r="C265" s="8" t="s">
        <v>35</v>
      </c>
      <c r="D265" s="10">
        <v>45792</v>
      </c>
      <c r="E265" s="9">
        <v>65535</v>
      </c>
      <c r="F265" s="2" t="str">
        <f>INDEX(Vendors!E:E,MATCH(Vendor_Analysis!C265,Vendors!A:A,0))</f>
        <v xml:space="preserve">60 </v>
      </c>
      <c r="G265" s="2">
        <v>60</v>
      </c>
      <c r="H265" s="16">
        <f t="shared" si="4"/>
        <v>45852</v>
      </c>
      <c r="J265" s="2"/>
    </row>
    <row r="266" spans="1:10" x14ac:dyDescent="0.25">
      <c r="A266" s="8" t="s">
        <v>299</v>
      </c>
      <c r="B266" s="8" t="s">
        <v>247</v>
      </c>
      <c r="C266" s="8" t="s">
        <v>55</v>
      </c>
      <c r="D266" s="10">
        <v>45800</v>
      </c>
      <c r="E266" s="9">
        <v>69702</v>
      </c>
      <c r="F266" s="2" t="str">
        <f>INDEX(Vendors!E:E,MATCH(Vendor_Analysis!C266,Vendors!A:A,0))</f>
        <v xml:space="preserve">30 </v>
      </c>
      <c r="G266" s="2">
        <v>30</v>
      </c>
      <c r="H266" s="16">
        <f t="shared" si="4"/>
        <v>45830</v>
      </c>
      <c r="J266" s="2"/>
    </row>
    <row r="267" spans="1:10" x14ac:dyDescent="0.25">
      <c r="A267" s="8" t="s">
        <v>300</v>
      </c>
      <c r="B267" s="8" t="s">
        <v>247</v>
      </c>
      <c r="C267" s="8" t="s">
        <v>14</v>
      </c>
      <c r="D267" s="10">
        <v>45841</v>
      </c>
      <c r="E267" s="9">
        <v>85912</v>
      </c>
      <c r="F267" s="2" t="str">
        <f>INDEX(Vendors!E:E,MATCH(Vendor_Analysis!C267,Vendors!A:A,0))</f>
        <v xml:space="preserve"> 90</v>
      </c>
      <c r="G267" s="2">
        <v>90</v>
      </c>
      <c r="H267" s="16">
        <f t="shared" si="4"/>
        <v>45931</v>
      </c>
      <c r="J267" s="2"/>
    </row>
    <row r="268" spans="1:10" x14ac:dyDescent="0.25">
      <c r="A268" s="8" t="s">
        <v>301</v>
      </c>
      <c r="B268" s="8" t="s">
        <v>247</v>
      </c>
      <c r="C268" s="8" t="s">
        <v>23</v>
      </c>
      <c r="D268" s="10">
        <v>45844</v>
      </c>
      <c r="E268" s="9">
        <v>44422</v>
      </c>
      <c r="F268" s="2" t="str">
        <f>INDEX(Vendors!E:E,MATCH(Vendor_Analysis!C268,Vendors!A:A,0))</f>
        <v xml:space="preserve"> 90</v>
      </c>
      <c r="G268" s="2">
        <v>90</v>
      </c>
      <c r="H268" s="16">
        <f t="shared" si="4"/>
        <v>45934</v>
      </c>
      <c r="J268" s="2"/>
    </row>
    <row r="269" spans="1:10" x14ac:dyDescent="0.25">
      <c r="A269" s="8" t="s">
        <v>302</v>
      </c>
      <c r="B269" s="8" t="s">
        <v>247</v>
      </c>
      <c r="C269" s="8" t="s">
        <v>6</v>
      </c>
      <c r="D269" s="10">
        <v>45845</v>
      </c>
      <c r="E269" s="9">
        <v>49528</v>
      </c>
      <c r="F269" s="2" t="str">
        <f>INDEX(Vendors!E:E,MATCH(Vendor_Analysis!C269,Vendors!A:A,0))</f>
        <v xml:space="preserve">60 </v>
      </c>
      <c r="G269" s="2">
        <v>60</v>
      </c>
      <c r="H269" s="16">
        <f t="shared" si="4"/>
        <v>45905</v>
      </c>
      <c r="J269" s="2"/>
    </row>
    <row r="270" spans="1:10" x14ac:dyDescent="0.25">
      <c r="A270" s="8" t="s">
        <v>303</v>
      </c>
      <c r="B270" s="8" t="s">
        <v>247</v>
      </c>
      <c r="C270" s="8" t="s">
        <v>55</v>
      </c>
      <c r="D270" s="10">
        <v>45853</v>
      </c>
      <c r="E270" s="9">
        <v>56874</v>
      </c>
      <c r="F270" s="2" t="str">
        <f>INDEX(Vendors!E:E,MATCH(Vendor_Analysis!C270,Vendors!A:A,0))</f>
        <v xml:space="preserve">30 </v>
      </c>
      <c r="G270" s="2">
        <v>30</v>
      </c>
      <c r="H270" s="16">
        <f t="shared" si="4"/>
        <v>45883</v>
      </c>
      <c r="J270" s="2"/>
    </row>
    <row r="271" spans="1:10" x14ac:dyDescent="0.25">
      <c r="A271" s="8" t="s">
        <v>304</v>
      </c>
      <c r="B271" s="8" t="s">
        <v>247</v>
      </c>
      <c r="C271" s="8" t="s">
        <v>35</v>
      </c>
      <c r="D271" s="10">
        <v>45858</v>
      </c>
      <c r="E271" s="9">
        <v>76062</v>
      </c>
      <c r="F271" s="2" t="str">
        <f>INDEX(Vendors!E:E,MATCH(Vendor_Analysis!C271,Vendors!A:A,0))</f>
        <v xml:space="preserve">60 </v>
      </c>
      <c r="G271" s="2">
        <v>60</v>
      </c>
      <c r="H271" s="16">
        <f t="shared" si="4"/>
        <v>45918</v>
      </c>
      <c r="J271" s="2"/>
    </row>
    <row r="272" spans="1:10" x14ac:dyDescent="0.25">
      <c r="A272" s="8" t="s">
        <v>305</v>
      </c>
      <c r="B272" s="8" t="s">
        <v>247</v>
      </c>
      <c r="C272" s="8" t="s">
        <v>23</v>
      </c>
      <c r="D272" s="10">
        <v>45864</v>
      </c>
      <c r="E272" s="9">
        <v>56350</v>
      </c>
      <c r="F272" s="2" t="str">
        <f>INDEX(Vendors!E:E,MATCH(Vendor_Analysis!C272,Vendors!A:A,0))</f>
        <v xml:space="preserve"> 90</v>
      </c>
      <c r="G272" s="2">
        <v>90</v>
      </c>
      <c r="H272" s="16">
        <f t="shared" si="4"/>
        <v>45954</v>
      </c>
      <c r="J272" s="2"/>
    </row>
    <row r="273" spans="1:10" x14ac:dyDescent="0.25">
      <c r="A273" s="8" t="s">
        <v>306</v>
      </c>
      <c r="B273" s="8" t="s">
        <v>247</v>
      </c>
      <c r="C273" s="8" t="s">
        <v>110</v>
      </c>
      <c r="D273" s="10">
        <v>45896</v>
      </c>
      <c r="E273" s="9">
        <v>51038</v>
      </c>
      <c r="F273" s="2" t="str">
        <f>INDEX(Vendors!E:E,MATCH(Vendor_Analysis!C273,Vendors!A:A,0))</f>
        <v xml:space="preserve">30 </v>
      </c>
      <c r="G273" s="2">
        <v>30</v>
      </c>
      <c r="H273" s="16">
        <f t="shared" si="4"/>
        <v>45926</v>
      </c>
      <c r="J273" s="2"/>
    </row>
    <row r="274" spans="1:10" x14ac:dyDescent="0.25">
      <c r="A274" s="8" t="s">
        <v>307</v>
      </c>
      <c r="B274" s="8" t="s">
        <v>308</v>
      </c>
      <c r="C274" s="8" t="s">
        <v>73</v>
      </c>
      <c r="D274" s="10">
        <v>45237</v>
      </c>
      <c r="E274" s="9">
        <v>59362</v>
      </c>
      <c r="F274" s="2" t="str">
        <f>INDEX(Vendors!E:E,MATCH(Vendor_Analysis!C274,Vendors!A:A,0))</f>
        <v xml:space="preserve">60 </v>
      </c>
      <c r="G274" s="2">
        <v>60</v>
      </c>
      <c r="H274" s="16">
        <f t="shared" si="4"/>
        <v>45297</v>
      </c>
      <c r="J274" s="2"/>
    </row>
    <row r="275" spans="1:10" x14ac:dyDescent="0.25">
      <c r="A275" s="8" t="s">
        <v>309</v>
      </c>
      <c r="B275" s="8" t="s">
        <v>308</v>
      </c>
      <c r="C275" s="8" t="s">
        <v>50</v>
      </c>
      <c r="D275" s="10">
        <v>45257</v>
      </c>
      <c r="E275" s="9">
        <v>33769</v>
      </c>
      <c r="F275" s="2" t="str">
        <f>INDEX(Vendors!E:E,MATCH(Vendor_Analysis!C275,Vendors!A:A,0))</f>
        <v xml:space="preserve"> 90</v>
      </c>
      <c r="G275" s="2">
        <v>90</v>
      </c>
      <c r="H275" s="16">
        <f t="shared" si="4"/>
        <v>45347</v>
      </c>
      <c r="J275" s="2"/>
    </row>
    <row r="276" spans="1:10" x14ac:dyDescent="0.25">
      <c r="A276" s="8" t="s">
        <v>310</v>
      </c>
      <c r="B276" s="8" t="s">
        <v>308</v>
      </c>
      <c r="C276" s="8" t="s">
        <v>10</v>
      </c>
      <c r="D276" s="10">
        <v>45262</v>
      </c>
      <c r="E276" s="9">
        <v>50307</v>
      </c>
      <c r="F276" s="2" t="str">
        <f>INDEX(Vendors!E:E,MATCH(Vendor_Analysis!C276,Vendors!A:A,0))</f>
        <v xml:space="preserve">60 </v>
      </c>
      <c r="G276" s="2">
        <v>60</v>
      </c>
      <c r="H276" s="16">
        <f t="shared" si="4"/>
        <v>45322</v>
      </c>
      <c r="J276" s="2"/>
    </row>
    <row r="277" spans="1:10" x14ac:dyDescent="0.25">
      <c r="A277" s="8" t="s">
        <v>311</v>
      </c>
      <c r="B277" s="8" t="s">
        <v>308</v>
      </c>
      <c r="C277" s="8" t="s">
        <v>17</v>
      </c>
      <c r="D277" s="10">
        <v>45276</v>
      </c>
      <c r="E277" s="9">
        <v>89751</v>
      </c>
      <c r="F277" s="2" t="str">
        <f>INDEX(Vendors!E:E,MATCH(Vendor_Analysis!C277,Vendors!A:A,0))</f>
        <v xml:space="preserve">45 </v>
      </c>
      <c r="G277" s="2">
        <v>45</v>
      </c>
      <c r="H277" s="16">
        <f t="shared" si="4"/>
        <v>45321</v>
      </c>
      <c r="J277" s="2"/>
    </row>
    <row r="278" spans="1:10" x14ac:dyDescent="0.25">
      <c r="A278" s="8" t="s">
        <v>312</v>
      </c>
      <c r="B278" s="8" t="s">
        <v>308</v>
      </c>
      <c r="C278" s="8" t="s">
        <v>91</v>
      </c>
      <c r="D278" s="10">
        <v>45288</v>
      </c>
      <c r="E278" s="9">
        <v>56507</v>
      </c>
      <c r="F278" s="2" t="str">
        <f>INDEX(Vendors!E:E,MATCH(Vendor_Analysis!C278,Vendors!A:A,0))</f>
        <v xml:space="preserve">60 </v>
      </c>
      <c r="G278" s="2">
        <v>60</v>
      </c>
      <c r="H278" s="16">
        <f t="shared" si="4"/>
        <v>45348</v>
      </c>
      <c r="J278" s="2"/>
    </row>
    <row r="279" spans="1:10" x14ac:dyDescent="0.25">
      <c r="A279" s="8" t="s">
        <v>313</v>
      </c>
      <c r="B279" s="8" t="s">
        <v>308</v>
      </c>
      <c r="C279" s="8" t="s">
        <v>27</v>
      </c>
      <c r="D279" s="10">
        <v>45291</v>
      </c>
      <c r="E279" s="9">
        <v>28237</v>
      </c>
      <c r="F279" s="2" t="str">
        <f>INDEX(Vendors!E:E,MATCH(Vendor_Analysis!C279,Vendors!A:A,0))</f>
        <v xml:space="preserve">45 </v>
      </c>
      <c r="G279" s="2">
        <v>45</v>
      </c>
      <c r="H279" s="16">
        <f t="shared" si="4"/>
        <v>45336</v>
      </c>
      <c r="J279" s="2"/>
    </row>
    <row r="280" spans="1:10" x14ac:dyDescent="0.25">
      <c r="A280" s="8" t="s">
        <v>314</v>
      </c>
      <c r="B280" s="8" t="s">
        <v>308</v>
      </c>
      <c r="C280" s="8" t="s">
        <v>109</v>
      </c>
      <c r="D280" s="10">
        <v>45326</v>
      </c>
      <c r="E280" s="9">
        <v>42779</v>
      </c>
      <c r="F280" s="2" t="str">
        <f>INDEX(Vendors!E:E,MATCH(Vendor_Analysis!C280,Vendors!A:A,0))</f>
        <v xml:space="preserve">30 </v>
      </c>
      <c r="G280" s="2">
        <v>30</v>
      </c>
      <c r="H280" s="16">
        <f t="shared" si="4"/>
        <v>45356</v>
      </c>
      <c r="J280" s="2"/>
    </row>
    <row r="281" spans="1:10" x14ac:dyDescent="0.25">
      <c r="A281" s="8" t="s">
        <v>315</v>
      </c>
      <c r="B281" s="8" t="s">
        <v>308</v>
      </c>
      <c r="C281" s="8" t="s">
        <v>44</v>
      </c>
      <c r="D281" s="10">
        <v>45343</v>
      </c>
      <c r="E281" s="9">
        <v>75439</v>
      </c>
      <c r="F281" s="2" t="str">
        <f>INDEX(Vendors!E:E,MATCH(Vendor_Analysis!C281,Vendors!A:A,0))</f>
        <v xml:space="preserve">45 </v>
      </c>
      <c r="G281" s="2">
        <v>45</v>
      </c>
      <c r="H281" s="16">
        <f t="shared" si="4"/>
        <v>45388</v>
      </c>
      <c r="J281" s="2"/>
    </row>
    <row r="282" spans="1:10" x14ac:dyDescent="0.25">
      <c r="A282" s="8" t="s">
        <v>316</v>
      </c>
      <c r="B282" s="8" t="s">
        <v>308</v>
      </c>
      <c r="C282" s="8" t="s">
        <v>8</v>
      </c>
      <c r="D282" s="10">
        <v>45352</v>
      </c>
      <c r="E282" s="9">
        <v>56104</v>
      </c>
      <c r="F282" s="2" t="str">
        <f>INDEX(Vendors!E:E,MATCH(Vendor_Analysis!C282,Vendors!A:A,0))</f>
        <v xml:space="preserve">60 </v>
      </c>
      <c r="G282" s="2">
        <v>60</v>
      </c>
      <c r="H282" s="16">
        <f t="shared" si="4"/>
        <v>45412</v>
      </c>
      <c r="J282" s="2"/>
    </row>
    <row r="283" spans="1:10" x14ac:dyDescent="0.25">
      <c r="A283" s="8" t="s">
        <v>317</v>
      </c>
      <c r="B283" s="8" t="s">
        <v>308</v>
      </c>
      <c r="C283" s="8" t="s">
        <v>73</v>
      </c>
      <c r="D283" s="10">
        <v>45356</v>
      </c>
      <c r="E283" s="9">
        <v>73334</v>
      </c>
      <c r="F283" s="2" t="str">
        <f>INDEX(Vendors!E:E,MATCH(Vendor_Analysis!C283,Vendors!A:A,0))</f>
        <v xml:space="preserve">60 </v>
      </c>
      <c r="G283" s="2">
        <v>60</v>
      </c>
      <c r="H283" s="16">
        <f t="shared" si="4"/>
        <v>45416</v>
      </c>
      <c r="J283" s="2"/>
    </row>
    <row r="284" spans="1:10" x14ac:dyDescent="0.25">
      <c r="A284" s="8" t="s">
        <v>318</v>
      </c>
      <c r="B284" s="8" t="s">
        <v>308</v>
      </c>
      <c r="C284" s="8" t="s">
        <v>29</v>
      </c>
      <c r="D284" s="10">
        <v>45381</v>
      </c>
      <c r="E284" s="9">
        <v>64520</v>
      </c>
      <c r="F284" s="2" t="str">
        <f>INDEX(Vendors!E:E,MATCH(Vendor_Analysis!C284,Vendors!A:A,0))</f>
        <v xml:space="preserve">30 </v>
      </c>
      <c r="G284" s="2">
        <v>30</v>
      </c>
      <c r="H284" s="16">
        <f t="shared" si="4"/>
        <v>45411</v>
      </c>
      <c r="J284" s="2"/>
    </row>
    <row r="285" spans="1:10" x14ac:dyDescent="0.25">
      <c r="A285" s="8" t="s">
        <v>319</v>
      </c>
      <c r="B285" s="8" t="s">
        <v>308</v>
      </c>
      <c r="C285" s="8" t="s">
        <v>50</v>
      </c>
      <c r="D285" s="10">
        <v>45388</v>
      </c>
      <c r="E285" s="9">
        <v>42384</v>
      </c>
      <c r="F285" s="2" t="str">
        <f>INDEX(Vendors!E:E,MATCH(Vendor_Analysis!C285,Vendors!A:A,0))</f>
        <v xml:space="preserve"> 90</v>
      </c>
      <c r="G285" s="2">
        <v>90</v>
      </c>
      <c r="H285" s="16">
        <f t="shared" si="4"/>
        <v>45478</v>
      </c>
      <c r="J285" s="2"/>
    </row>
    <row r="286" spans="1:10" x14ac:dyDescent="0.25">
      <c r="A286" s="8" t="s">
        <v>320</v>
      </c>
      <c r="B286" s="8" t="s">
        <v>308</v>
      </c>
      <c r="C286" s="8" t="s">
        <v>10</v>
      </c>
      <c r="D286" s="10">
        <v>45393</v>
      </c>
      <c r="E286" s="9">
        <v>71907</v>
      </c>
      <c r="F286" s="2" t="str">
        <f>INDEX(Vendors!E:E,MATCH(Vendor_Analysis!C286,Vendors!A:A,0))</f>
        <v xml:space="preserve">60 </v>
      </c>
      <c r="G286" s="2">
        <v>60</v>
      </c>
      <c r="H286" s="16">
        <f t="shared" si="4"/>
        <v>45453</v>
      </c>
      <c r="J286" s="2"/>
    </row>
    <row r="287" spans="1:10" x14ac:dyDescent="0.25">
      <c r="A287" s="8" t="s">
        <v>321</v>
      </c>
      <c r="B287" s="8" t="s">
        <v>308</v>
      </c>
      <c r="C287" s="8" t="s">
        <v>6</v>
      </c>
      <c r="D287" s="10">
        <v>45405</v>
      </c>
      <c r="E287" s="9">
        <v>35340</v>
      </c>
      <c r="F287" s="2" t="str">
        <f>INDEX(Vendors!E:E,MATCH(Vendor_Analysis!C287,Vendors!A:A,0))</f>
        <v xml:space="preserve">60 </v>
      </c>
      <c r="G287" s="2">
        <v>60</v>
      </c>
      <c r="H287" s="16">
        <f t="shared" si="4"/>
        <v>45465</v>
      </c>
      <c r="J287" s="2"/>
    </row>
    <row r="288" spans="1:10" x14ac:dyDescent="0.25">
      <c r="A288" s="8" t="s">
        <v>322</v>
      </c>
      <c r="B288" s="8" t="s">
        <v>308</v>
      </c>
      <c r="C288" s="8" t="s">
        <v>44</v>
      </c>
      <c r="D288" s="10">
        <v>45415</v>
      </c>
      <c r="E288" s="9">
        <v>70845</v>
      </c>
      <c r="F288" s="2" t="str">
        <f>INDEX(Vendors!E:E,MATCH(Vendor_Analysis!C288,Vendors!A:A,0))</f>
        <v xml:space="preserve">45 </v>
      </c>
      <c r="G288" s="2">
        <v>45</v>
      </c>
      <c r="H288" s="16">
        <f t="shared" si="4"/>
        <v>45460</v>
      </c>
      <c r="J288" s="2"/>
    </row>
    <row r="289" spans="1:10" x14ac:dyDescent="0.25">
      <c r="A289" s="8" t="s">
        <v>323</v>
      </c>
      <c r="B289" s="8" t="s">
        <v>308</v>
      </c>
      <c r="C289" s="8" t="s">
        <v>37</v>
      </c>
      <c r="D289" s="10">
        <v>45421</v>
      </c>
      <c r="E289" s="9">
        <v>62724</v>
      </c>
      <c r="F289" s="2" t="str">
        <f>INDEX(Vendors!E:E,MATCH(Vendor_Analysis!C289,Vendors!A:A,0))</f>
        <v xml:space="preserve">30 </v>
      </c>
      <c r="G289" s="2">
        <v>30</v>
      </c>
      <c r="H289" s="16">
        <f t="shared" si="4"/>
        <v>45451</v>
      </c>
      <c r="J289" s="2"/>
    </row>
    <row r="290" spans="1:10" x14ac:dyDescent="0.25">
      <c r="A290" s="8" t="s">
        <v>324</v>
      </c>
      <c r="B290" s="8" t="s">
        <v>308</v>
      </c>
      <c r="C290" s="8" t="s">
        <v>27</v>
      </c>
      <c r="D290" s="10">
        <v>45438</v>
      </c>
      <c r="E290" s="9">
        <v>38900</v>
      </c>
      <c r="F290" s="2" t="str">
        <f>INDEX(Vendors!E:E,MATCH(Vendor_Analysis!C290,Vendors!A:A,0))</f>
        <v xml:space="preserve">45 </v>
      </c>
      <c r="G290" s="2">
        <v>45</v>
      </c>
      <c r="H290" s="16">
        <f t="shared" si="4"/>
        <v>45483</v>
      </c>
      <c r="J290" s="2"/>
    </row>
    <row r="291" spans="1:10" x14ac:dyDescent="0.25">
      <c r="A291" s="8" t="s">
        <v>325</v>
      </c>
      <c r="B291" s="8" t="s">
        <v>308</v>
      </c>
      <c r="C291" s="8" t="s">
        <v>6</v>
      </c>
      <c r="D291" s="10">
        <v>45466</v>
      </c>
      <c r="E291" s="9">
        <v>48086</v>
      </c>
      <c r="F291" s="2" t="str">
        <f>INDEX(Vendors!E:E,MATCH(Vendor_Analysis!C291,Vendors!A:A,0))</f>
        <v xml:space="preserve">60 </v>
      </c>
      <c r="G291" s="2">
        <v>60</v>
      </c>
      <c r="H291" s="16">
        <f t="shared" si="4"/>
        <v>45526</v>
      </c>
      <c r="J291" s="2"/>
    </row>
    <row r="292" spans="1:10" x14ac:dyDescent="0.25">
      <c r="A292" s="8" t="s">
        <v>326</v>
      </c>
      <c r="B292" s="8" t="s">
        <v>308</v>
      </c>
      <c r="C292" s="8" t="s">
        <v>108</v>
      </c>
      <c r="D292" s="10">
        <v>45475</v>
      </c>
      <c r="E292" s="9">
        <v>61938</v>
      </c>
      <c r="F292" s="2" t="str">
        <f>INDEX(Vendors!E:E,MATCH(Vendor_Analysis!C292,Vendors!A:A,0))</f>
        <v xml:space="preserve"> 90</v>
      </c>
      <c r="G292" s="2">
        <v>90</v>
      </c>
      <c r="H292" s="16">
        <f t="shared" si="4"/>
        <v>45565</v>
      </c>
      <c r="J292" s="2"/>
    </row>
    <row r="293" spans="1:10" x14ac:dyDescent="0.25">
      <c r="A293" s="8" t="s">
        <v>327</v>
      </c>
      <c r="B293" s="8" t="s">
        <v>308</v>
      </c>
      <c r="C293" s="8" t="s">
        <v>27</v>
      </c>
      <c r="D293" s="10">
        <v>45481</v>
      </c>
      <c r="E293" s="9">
        <v>48916</v>
      </c>
      <c r="F293" s="2" t="str">
        <f>INDEX(Vendors!E:E,MATCH(Vendor_Analysis!C293,Vendors!A:A,0))</f>
        <v xml:space="preserve">45 </v>
      </c>
      <c r="G293" s="2">
        <v>45</v>
      </c>
      <c r="H293" s="16">
        <f t="shared" si="4"/>
        <v>45526</v>
      </c>
      <c r="J293" s="2"/>
    </row>
    <row r="294" spans="1:10" x14ac:dyDescent="0.25">
      <c r="A294" s="8" t="s">
        <v>328</v>
      </c>
      <c r="B294" s="8" t="s">
        <v>308</v>
      </c>
      <c r="C294" s="8" t="s">
        <v>33</v>
      </c>
      <c r="D294" s="10">
        <v>45511</v>
      </c>
      <c r="E294" s="9">
        <v>76938</v>
      </c>
      <c r="F294" s="2" t="str">
        <f>INDEX(Vendors!E:E,MATCH(Vendor_Analysis!C294,Vendors!A:A,0))</f>
        <v xml:space="preserve">30 </v>
      </c>
      <c r="G294" s="2">
        <v>30</v>
      </c>
      <c r="H294" s="16">
        <f t="shared" si="4"/>
        <v>45541</v>
      </c>
      <c r="J294" s="2"/>
    </row>
    <row r="295" spans="1:10" x14ac:dyDescent="0.25">
      <c r="A295" s="8" t="s">
        <v>329</v>
      </c>
      <c r="B295" s="8" t="s">
        <v>308</v>
      </c>
      <c r="C295" s="8" t="s">
        <v>29</v>
      </c>
      <c r="D295" s="10">
        <v>45514</v>
      </c>
      <c r="E295" s="9">
        <v>71961</v>
      </c>
      <c r="F295" s="2" t="str">
        <f>INDEX(Vendors!E:E,MATCH(Vendor_Analysis!C295,Vendors!A:A,0))</f>
        <v xml:space="preserve">30 </v>
      </c>
      <c r="G295" s="2">
        <v>30</v>
      </c>
      <c r="H295" s="16">
        <f t="shared" si="4"/>
        <v>45544</v>
      </c>
      <c r="J295" s="2"/>
    </row>
    <row r="296" spans="1:10" x14ac:dyDescent="0.25">
      <c r="A296" s="8" t="s">
        <v>330</v>
      </c>
      <c r="B296" s="8" t="s">
        <v>308</v>
      </c>
      <c r="C296" s="8" t="s">
        <v>25</v>
      </c>
      <c r="D296" s="10">
        <v>45530</v>
      </c>
      <c r="E296" s="9">
        <v>56048</v>
      </c>
      <c r="F296" s="2" t="str">
        <f>INDEX(Vendors!E:E,MATCH(Vendor_Analysis!C296,Vendors!A:A,0))</f>
        <v xml:space="preserve">30 </v>
      </c>
      <c r="G296" s="2">
        <v>30</v>
      </c>
      <c r="H296" s="16">
        <f t="shared" si="4"/>
        <v>45560</v>
      </c>
      <c r="J296" s="2"/>
    </row>
    <row r="297" spans="1:10" x14ac:dyDescent="0.25">
      <c r="A297" s="8" t="s">
        <v>331</v>
      </c>
      <c r="B297" s="8" t="s">
        <v>308</v>
      </c>
      <c r="C297" s="8" t="s">
        <v>25</v>
      </c>
      <c r="D297" s="10">
        <v>45531</v>
      </c>
      <c r="E297" s="9">
        <v>65501</v>
      </c>
      <c r="F297" s="2" t="str">
        <f>INDEX(Vendors!E:E,MATCH(Vendor_Analysis!C297,Vendors!A:A,0))</f>
        <v xml:space="preserve">30 </v>
      </c>
      <c r="G297" s="2">
        <v>30</v>
      </c>
      <c r="H297" s="16">
        <f t="shared" si="4"/>
        <v>45561</v>
      </c>
      <c r="J297" s="2"/>
    </row>
    <row r="298" spans="1:10" x14ac:dyDescent="0.25">
      <c r="A298" s="8" t="s">
        <v>332</v>
      </c>
      <c r="B298" s="8" t="s">
        <v>308</v>
      </c>
      <c r="C298" s="8" t="s">
        <v>19</v>
      </c>
      <c r="D298" s="10">
        <v>45534</v>
      </c>
      <c r="E298" s="9">
        <v>46842</v>
      </c>
      <c r="F298" s="2" t="str">
        <f>INDEX(Vendors!E:E,MATCH(Vendor_Analysis!C298,Vendors!A:A,0))</f>
        <v xml:space="preserve">45 </v>
      </c>
      <c r="G298" s="2">
        <v>45</v>
      </c>
      <c r="H298" s="16">
        <f t="shared" si="4"/>
        <v>45579</v>
      </c>
      <c r="J298" s="2"/>
    </row>
    <row r="299" spans="1:10" x14ac:dyDescent="0.25">
      <c r="A299" s="8" t="s">
        <v>333</v>
      </c>
      <c r="B299" s="8" t="s">
        <v>308</v>
      </c>
      <c r="C299" s="8" t="s">
        <v>19</v>
      </c>
      <c r="D299" s="10">
        <v>45547</v>
      </c>
      <c r="E299" s="9">
        <v>36563</v>
      </c>
      <c r="F299" s="2" t="str">
        <f>INDEX(Vendors!E:E,MATCH(Vendor_Analysis!C299,Vendors!A:A,0))</f>
        <v xml:space="preserve">45 </v>
      </c>
      <c r="G299" s="2">
        <v>45</v>
      </c>
      <c r="H299" s="16">
        <f t="shared" si="4"/>
        <v>45592</v>
      </c>
      <c r="J299" s="2"/>
    </row>
    <row r="300" spans="1:10" x14ac:dyDescent="0.25">
      <c r="A300" s="8" t="s">
        <v>334</v>
      </c>
      <c r="B300" s="8" t="s">
        <v>308</v>
      </c>
      <c r="C300" s="8" t="s">
        <v>37</v>
      </c>
      <c r="D300" s="10">
        <v>45554</v>
      </c>
      <c r="E300" s="9">
        <v>58289</v>
      </c>
      <c r="F300" s="2" t="str">
        <f>INDEX(Vendors!E:E,MATCH(Vendor_Analysis!C300,Vendors!A:A,0))</f>
        <v xml:space="preserve">30 </v>
      </c>
      <c r="G300" s="2">
        <v>30</v>
      </c>
      <c r="H300" s="16">
        <f t="shared" si="4"/>
        <v>45584</v>
      </c>
      <c r="J300" s="2"/>
    </row>
    <row r="301" spans="1:10" x14ac:dyDescent="0.25">
      <c r="A301" s="8" t="s">
        <v>335</v>
      </c>
      <c r="B301" s="8" t="s">
        <v>308</v>
      </c>
      <c r="C301" s="8" t="s">
        <v>108</v>
      </c>
      <c r="D301" s="10">
        <v>45566</v>
      </c>
      <c r="E301" s="9">
        <v>58472</v>
      </c>
      <c r="F301" s="2" t="str">
        <f>INDEX(Vendors!E:E,MATCH(Vendor_Analysis!C301,Vendors!A:A,0))</f>
        <v xml:space="preserve"> 90</v>
      </c>
      <c r="G301" s="2">
        <v>90</v>
      </c>
      <c r="H301" s="16">
        <f t="shared" si="4"/>
        <v>45656</v>
      </c>
      <c r="J301" s="2"/>
    </row>
    <row r="302" spans="1:10" x14ac:dyDescent="0.25">
      <c r="A302" s="8" t="s">
        <v>336</v>
      </c>
      <c r="B302" s="8" t="s">
        <v>308</v>
      </c>
      <c r="C302" s="8" t="s">
        <v>12</v>
      </c>
      <c r="D302" s="10">
        <v>45567</v>
      </c>
      <c r="E302" s="9">
        <v>25598</v>
      </c>
      <c r="F302" s="2" t="str">
        <f>INDEX(Vendors!E:E,MATCH(Vendor_Analysis!C302,Vendors!A:A,0))</f>
        <v xml:space="preserve">30 </v>
      </c>
      <c r="G302" s="2">
        <v>30</v>
      </c>
      <c r="H302" s="16">
        <f t="shared" si="4"/>
        <v>45597</v>
      </c>
      <c r="J302" s="2"/>
    </row>
    <row r="303" spans="1:10" x14ac:dyDescent="0.25">
      <c r="A303" s="8" t="s">
        <v>337</v>
      </c>
      <c r="B303" s="8" t="s">
        <v>308</v>
      </c>
      <c r="C303" s="8" t="s">
        <v>14</v>
      </c>
      <c r="D303" s="10">
        <v>45573</v>
      </c>
      <c r="E303" s="9">
        <v>42599</v>
      </c>
      <c r="F303" s="2" t="str">
        <f>INDEX(Vendors!E:E,MATCH(Vendor_Analysis!C303,Vendors!A:A,0))</f>
        <v xml:space="preserve"> 90</v>
      </c>
      <c r="G303" s="2">
        <v>90</v>
      </c>
      <c r="H303" s="16">
        <f t="shared" si="4"/>
        <v>45663</v>
      </c>
      <c r="J303" s="2"/>
    </row>
    <row r="304" spans="1:10" x14ac:dyDescent="0.25">
      <c r="A304" s="8" t="s">
        <v>338</v>
      </c>
      <c r="B304" s="8" t="s">
        <v>308</v>
      </c>
      <c r="C304" s="8" t="s">
        <v>33</v>
      </c>
      <c r="D304" s="10">
        <v>45577</v>
      </c>
      <c r="E304" s="9">
        <v>151465</v>
      </c>
      <c r="F304" s="2" t="str">
        <f>INDEX(Vendors!E:E,MATCH(Vendor_Analysis!C304,Vendors!A:A,0))</f>
        <v xml:space="preserve">30 </v>
      </c>
      <c r="G304" s="2">
        <v>30</v>
      </c>
      <c r="H304" s="16">
        <f t="shared" si="4"/>
        <v>45607</v>
      </c>
      <c r="J304" s="2"/>
    </row>
    <row r="305" spans="1:10" x14ac:dyDescent="0.25">
      <c r="A305" s="8" t="s">
        <v>339</v>
      </c>
      <c r="B305" s="8" t="s">
        <v>308</v>
      </c>
      <c r="C305" s="8" t="s">
        <v>12</v>
      </c>
      <c r="D305" s="10">
        <v>45606</v>
      </c>
      <c r="E305" s="9">
        <v>227963</v>
      </c>
      <c r="F305" s="2" t="str">
        <f>INDEX(Vendors!E:E,MATCH(Vendor_Analysis!C305,Vendors!A:A,0))</f>
        <v xml:space="preserve">30 </v>
      </c>
      <c r="G305" s="2">
        <v>30</v>
      </c>
      <c r="H305" s="16">
        <f t="shared" si="4"/>
        <v>45636</v>
      </c>
      <c r="J305" s="2"/>
    </row>
    <row r="306" spans="1:10" x14ac:dyDescent="0.25">
      <c r="A306" s="8" t="s">
        <v>340</v>
      </c>
      <c r="B306" s="8" t="s">
        <v>308</v>
      </c>
      <c r="C306" s="8" t="s">
        <v>10</v>
      </c>
      <c r="D306" s="10">
        <v>45646</v>
      </c>
      <c r="E306" s="9">
        <v>26688</v>
      </c>
      <c r="F306" s="2" t="str">
        <f>INDEX(Vendors!E:E,MATCH(Vendor_Analysis!C306,Vendors!A:A,0))</f>
        <v xml:space="preserve">60 </v>
      </c>
      <c r="G306" s="2">
        <v>60</v>
      </c>
      <c r="H306" s="16">
        <f t="shared" si="4"/>
        <v>45706</v>
      </c>
      <c r="J306" s="2"/>
    </row>
    <row r="307" spans="1:10" x14ac:dyDescent="0.25">
      <c r="A307" s="8" t="s">
        <v>341</v>
      </c>
      <c r="B307" s="8" t="s">
        <v>308</v>
      </c>
      <c r="C307" s="8" t="s">
        <v>110</v>
      </c>
      <c r="D307" s="10">
        <v>45649</v>
      </c>
      <c r="E307" s="9">
        <v>34074</v>
      </c>
      <c r="F307" s="2" t="str">
        <f>INDEX(Vendors!E:E,MATCH(Vendor_Analysis!C307,Vendors!A:A,0))</f>
        <v xml:space="preserve">30 </v>
      </c>
      <c r="G307" s="2">
        <v>30</v>
      </c>
      <c r="H307" s="16">
        <f t="shared" si="4"/>
        <v>45679</v>
      </c>
      <c r="J307" s="2"/>
    </row>
    <row r="308" spans="1:10" x14ac:dyDescent="0.25">
      <c r="A308" s="8" t="s">
        <v>342</v>
      </c>
      <c r="B308" s="8" t="s">
        <v>308</v>
      </c>
      <c r="C308" s="8" t="s">
        <v>91</v>
      </c>
      <c r="D308" s="10">
        <v>45682</v>
      </c>
      <c r="E308" s="9">
        <v>46301</v>
      </c>
      <c r="F308" s="2" t="str">
        <f>INDEX(Vendors!E:E,MATCH(Vendor_Analysis!C308,Vendors!A:A,0))</f>
        <v xml:space="preserve">60 </v>
      </c>
      <c r="G308" s="2">
        <v>60</v>
      </c>
      <c r="H308" s="16">
        <f t="shared" si="4"/>
        <v>45742</v>
      </c>
      <c r="J308" s="2"/>
    </row>
    <row r="309" spans="1:10" x14ac:dyDescent="0.25">
      <c r="A309" s="8" t="s">
        <v>343</v>
      </c>
      <c r="B309" s="8" t="s">
        <v>308</v>
      </c>
      <c r="C309" s="8" t="s">
        <v>19</v>
      </c>
      <c r="D309" s="10">
        <v>45685</v>
      </c>
      <c r="E309" s="9">
        <v>56890</v>
      </c>
      <c r="F309" s="2" t="str">
        <f>INDEX(Vendors!E:E,MATCH(Vendor_Analysis!C309,Vendors!A:A,0))</f>
        <v xml:space="preserve">45 </v>
      </c>
      <c r="G309" s="2">
        <v>45</v>
      </c>
      <c r="H309" s="16">
        <f t="shared" si="4"/>
        <v>45730</v>
      </c>
      <c r="J309" s="2"/>
    </row>
    <row r="310" spans="1:10" x14ac:dyDescent="0.25">
      <c r="A310" s="8" t="s">
        <v>344</v>
      </c>
      <c r="B310" s="8" t="s">
        <v>308</v>
      </c>
      <c r="C310" s="8" t="s">
        <v>14</v>
      </c>
      <c r="D310" s="10">
        <v>45688</v>
      </c>
      <c r="E310" s="9">
        <v>41850</v>
      </c>
      <c r="F310" s="2" t="str">
        <f>INDEX(Vendors!E:E,MATCH(Vendor_Analysis!C310,Vendors!A:A,0))</f>
        <v xml:space="preserve"> 90</v>
      </c>
      <c r="G310" s="2">
        <v>90</v>
      </c>
      <c r="H310" s="16">
        <f t="shared" si="4"/>
        <v>45778</v>
      </c>
      <c r="J310" s="2"/>
    </row>
    <row r="311" spans="1:10" x14ac:dyDescent="0.25">
      <c r="A311" s="8" t="s">
        <v>345</v>
      </c>
      <c r="B311" s="8" t="s">
        <v>308</v>
      </c>
      <c r="C311" s="8" t="s">
        <v>21</v>
      </c>
      <c r="D311" s="10">
        <v>45700</v>
      </c>
      <c r="E311" s="9">
        <v>47915</v>
      </c>
      <c r="F311" s="2" t="str">
        <f>INDEX(Vendors!E:E,MATCH(Vendor_Analysis!C311,Vendors!A:A,0))</f>
        <v xml:space="preserve"> 90</v>
      </c>
      <c r="G311" s="2">
        <v>90</v>
      </c>
      <c r="H311" s="16">
        <f t="shared" si="4"/>
        <v>45790</v>
      </c>
      <c r="J311" s="2"/>
    </row>
    <row r="312" spans="1:10" x14ac:dyDescent="0.25">
      <c r="A312" s="8" t="s">
        <v>346</v>
      </c>
      <c r="B312" s="8" t="s">
        <v>308</v>
      </c>
      <c r="C312" s="8" t="s">
        <v>35</v>
      </c>
      <c r="D312" s="10">
        <v>45717</v>
      </c>
      <c r="E312" s="9">
        <v>57736</v>
      </c>
      <c r="F312" s="2" t="str">
        <f>INDEX(Vendors!E:E,MATCH(Vendor_Analysis!C312,Vendors!A:A,0))</f>
        <v xml:space="preserve">60 </v>
      </c>
      <c r="G312" s="2">
        <v>60</v>
      </c>
      <c r="H312" s="16">
        <f t="shared" si="4"/>
        <v>45777</v>
      </c>
      <c r="J312" s="2"/>
    </row>
    <row r="313" spans="1:10" x14ac:dyDescent="0.25">
      <c r="A313" s="8" t="s">
        <v>347</v>
      </c>
      <c r="B313" s="8" t="s">
        <v>308</v>
      </c>
      <c r="C313" s="8" t="s">
        <v>29</v>
      </c>
      <c r="D313" s="10">
        <v>45732</v>
      </c>
      <c r="E313" s="9">
        <v>37735</v>
      </c>
      <c r="F313" s="2" t="str">
        <f>INDEX(Vendors!E:E,MATCH(Vendor_Analysis!C313,Vendors!A:A,0))</f>
        <v xml:space="preserve">30 </v>
      </c>
      <c r="G313" s="2">
        <v>30</v>
      </c>
      <c r="H313" s="16">
        <f t="shared" si="4"/>
        <v>45762</v>
      </c>
      <c r="J313" s="2"/>
    </row>
    <row r="314" spans="1:10" x14ac:dyDescent="0.25">
      <c r="A314" s="8" t="s">
        <v>348</v>
      </c>
      <c r="B314" s="8" t="s">
        <v>308</v>
      </c>
      <c r="C314" s="8" t="s">
        <v>33</v>
      </c>
      <c r="D314" s="10">
        <v>45739</v>
      </c>
      <c r="E314" s="9">
        <v>38124</v>
      </c>
      <c r="F314" s="2" t="str">
        <f>INDEX(Vendors!E:E,MATCH(Vendor_Analysis!C314,Vendors!A:A,0))</f>
        <v xml:space="preserve">30 </v>
      </c>
      <c r="G314" s="2">
        <v>30</v>
      </c>
      <c r="H314" s="16">
        <f t="shared" si="4"/>
        <v>45769</v>
      </c>
      <c r="J314" s="2"/>
    </row>
    <row r="315" spans="1:10" x14ac:dyDescent="0.25">
      <c r="A315" s="8" t="s">
        <v>349</v>
      </c>
      <c r="B315" s="8" t="s">
        <v>308</v>
      </c>
      <c r="C315" s="8" t="s">
        <v>14</v>
      </c>
      <c r="D315" s="10">
        <v>45741</v>
      </c>
      <c r="E315" s="9">
        <v>58525</v>
      </c>
      <c r="F315" s="2" t="str">
        <f>INDEX(Vendors!E:E,MATCH(Vendor_Analysis!C315,Vendors!A:A,0))</f>
        <v xml:space="preserve"> 90</v>
      </c>
      <c r="G315" s="2">
        <v>90</v>
      </c>
      <c r="H315" s="16">
        <f t="shared" si="4"/>
        <v>45831</v>
      </c>
      <c r="J315" s="2"/>
    </row>
    <row r="316" spans="1:10" x14ac:dyDescent="0.25">
      <c r="A316" s="8" t="s">
        <v>350</v>
      </c>
      <c r="B316" s="8" t="s">
        <v>308</v>
      </c>
      <c r="C316" s="8" t="s">
        <v>19</v>
      </c>
      <c r="D316" s="10">
        <v>45743</v>
      </c>
      <c r="E316" s="9">
        <v>33438</v>
      </c>
      <c r="F316" s="2" t="str">
        <f>INDEX(Vendors!E:E,MATCH(Vendor_Analysis!C316,Vendors!A:A,0))</f>
        <v xml:space="preserve">45 </v>
      </c>
      <c r="G316" s="2">
        <v>45</v>
      </c>
      <c r="H316" s="16">
        <f t="shared" si="4"/>
        <v>45788</v>
      </c>
      <c r="J316" s="2"/>
    </row>
    <row r="317" spans="1:10" x14ac:dyDescent="0.25">
      <c r="A317" s="8" t="s">
        <v>351</v>
      </c>
      <c r="B317" s="8" t="s">
        <v>308</v>
      </c>
      <c r="C317" s="8" t="s">
        <v>50</v>
      </c>
      <c r="D317" s="10">
        <v>45746</v>
      </c>
      <c r="E317" s="9">
        <v>52915</v>
      </c>
      <c r="F317" s="2" t="str">
        <f>INDEX(Vendors!E:E,MATCH(Vendor_Analysis!C317,Vendors!A:A,0))</f>
        <v xml:space="preserve"> 90</v>
      </c>
      <c r="G317" s="2">
        <v>90</v>
      </c>
      <c r="H317" s="16">
        <f t="shared" si="4"/>
        <v>45836</v>
      </c>
      <c r="J317" s="2"/>
    </row>
    <row r="318" spans="1:10" x14ac:dyDescent="0.25">
      <c r="A318" s="8" t="s">
        <v>352</v>
      </c>
      <c r="B318" s="8" t="s">
        <v>308</v>
      </c>
      <c r="C318" s="8" t="s">
        <v>19</v>
      </c>
      <c r="D318" s="10">
        <v>45791</v>
      </c>
      <c r="E318" s="9">
        <v>43121</v>
      </c>
      <c r="F318" s="2" t="str">
        <f>INDEX(Vendors!E:E,MATCH(Vendor_Analysis!C318,Vendors!A:A,0))</f>
        <v xml:space="preserve">45 </v>
      </c>
      <c r="G318" s="2">
        <v>45</v>
      </c>
      <c r="H318" s="16">
        <f t="shared" si="4"/>
        <v>45836</v>
      </c>
      <c r="J318" s="2"/>
    </row>
    <row r="319" spans="1:10" x14ac:dyDescent="0.25">
      <c r="A319" s="8" t="s">
        <v>353</v>
      </c>
      <c r="B319" s="8" t="s">
        <v>308</v>
      </c>
      <c r="C319" s="8" t="s">
        <v>35</v>
      </c>
      <c r="D319" s="10">
        <v>45793</v>
      </c>
      <c r="E319" s="9">
        <v>65091</v>
      </c>
      <c r="F319" s="2" t="str">
        <f>INDEX(Vendors!E:E,MATCH(Vendor_Analysis!C319,Vendors!A:A,0))</f>
        <v xml:space="preserve">60 </v>
      </c>
      <c r="G319" s="2">
        <v>60</v>
      </c>
      <c r="H319" s="16">
        <f t="shared" si="4"/>
        <v>45853</v>
      </c>
      <c r="J319" s="2"/>
    </row>
    <row r="320" spans="1:10" x14ac:dyDescent="0.25">
      <c r="A320" s="8" t="s">
        <v>354</v>
      </c>
      <c r="B320" s="8" t="s">
        <v>308</v>
      </c>
      <c r="C320" s="8" t="s">
        <v>35</v>
      </c>
      <c r="D320" s="10">
        <v>45798</v>
      </c>
      <c r="E320" s="9">
        <v>29944</v>
      </c>
      <c r="F320" s="2" t="str">
        <f>INDEX(Vendors!E:E,MATCH(Vendor_Analysis!C320,Vendors!A:A,0))</f>
        <v xml:space="preserve">60 </v>
      </c>
      <c r="G320" s="2">
        <v>60</v>
      </c>
      <c r="H320" s="16">
        <f t="shared" si="4"/>
        <v>45858</v>
      </c>
      <c r="J320" s="2"/>
    </row>
    <row r="321" spans="1:10" x14ac:dyDescent="0.25">
      <c r="A321" s="8" t="s">
        <v>355</v>
      </c>
      <c r="B321" s="8" t="s">
        <v>308</v>
      </c>
      <c r="C321" s="8" t="s">
        <v>50</v>
      </c>
      <c r="D321" s="10">
        <v>45799</v>
      </c>
      <c r="E321" s="9">
        <v>63758</v>
      </c>
      <c r="F321" s="2" t="str">
        <f>INDEX(Vendors!E:E,MATCH(Vendor_Analysis!C321,Vendors!A:A,0))</f>
        <v xml:space="preserve"> 90</v>
      </c>
      <c r="G321" s="2">
        <v>90</v>
      </c>
      <c r="H321" s="16">
        <f t="shared" si="4"/>
        <v>45889</v>
      </c>
      <c r="J321" s="2"/>
    </row>
    <row r="322" spans="1:10" x14ac:dyDescent="0.25">
      <c r="A322" s="8" t="s">
        <v>356</v>
      </c>
      <c r="B322" s="8" t="s">
        <v>308</v>
      </c>
      <c r="C322" s="8" t="s">
        <v>10</v>
      </c>
      <c r="D322" s="10">
        <v>45801</v>
      </c>
      <c r="E322" s="9">
        <v>52501</v>
      </c>
      <c r="F322" s="2" t="str">
        <f>INDEX(Vendors!E:E,MATCH(Vendor_Analysis!C322,Vendors!A:A,0))</f>
        <v xml:space="preserve">60 </v>
      </c>
      <c r="G322" s="2">
        <v>60</v>
      </c>
      <c r="H322" s="16">
        <f t="shared" si="4"/>
        <v>45861</v>
      </c>
      <c r="J322" s="2"/>
    </row>
    <row r="323" spans="1:10" x14ac:dyDescent="0.25">
      <c r="A323" s="8" t="s">
        <v>357</v>
      </c>
      <c r="B323" s="8" t="s">
        <v>308</v>
      </c>
      <c r="C323" s="8" t="s">
        <v>110</v>
      </c>
      <c r="D323" s="10">
        <v>45818</v>
      </c>
      <c r="E323" s="9">
        <v>47979</v>
      </c>
      <c r="F323" s="2" t="str">
        <f>INDEX(Vendors!E:E,MATCH(Vendor_Analysis!C323,Vendors!A:A,0))</f>
        <v xml:space="preserve">30 </v>
      </c>
      <c r="G323" s="2">
        <v>30</v>
      </c>
      <c r="H323" s="16">
        <f t="shared" ref="H323:H386" si="5">D323+F323</f>
        <v>45848</v>
      </c>
      <c r="J323" s="2"/>
    </row>
    <row r="324" spans="1:10" x14ac:dyDescent="0.25">
      <c r="A324" s="8" t="s">
        <v>358</v>
      </c>
      <c r="B324" s="8" t="s">
        <v>308</v>
      </c>
      <c r="C324" s="8" t="s">
        <v>33</v>
      </c>
      <c r="D324" s="10">
        <v>45825</v>
      </c>
      <c r="E324" s="9">
        <v>66563</v>
      </c>
      <c r="F324" s="2" t="str">
        <f>INDEX(Vendors!E:E,MATCH(Vendor_Analysis!C324,Vendors!A:A,0))</f>
        <v xml:space="preserve">30 </v>
      </c>
      <c r="G324" s="2">
        <v>30</v>
      </c>
      <c r="H324" s="16">
        <f t="shared" si="5"/>
        <v>45855</v>
      </c>
      <c r="J324" s="2"/>
    </row>
    <row r="325" spans="1:10" x14ac:dyDescent="0.25">
      <c r="A325" s="8" t="s">
        <v>359</v>
      </c>
      <c r="B325" s="8" t="s">
        <v>308</v>
      </c>
      <c r="C325" s="8" t="s">
        <v>110</v>
      </c>
      <c r="D325" s="10">
        <v>45839</v>
      </c>
      <c r="E325" s="9">
        <v>52902</v>
      </c>
      <c r="F325" s="2" t="str">
        <f>INDEX(Vendors!E:E,MATCH(Vendor_Analysis!C325,Vendors!A:A,0))</f>
        <v xml:space="preserve">30 </v>
      </c>
      <c r="G325" s="2">
        <v>30</v>
      </c>
      <c r="H325" s="16">
        <f t="shared" si="5"/>
        <v>45869</v>
      </c>
      <c r="J325" s="2"/>
    </row>
    <row r="326" spans="1:10" x14ac:dyDescent="0.25">
      <c r="A326" s="8" t="s">
        <v>360</v>
      </c>
      <c r="B326" s="8" t="s">
        <v>361</v>
      </c>
      <c r="C326" s="8" t="s">
        <v>108</v>
      </c>
      <c r="D326" s="10">
        <v>45141</v>
      </c>
      <c r="E326" s="9">
        <v>71013</v>
      </c>
      <c r="F326" s="2" t="str">
        <f>INDEX(Vendors!E:E,MATCH(Vendor_Analysis!C326,Vendors!A:A,0))</f>
        <v xml:space="preserve"> 90</v>
      </c>
      <c r="G326" s="2">
        <v>90</v>
      </c>
      <c r="H326" s="16">
        <f t="shared" si="5"/>
        <v>45231</v>
      </c>
      <c r="J326" s="2"/>
    </row>
    <row r="327" spans="1:10" x14ac:dyDescent="0.25">
      <c r="A327" s="8" t="s">
        <v>362</v>
      </c>
      <c r="B327" s="8" t="s">
        <v>361</v>
      </c>
      <c r="C327" s="8" t="s">
        <v>50</v>
      </c>
      <c r="D327" s="10">
        <v>45175</v>
      </c>
      <c r="E327" s="9">
        <v>113923</v>
      </c>
      <c r="F327" s="2" t="str">
        <f>INDEX(Vendors!E:E,MATCH(Vendor_Analysis!C327,Vendors!A:A,0))</f>
        <v xml:space="preserve"> 90</v>
      </c>
      <c r="G327" s="2">
        <v>90</v>
      </c>
      <c r="H327" s="16">
        <f t="shared" si="5"/>
        <v>45265</v>
      </c>
      <c r="J327" s="2"/>
    </row>
    <row r="328" spans="1:10" x14ac:dyDescent="0.25">
      <c r="A328" s="8" t="s">
        <v>363</v>
      </c>
      <c r="B328" s="8" t="s">
        <v>361</v>
      </c>
      <c r="C328" s="8" t="s">
        <v>10</v>
      </c>
      <c r="D328" s="10">
        <v>45186</v>
      </c>
      <c r="E328" s="9">
        <v>112677</v>
      </c>
      <c r="F328" s="2" t="str">
        <f>INDEX(Vendors!E:E,MATCH(Vendor_Analysis!C328,Vendors!A:A,0))</f>
        <v xml:space="preserve">60 </v>
      </c>
      <c r="G328" s="2">
        <v>60</v>
      </c>
      <c r="H328" s="16">
        <f t="shared" si="5"/>
        <v>45246</v>
      </c>
      <c r="J328" s="2"/>
    </row>
    <row r="329" spans="1:10" x14ac:dyDescent="0.25">
      <c r="A329" s="8" t="s">
        <v>364</v>
      </c>
      <c r="B329" s="8" t="s">
        <v>361</v>
      </c>
      <c r="C329" s="8" t="s">
        <v>48</v>
      </c>
      <c r="D329" s="10">
        <v>45196</v>
      </c>
      <c r="E329" s="9">
        <v>122785</v>
      </c>
      <c r="F329" s="2" t="str">
        <f>INDEX(Vendors!E:E,MATCH(Vendor_Analysis!C329,Vendors!A:A,0))</f>
        <v xml:space="preserve"> 90</v>
      </c>
      <c r="G329" s="2">
        <v>90</v>
      </c>
      <c r="H329" s="16">
        <f t="shared" si="5"/>
        <v>45286</v>
      </c>
      <c r="J329" s="2"/>
    </row>
    <row r="330" spans="1:10" x14ac:dyDescent="0.25">
      <c r="A330" s="8" t="s">
        <v>365</v>
      </c>
      <c r="B330" s="8" t="s">
        <v>361</v>
      </c>
      <c r="C330" s="8" t="s">
        <v>29</v>
      </c>
      <c r="D330" s="10">
        <v>45215</v>
      </c>
      <c r="E330" s="9">
        <v>169057</v>
      </c>
      <c r="F330" s="2" t="str">
        <f>INDEX(Vendors!E:E,MATCH(Vendor_Analysis!C330,Vendors!A:A,0))</f>
        <v xml:space="preserve">30 </v>
      </c>
      <c r="G330" s="2">
        <v>30</v>
      </c>
      <c r="H330" s="16">
        <f t="shared" si="5"/>
        <v>45245</v>
      </c>
      <c r="J330" s="2"/>
    </row>
    <row r="331" spans="1:10" x14ac:dyDescent="0.25">
      <c r="A331" s="8" t="s">
        <v>366</v>
      </c>
      <c r="B331" s="8" t="s">
        <v>361</v>
      </c>
      <c r="C331" s="8" t="s">
        <v>19</v>
      </c>
      <c r="D331" s="10">
        <v>45219</v>
      </c>
      <c r="E331" s="9">
        <v>175070</v>
      </c>
      <c r="F331" s="2" t="str">
        <f>INDEX(Vendors!E:E,MATCH(Vendor_Analysis!C331,Vendors!A:A,0))</f>
        <v xml:space="preserve">45 </v>
      </c>
      <c r="G331" s="2">
        <v>45</v>
      </c>
      <c r="H331" s="16">
        <f t="shared" si="5"/>
        <v>45264</v>
      </c>
      <c r="J331" s="2"/>
    </row>
    <row r="332" spans="1:10" x14ac:dyDescent="0.25">
      <c r="A332" s="8" t="s">
        <v>367</v>
      </c>
      <c r="B332" s="8" t="s">
        <v>361</v>
      </c>
      <c r="C332" s="8" t="s">
        <v>21</v>
      </c>
      <c r="D332" s="10">
        <v>45221</v>
      </c>
      <c r="E332" s="9">
        <v>157916</v>
      </c>
      <c r="F332" s="2" t="str">
        <f>INDEX(Vendors!E:E,MATCH(Vendor_Analysis!C332,Vendors!A:A,0))</f>
        <v xml:space="preserve"> 90</v>
      </c>
      <c r="G332" s="2">
        <v>90</v>
      </c>
      <c r="H332" s="16">
        <f t="shared" si="5"/>
        <v>45311</v>
      </c>
      <c r="J332" s="2"/>
    </row>
    <row r="333" spans="1:10" x14ac:dyDescent="0.25">
      <c r="A333" s="8" t="s">
        <v>368</v>
      </c>
      <c r="B333" s="8" t="s">
        <v>361</v>
      </c>
      <c r="C333" s="8" t="s">
        <v>17</v>
      </c>
      <c r="D333" s="10">
        <v>45231</v>
      </c>
      <c r="E333" s="9">
        <v>168660</v>
      </c>
      <c r="F333" s="2" t="str">
        <f>INDEX(Vendors!E:E,MATCH(Vendor_Analysis!C333,Vendors!A:A,0))</f>
        <v xml:space="preserve">45 </v>
      </c>
      <c r="G333" s="2">
        <v>45</v>
      </c>
      <c r="H333" s="16">
        <f t="shared" si="5"/>
        <v>45276</v>
      </c>
      <c r="J333" s="2"/>
    </row>
    <row r="334" spans="1:10" x14ac:dyDescent="0.25">
      <c r="A334" s="8" t="s">
        <v>369</v>
      </c>
      <c r="B334" s="8" t="s">
        <v>361</v>
      </c>
      <c r="C334" s="8" t="s">
        <v>55</v>
      </c>
      <c r="D334" s="10">
        <v>45239</v>
      </c>
      <c r="E334" s="9">
        <v>96838</v>
      </c>
      <c r="F334" s="2" t="str">
        <f>INDEX(Vendors!E:E,MATCH(Vendor_Analysis!C334,Vendors!A:A,0))</f>
        <v xml:space="preserve">30 </v>
      </c>
      <c r="G334" s="2">
        <v>30</v>
      </c>
      <c r="H334" s="16">
        <f t="shared" si="5"/>
        <v>45269</v>
      </c>
      <c r="J334" s="2"/>
    </row>
    <row r="335" spans="1:10" x14ac:dyDescent="0.25">
      <c r="A335" s="8" t="s">
        <v>370</v>
      </c>
      <c r="B335" s="8" t="s">
        <v>361</v>
      </c>
      <c r="C335" s="8" t="s">
        <v>10</v>
      </c>
      <c r="D335" s="10">
        <v>45241</v>
      </c>
      <c r="E335" s="9">
        <v>107803</v>
      </c>
      <c r="F335" s="2" t="str">
        <f>INDEX(Vendors!E:E,MATCH(Vendor_Analysis!C335,Vendors!A:A,0))</f>
        <v xml:space="preserve">60 </v>
      </c>
      <c r="G335" s="2">
        <v>60</v>
      </c>
      <c r="H335" s="16">
        <f t="shared" si="5"/>
        <v>45301</v>
      </c>
      <c r="J335" s="2"/>
    </row>
    <row r="336" spans="1:10" x14ac:dyDescent="0.25">
      <c r="A336" s="8" t="s">
        <v>371</v>
      </c>
      <c r="B336" s="8" t="s">
        <v>361</v>
      </c>
      <c r="C336" s="8" t="s">
        <v>6</v>
      </c>
      <c r="D336" s="10">
        <v>45268</v>
      </c>
      <c r="E336" s="9">
        <v>131603</v>
      </c>
      <c r="F336" s="2" t="str">
        <f>INDEX(Vendors!E:E,MATCH(Vendor_Analysis!C336,Vendors!A:A,0))</f>
        <v xml:space="preserve">60 </v>
      </c>
      <c r="G336" s="2">
        <v>60</v>
      </c>
      <c r="H336" s="16">
        <f t="shared" si="5"/>
        <v>45328</v>
      </c>
      <c r="J336" s="2"/>
    </row>
    <row r="337" spans="1:10" x14ac:dyDescent="0.25">
      <c r="A337" s="8" t="s">
        <v>372</v>
      </c>
      <c r="B337" s="8" t="s">
        <v>361</v>
      </c>
      <c r="C337" s="8" t="s">
        <v>110</v>
      </c>
      <c r="D337" s="10">
        <v>45278</v>
      </c>
      <c r="E337" s="9">
        <v>66234</v>
      </c>
      <c r="F337" s="2" t="str">
        <f>INDEX(Vendors!E:E,MATCH(Vendor_Analysis!C337,Vendors!A:A,0))</f>
        <v xml:space="preserve">30 </v>
      </c>
      <c r="G337" s="2">
        <v>30</v>
      </c>
      <c r="H337" s="16">
        <f t="shared" si="5"/>
        <v>45308</v>
      </c>
      <c r="J337" s="2"/>
    </row>
    <row r="338" spans="1:10" x14ac:dyDescent="0.25">
      <c r="A338" s="8" t="s">
        <v>373</v>
      </c>
      <c r="B338" s="8" t="s">
        <v>361</v>
      </c>
      <c r="C338" s="8" t="s">
        <v>73</v>
      </c>
      <c r="D338" s="10">
        <v>45286</v>
      </c>
      <c r="E338" s="9">
        <v>59025</v>
      </c>
      <c r="F338" s="2" t="str">
        <f>INDEX(Vendors!E:E,MATCH(Vendor_Analysis!C338,Vendors!A:A,0))</f>
        <v xml:space="preserve">60 </v>
      </c>
      <c r="G338" s="2">
        <v>60</v>
      </c>
      <c r="H338" s="16">
        <f t="shared" si="5"/>
        <v>45346</v>
      </c>
      <c r="J338" s="2"/>
    </row>
    <row r="339" spans="1:10" x14ac:dyDescent="0.25">
      <c r="A339" s="8" t="s">
        <v>374</v>
      </c>
      <c r="B339" s="8" t="s">
        <v>361</v>
      </c>
      <c r="C339" s="8" t="s">
        <v>71</v>
      </c>
      <c r="D339" s="10">
        <v>45287</v>
      </c>
      <c r="E339" s="9">
        <v>130699</v>
      </c>
      <c r="F339" s="2" t="str">
        <f>INDEX(Vendors!E:E,MATCH(Vendor_Analysis!C339,Vendors!A:A,0))</f>
        <v xml:space="preserve">45 </v>
      </c>
      <c r="G339" s="2">
        <v>45</v>
      </c>
      <c r="H339" s="16">
        <f t="shared" si="5"/>
        <v>45332</v>
      </c>
      <c r="J339" s="2"/>
    </row>
    <row r="340" spans="1:10" x14ac:dyDescent="0.25">
      <c r="A340" s="8" t="s">
        <v>375</v>
      </c>
      <c r="B340" s="8" t="s">
        <v>361</v>
      </c>
      <c r="C340" s="8" t="s">
        <v>14</v>
      </c>
      <c r="D340" s="10">
        <v>45323</v>
      </c>
      <c r="E340" s="9">
        <v>228107</v>
      </c>
      <c r="F340" s="2" t="str">
        <f>INDEX(Vendors!E:E,MATCH(Vendor_Analysis!C340,Vendors!A:A,0))</f>
        <v xml:space="preserve"> 90</v>
      </c>
      <c r="G340" s="2">
        <v>90</v>
      </c>
      <c r="H340" s="16">
        <f t="shared" si="5"/>
        <v>45413</v>
      </c>
      <c r="J340" s="2"/>
    </row>
    <row r="341" spans="1:10" x14ac:dyDescent="0.25">
      <c r="A341" s="8" t="s">
        <v>376</v>
      </c>
      <c r="B341" s="8" t="s">
        <v>361</v>
      </c>
      <c r="C341" s="8" t="s">
        <v>91</v>
      </c>
      <c r="D341" s="10">
        <v>45379</v>
      </c>
      <c r="E341" s="9">
        <v>174690</v>
      </c>
      <c r="F341" s="2" t="str">
        <f>INDEX(Vendors!E:E,MATCH(Vendor_Analysis!C341,Vendors!A:A,0))</f>
        <v xml:space="preserve">60 </v>
      </c>
      <c r="G341" s="2">
        <v>60</v>
      </c>
      <c r="H341" s="16">
        <f t="shared" si="5"/>
        <v>45439</v>
      </c>
      <c r="J341" s="2"/>
    </row>
    <row r="342" spans="1:10" x14ac:dyDescent="0.25">
      <c r="A342" s="8" t="s">
        <v>377</v>
      </c>
      <c r="B342" s="8" t="s">
        <v>361</v>
      </c>
      <c r="C342" s="8" t="s">
        <v>21</v>
      </c>
      <c r="D342" s="10">
        <v>45385</v>
      </c>
      <c r="E342" s="9">
        <v>163131</v>
      </c>
      <c r="F342" s="2" t="str">
        <f>INDEX(Vendors!E:E,MATCH(Vendor_Analysis!C342,Vendors!A:A,0))</f>
        <v xml:space="preserve"> 90</v>
      </c>
      <c r="G342" s="2">
        <v>90</v>
      </c>
      <c r="H342" s="16">
        <f t="shared" si="5"/>
        <v>45475</v>
      </c>
      <c r="J342" s="2"/>
    </row>
    <row r="343" spans="1:10" x14ac:dyDescent="0.25">
      <c r="A343" s="8" t="s">
        <v>378</v>
      </c>
      <c r="B343" s="8" t="s">
        <v>361</v>
      </c>
      <c r="C343" s="8" t="s">
        <v>29</v>
      </c>
      <c r="D343" s="10">
        <v>45388</v>
      </c>
      <c r="E343" s="9">
        <v>96298</v>
      </c>
      <c r="F343" s="2" t="str">
        <f>INDEX(Vendors!E:E,MATCH(Vendor_Analysis!C343,Vendors!A:A,0))</f>
        <v xml:space="preserve">30 </v>
      </c>
      <c r="G343" s="2">
        <v>30</v>
      </c>
      <c r="H343" s="16">
        <f t="shared" si="5"/>
        <v>45418</v>
      </c>
      <c r="J343" s="2"/>
    </row>
    <row r="344" spans="1:10" x14ac:dyDescent="0.25">
      <c r="A344" s="8" t="s">
        <v>379</v>
      </c>
      <c r="B344" s="8" t="s">
        <v>361</v>
      </c>
      <c r="C344" s="8" t="s">
        <v>27</v>
      </c>
      <c r="D344" s="10">
        <v>45389</v>
      </c>
      <c r="E344" s="9">
        <v>153787</v>
      </c>
      <c r="F344" s="2" t="str">
        <f>INDEX(Vendors!E:E,MATCH(Vendor_Analysis!C344,Vendors!A:A,0))</f>
        <v xml:space="preserve">45 </v>
      </c>
      <c r="G344" s="2">
        <v>45</v>
      </c>
      <c r="H344" s="16">
        <f t="shared" si="5"/>
        <v>45434</v>
      </c>
      <c r="J344" s="2"/>
    </row>
    <row r="345" spans="1:10" x14ac:dyDescent="0.25">
      <c r="A345" s="8" t="s">
        <v>380</v>
      </c>
      <c r="B345" s="8" t="s">
        <v>361</v>
      </c>
      <c r="C345" s="8" t="s">
        <v>21</v>
      </c>
      <c r="D345" s="10">
        <v>45410</v>
      </c>
      <c r="E345" s="9">
        <v>200275</v>
      </c>
      <c r="F345" s="2" t="str">
        <f>INDEX(Vendors!E:E,MATCH(Vendor_Analysis!C345,Vendors!A:A,0))</f>
        <v xml:space="preserve"> 90</v>
      </c>
      <c r="G345" s="2">
        <v>90</v>
      </c>
      <c r="H345" s="16">
        <f t="shared" si="5"/>
        <v>45500</v>
      </c>
      <c r="J345" s="2"/>
    </row>
    <row r="346" spans="1:10" x14ac:dyDescent="0.25">
      <c r="A346" s="8" t="s">
        <v>381</v>
      </c>
      <c r="B346" s="8" t="s">
        <v>361</v>
      </c>
      <c r="C346" s="8" t="s">
        <v>8</v>
      </c>
      <c r="D346" s="10">
        <v>45418</v>
      </c>
      <c r="E346" s="9">
        <v>190613</v>
      </c>
      <c r="F346" s="2" t="str">
        <f>INDEX(Vendors!E:E,MATCH(Vendor_Analysis!C346,Vendors!A:A,0))</f>
        <v xml:space="preserve">60 </v>
      </c>
      <c r="G346" s="2">
        <v>60</v>
      </c>
      <c r="H346" s="16">
        <f t="shared" si="5"/>
        <v>45478</v>
      </c>
      <c r="J346" s="2"/>
    </row>
    <row r="347" spans="1:10" x14ac:dyDescent="0.25">
      <c r="A347" s="8" t="s">
        <v>382</v>
      </c>
      <c r="B347" s="8" t="s">
        <v>361</v>
      </c>
      <c r="C347" s="8" t="s">
        <v>55</v>
      </c>
      <c r="D347" s="10">
        <v>45421</v>
      </c>
      <c r="E347" s="9">
        <v>117818</v>
      </c>
      <c r="F347" s="2" t="str">
        <f>INDEX(Vendors!E:E,MATCH(Vendor_Analysis!C347,Vendors!A:A,0))</f>
        <v xml:space="preserve">30 </v>
      </c>
      <c r="G347" s="2">
        <v>30</v>
      </c>
      <c r="H347" s="16">
        <f t="shared" si="5"/>
        <v>45451</v>
      </c>
      <c r="J347" s="2"/>
    </row>
    <row r="348" spans="1:10" x14ac:dyDescent="0.25">
      <c r="A348" s="8" t="s">
        <v>383</v>
      </c>
      <c r="B348" s="8" t="s">
        <v>361</v>
      </c>
      <c r="C348" s="8" t="s">
        <v>25</v>
      </c>
      <c r="D348" s="10">
        <v>45433</v>
      </c>
      <c r="E348" s="9">
        <v>110585</v>
      </c>
      <c r="F348" s="2" t="str">
        <f>INDEX(Vendors!E:E,MATCH(Vendor_Analysis!C348,Vendors!A:A,0))</f>
        <v xml:space="preserve">30 </v>
      </c>
      <c r="G348" s="2">
        <v>30</v>
      </c>
      <c r="H348" s="16">
        <f t="shared" si="5"/>
        <v>45463</v>
      </c>
      <c r="J348" s="2"/>
    </row>
    <row r="349" spans="1:10" x14ac:dyDescent="0.25">
      <c r="A349" s="8" t="s">
        <v>384</v>
      </c>
      <c r="B349" s="8" t="s">
        <v>361</v>
      </c>
      <c r="C349" s="8" t="s">
        <v>37</v>
      </c>
      <c r="D349" s="10">
        <v>45444</v>
      </c>
      <c r="E349" s="9">
        <v>202007</v>
      </c>
      <c r="F349" s="2" t="str">
        <f>INDEX(Vendors!E:E,MATCH(Vendor_Analysis!C349,Vendors!A:A,0))</f>
        <v xml:space="preserve">30 </v>
      </c>
      <c r="G349" s="2">
        <v>30</v>
      </c>
      <c r="H349" s="16">
        <f t="shared" si="5"/>
        <v>45474</v>
      </c>
      <c r="J349" s="2"/>
    </row>
    <row r="350" spans="1:10" x14ac:dyDescent="0.25">
      <c r="A350" s="8" t="s">
        <v>385</v>
      </c>
      <c r="B350" s="8" t="s">
        <v>361</v>
      </c>
      <c r="C350" s="8" t="s">
        <v>8</v>
      </c>
      <c r="D350" s="10">
        <v>45445</v>
      </c>
      <c r="E350" s="9">
        <v>77724</v>
      </c>
      <c r="F350" s="2" t="str">
        <f>INDEX(Vendors!E:E,MATCH(Vendor_Analysis!C350,Vendors!A:A,0))</f>
        <v xml:space="preserve">60 </v>
      </c>
      <c r="G350" s="2">
        <v>60</v>
      </c>
      <c r="H350" s="16">
        <f t="shared" si="5"/>
        <v>45505</v>
      </c>
      <c r="J350" s="2"/>
    </row>
    <row r="351" spans="1:10" x14ac:dyDescent="0.25">
      <c r="A351" s="8" t="s">
        <v>386</v>
      </c>
      <c r="B351" s="8" t="s">
        <v>361</v>
      </c>
      <c r="C351" s="8" t="s">
        <v>14</v>
      </c>
      <c r="D351" s="10">
        <v>45468</v>
      </c>
      <c r="E351" s="9">
        <v>189542</v>
      </c>
      <c r="F351" s="2" t="str">
        <f>INDEX(Vendors!E:E,MATCH(Vendor_Analysis!C351,Vendors!A:A,0))</f>
        <v xml:space="preserve"> 90</v>
      </c>
      <c r="G351" s="2">
        <v>90</v>
      </c>
      <c r="H351" s="16">
        <f t="shared" si="5"/>
        <v>45558</v>
      </c>
      <c r="J351" s="2"/>
    </row>
    <row r="352" spans="1:10" x14ac:dyDescent="0.25">
      <c r="A352" s="8" t="s">
        <v>387</v>
      </c>
      <c r="B352" s="8" t="s">
        <v>361</v>
      </c>
      <c r="C352" s="8" t="s">
        <v>29</v>
      </c>
      <c r="D352" s="10">
        <v>45492</v>
      </c>
      <c r="E352" s="9">
        <v>189721</v>
      </c>
      <c r="F352" s="2" t="str">
        <f>INDEX(Vendors!E:E,MATCH(Vendor_Analysis!C352,Vendors!A:A,0))</f>
        <v xml:space="preserve">30 </v>
      </c>
      <c r="G352" s="2">
        <v>30</v>
      </c>
      <c r="H352" s="16">
        <f t="shared" si="5"/>
        <v>45522</v>
      </c>
      <c r="J352" s="2"/>
    </row>
    <row r="353" spans="1:10" x14ac:dyDescent="0.25">
      <c r="A353" s="8" t="s">
        <v>388</v>
      </c>
      <c r="B353" s="8" t="s">
        <v>361</v>
      </c>
      <c r="C353" s="8" t="s">
        <v>108</v>
      </c>
      <c r="D353" s="10">
        <v>45522</v>
      </c>
      <c r="E353" s="9">
        <v>81451</v>
      </c>
      <c r="F353" s="2" t="str">
        <f>INDEX(Vendors!E:E,MATCH(Vendor_Analysis!C353,Vendors!A:A,0))</f>
        <v xml:space="preserve"> 90</v>
      </c>
      <c r="G353" s="2">
        <v>90</v>
      </c>
      <c r="H353" s="16">
        <f t="shared" si="5"/>
        <v>45612</v>
      </c>
      <c r="J353" s="2"/>
    </row>
    <row r="354" spans="1:10" x14ac:dyDescent="0.25">
      <c r="A354" s="8" t="s">
        <v>389</v>
      </c>
      <c r="B354" s="8" t="s">
        <v>361</v>
      </c>
      <c r="C354" s="8" t="s">
        <v>109</v>
      </c>
      <c r="D354" s="10">
        <v>45528</v>
      </c>
      <c r="E354" s="9">
        <v>157270</v>
      </c>
      <c r="F354" s="2" t="str">
        <f>INDEX(Vendors!E:E,MATCH(Vendor_Analysis!C354,Vendors!A:A,0))</f>
        <v xml:space="preserve">30 </v>
      </c>
      <c r="G354" s="2">
        <v>30</v>
      </c>
      <c r="H354" s="16">
        <f t="shared" si="5"/>
        <v>45558</v>
      </c>
      <c r="J354" s="2"/>
    </row>
    <row r="355" spans="1:10" x14ac:dyDescent="0.25">
      <c r="A355" s="8" t="s">
        <v>390</v>
      </c>
      <c r="B355" s="8" t="s">
        <v>361</v>
      </c>
      <c r="C355" s="8" t="s">
        <v>44</v>
      </c>
      <c r="D355" s="10">
        <v>45529</v>
      </c>
      <c r="E355" s="9">
        <v>152908</v>
      </c>
      <c r="F355" s="2" t="str">
        <f>INDEX(Vendors!E:E,MATCH(Vendor_Analysis!C355,Vendors!A:A,0))</f>
        <v xml:space="preserve">45 </v>
      </c>
      <c r="G355" s="2">
        <v>45</v>
      </c>
      <c r="H355" s="16">
        <f t="shared" si="5"/>
        <v>45574</v>
      </c>
      <c r="J355" s="2"/>
    </row>
    <row r="356" spans="1:10" x14ac:dyDescent="0.25">
      <c r="A356" s="8" t="s">
        <v>391</v>
      </c>
      <c r="B356" s="8" t="s">
        <v>361</v>
      </c>
      <c r="C356" s="8" t="s">
        <v>17</v>
      </c>
      <c r="D356" s="10">
        <v>45530</v>
      </c>
      <c r="E356" s="9">
        <v>190153</v>
      </c>
      <c r="F356" s="2" t="str">
        <f>INDEX(Vendors!E:E,MATCH(Vendor_Analysis!C356,Vendors!A:A,0))</f>
        <v xml:space="preserve">45 </v>
      </c>
      <c r="G356" s="2">
        <v>45</v>
      </c>
      <c r="H356" s="16">
        <f t="shared" si="5"/>
        <v>45575</v>
      </c>
      <c r="J356" s="2"/>
    </row>
    <row r="357" spans="1:10" x14ac:dyDescent="0.25">
      <c r="A357" s="8" t="s">
        <v>392</v>
      </c>
      <c r="B357" s="8" t="s">
        <v>361</v>
      </c>
      <c r="C357" s="8" t="s">
        <v>21</v>
      </c>
      <c r="D357" s="10">
        <v>45531</v>
      </c>
      <c r="E357" s="9">
        <v>150889</v>
      </c>
      <c r="F357" s="2" t="str">
        <f>INDEX(Vendors!E:E,MATCH(Vendor_Analysis!C357,Vendors!A:A,0))</f>
        <v xml:space="preserve"> 90</v>
      </c>
      <c r="G357" s="2">
        <v>90</v>
      </c>
      <c r="H357" s="16">
        <f t="shared" si="5"/>
        <v>45621</v>
      </c>
      <c r="J357" s="2"/>
    </row>
    <row r="358" spans="1:10" x14ac:dyDescent="0.25">
      <c r="A358" s="8" t="s">
        <v>393</v>
      </c>
      <c r="B358" s="8" t="s">
        <v>361</v>
      </c>
      <c r="C358" s="8" t="s">
        <v>8</v>
      </c>
      <c r="D358" s="10">
        <v>45559</v>
      </c>
      <c r="E358" s="9">
        <v>150521</v>
      </c>
      <c r="F358" s="2" t="str">
        <f>INDEX(Vendors!E:E,MATCH(Vendor_Analysis!C358,Vendors!A:A,0))</f>
        <v xml:space="preserve">60 </v>
      </c>
      <c r="G358" s="2">
        <v>60</v>
      </c>
      <c r="H358" s="16">
        <f t="shared" si="5"/>
        <v>45619</v>
      </c>
      <c r="J358" s="2"/>
    </row>
    <row r="359" spans="1:10" x14ac:dyDescent="0.25">
      <c r="A359" s="8" t="s">
        <v>394</v>
      </c>
      <c r="B359" s="8" t="s">
        <v>361</v>
      </c>
      <c r="C359" s="8" t="s">
        <v>71</v>
      </c>
      <c r="D359" s="10">
        <v>45563</v>
      </c>
      <c r="E359" s="9">
        <v>170304</v>
      </c>
      <c r="F359" s="2" t="str">
        <f>INDEX(Vendors!E:E,MATCH(Vendor_Analysis!C359,Vendors!A:A,0))</f>
        <v xml:space="preserve">45 </v>
      </c>
      <c r="G359" s="2">
        <v>45</v>
      </c>
      <c r="H359" s="16">
        <f t="shared" si="5"/>
        <v>45608</v>
      </c>
      <c r="J359" s="2"/>
    </row>
    <row r="360" spans="1:10" x14ac:dyDescent="0.25">
      <c r="A360" s="8" t="s">
        <v>395</v>
      </c>
      <c r="B360" s="8" t="s">
        <v>361</v>
      </c>
      <c r="C360" s="8" t="s">
        <v>6</v>
      </c>
      <c r="D360" s="10">
        <v>45589</v>
      </c>
      <c r="E360" s="9">
        <v>156686</v>
      </c>
      <c r="F360" s="2" t="str">
        <f>INDEX(Vendors!E:E,MATCH(Vendor_Analysis!C360,Vendors!A:A,0))</f>
        <v xml:space="preserve">60 </v>
      </c>
      <c r="G360" s="2">
        <v>60</v>
      </c>
      <c r="H360" s="16">
        <f t="shared" si="5"/>
        <v>45649</v>
      </c>
      <c r="J360" s="2"/>
    </row>
    <row r="361" spans="1:10" x14ac:dyDescent="0.25">
      <c r="A361" s="8" t="s">
        <v>1823</v>
      </c>
      <c r="B361" s="8" t="s">
        <v>361</v>
      </c>
      <c r="C361" s="8" t="s">
        <v>109</v>
      </c>
      <c r="D361" s="10">
        <v>45593</v>
      </c>
      <c r="E361" s="9">
        <v>94108</v>
      </c>
      <c r="F361" s="2" t="str">
        <f>INDEX(Vendors!E:E,MATCH(Vendor_Analysis!C361,Vendors!A:A,0))</f>
        <v xml:space="preserve">30 </v>
      </c>
      <c r="G361" s="2">
        <v>30</v>
      </c>
      <c r="H361" s="16">
        <f t="shared" si="5"/>
        <v>45623</v>
      </c>
      <c r="J361" s="2"/>
    </row>
    <row r="362" spans="1:10" x14ac:dyDescent="0.25">
      <c r="A362" s="8" t="s">
        <v>1824</v>
      </c>
      <c r="B362" s="8" t="s">
        <v>361</v>
      </c>
      <c r="C362" s="8" t="s">
        <v>21</v>
      </c>
      <c r="D362" s="10">
        <v>45596</v>
      </c>
      <c r="E362" s="9">
        <v>102967</v>
      </c>
      <c r="F362" s="2" t="str">
        <f>INDEX(Vendors!E:E,MATCH(Vendor_Analysis!C362,Vendors!A:A,0))</f>
        <v xml:space="preserve"> 90</v>
      </c>
      <c r="G362" s="2">
        <v>90</v>
      </c>
      <c r="H362" s="16">
        <f t="shared" si="5"/>
        <v>45686</v>
      </c>
      <c r="J362" s="2"/>
    </row>
    <row r="363" spans="1:10" x14ac:dyDescent="0.25">
      <c r="A363" s="8" t="s">
        <v>1825</v>
      </c>
      <c r="B363" s="8" t="s">
        <v>361</v>
      </c>
      <c r="C363" s="8" t="s">
        <v>23</v>
      </c>
      <c r="D363" s="10">
        <v>45606</v>
      </c>
      <c r="E363" s="9">
        <v>140869</v>
      </c>
      <c r="F363" s="2" t="str">
        <f>INDEX(Vendors!E:E,MATCH(Vendor_Analysis!C363,Vendors!A:A,0))</f>
        <v xml:space="preserve"> 90</v>
      </c>
      <c r="G363" s="2">
        <v>90</v>
      </c>
      <c r="H363" s="16">
        <f t="shared" si="5"/>
        <v>45696</v>
      </c>
      <c r="J363" s="2"/>
    </row>
    <row r="364" spans="1:10" x14ac:dyDescent="0.25">
      <c r="A364" s="8" t="s">
        <v>1826</v>
      </c>
      <c r="B364" s="8" t="s">
        <v>361</v>
      </c>
      <c r="C364" s="8" t="s">
        <v>14</v>
      </c>
      <c r="D364" s="10">
        <v>45609</v>
      </c>
      <c r="E364" s="9">
        <v>172427</v>
      </c>
      <c r="F364" s="2" t="str">
        <f>INDEX(Vendors!E:E,MATCH(Vendor_Analysis!C364,Vendors!A:A,0))</f>
        <v xml:space="preserve"> 90</v>
      </c>
      <c r="G364" s="2">
        <v>90</v>
      </c>
      <c r="H364" s="16">
        <f t="shared" si="5"/>
        <v>45699</v>
      </c>
      <c r="J364" s="2"/>
    </row>
    <row r="365" spans="1:10" x14ac:dyDescent="0.25">
      <c r="A365" s="8" t="s">
        <v>1827</v>
      </c>
      <c r="B365" s="8" t="s">
        <v>361</v>
      </c>
      <c r="C365" s="8" t="s">
        <v>110</v>
      </c>
      <c r="D365" s="10">
        <v>45611</v>
      </c>
      <c r="E365" s="9">
        <v>91331</v>
      </c>
      <c r="F365" s="2" t="str">
        <f>INDEX(Vendors!E:E,MATCH(Vendor_Analysis!C365,Vendors!A:A,0))</f>
        <v xml:space="preserve">30 </v>
      </c>
      <c r="G365" s="2">
        <v>30</v>
      </c>
      <c r="H365" s="16">
        <f t="shared" si="5"/>
        <v>45641</v>
      </c>
      <c r="J365" s="2"/>
    </row>
    <row r="366" spans="1:10" x14ac:dyDescent="0.25">
      <c r="A366" s="8" t="s">
        <v>1828</v>
      </c>
      <c r="B366" s="8" t="s">
        <v>361</v>
      </c>
      <c r="C366" s="8" t="s">
        <v>91</v>
      </c>
      <c r="D366" s="10">
        <v>45623</v>
      </c>
      <c r="E366" s="9">
        <v>154503</v>
      </c>
      <c r="F366" s="2" t="str">
        <f>INDEX(Vendors!E:E,MATCH(Vendor_Analysis!C366,Vendors!A:A,0))</f>
        <v xml:space="preserve">60 </v>
      </c>
      <c r="G366" s="2">
        <v>60</v>
      </c>
      <c r="H366" s="16">
        <f t="shared" si="5"/>
        <v>45683</v>
      </c>
      <c r="J366" s="2"/>
    </row>
    <row r="367" spans="1:10" x14ac:dyDescent="0.25">
      <c r="A367" s="8" t="s">
        <v>1829</v>
      </c>
      <c r="B367" s="8" t="s">
        <v>361</v>
      </c>
      <c r="C367" s="8" t="s">
        <v>35</v>
      </c>
      <c r="D367" s="10">
        <v>45633</v>
      </c>
      <c r="E367" s="9">
        <v>169206</v>
      </c>
      <c r="F367" s="2" t="str">
        <f>INDEX(Vendors!E:E,MATCH(Vendor_Analysis!C367,Vendors!A:A,0))</f>
        <v xml:space="preserve">60 </v>
      </c>
      <c r="G367" s="2">
        <v>60</v>
      </c>
      <c r="H367" s="16">
        <f t="shared" si="5"/>
        <v>45693</v>
      </c>
      <c r="J367" s="2"/>
    </row>
    <row r="368" spans="1:10" x14ac:dyDescent="0.25">
      <c r="A368" s="8" t="s">
        <v>1830</v>
      </c>
      <c r="B368" s="8" t="s">
        <v>361</v>
      </c>
      <c r="C368" s="8" t="s">
        <v>33</v>
      </c>
      <c r="D368" s="10">
        <v>45638</v>
      </c>
      <c r="E368" s="9">
        <v>105931</v>
      </c>
      <c r="F368" s="2" t="str">
        <f>INDEX(Vendors!E:E,MATCH(Vendor_Analysis!C368,Vendors!A:A,0))</f>
        <v xml:space="preserve">30 </v>
      </c>
      <c r="G368" s="2">
        <v>30</v>
      </c>
      <c r="H368" s="16">
        <f t="shared" si="5"/>
        <v>45668</v>
      </c>
      <c r="J368" s="2"/>
    </row>
    <row r="369" spans="1:10" x14ac:dyDescent="0.25">
      <c r="A369" s="8" t="s">
        <v>1831</v>
      </c>
      <c r="B369" s="8" t="s">
        <v>361</v>
      </c>
      <c r="C369" s="8" t="s">
        <v>48</v>
      </c>
      <c r="D369" s="10">
        <v>45640</v>
      </c>
      <c r="E369" s="9">
        <v>76929</v>
      </c>
      <c r="F369" s="2" t="str">
        <f>INDEX(Vendors!E:E,MATCH(Vendor_Analysis!C369,Vendors!A:A,0))</f>
        <v xml:space="preserve"> 90</v>
      </c>
      <c r="G369" s="2">
        <v>90</v>
      </c>
      <c r="H369" s="16">
        <f t="shared" si="5"/>
        <v>45730</v>
      </c>
      <c r="J369" s="2"/>
    </row>
    <row r="370" spans="1:10" x14ac:dyDescent="0.25">
      <c r="A370" s="8" t="s">
        <v>1832</v>
      </c>
      <c r="B370" s="8" t="s">
        <v>361</v>
      </c>
      <c r="C370" s="8" t="s">
        <v>8</v>
      </c>
      <c r="D370" s="10">
        <v>45646</v>
      </c>
      <c r="E370" s="9">
        <v>354643</v>
      </c>
      <c r="F370" s="2" t="str">
        <f>INDEX(Vendors!E:E,MATCH(Vendor_Analysis!C370,Vendors!A:A,0))</f>
        <v xml:space="preserve">60 </v>
      </c>
      <c r="G370" s="2">
        <v>60</v>
      </c>
      <c r="H370" s="16">
        <f t="shared" si="5"/>
        <v>45706</v>
      </c>
      <c r="J370" s="2"/>
    </row>
    <row r="371" spans="1:10" x14ac:dyDescent="0.25">
      <c r="A371" s="8" t="s">
        <v>1833</v>
      </c>
      <c r="B371" s="8" t="s">
        <v>361</v>
      </c>
      <c r="C371" s="8" t="s">
        <v>48</v>
      </c>
      <c r="D371" s="10">
        <v>45658</v>
      </c>
      <c r="E371" s="9">
        <v>569069</v>
      </c>
      <c r="F371" s="2" t="str">
        <f>INDEX(Vendors!E:E,MATCH(Vendor_Analysis!C371,Vendors!A:A,0))</f>
        <v xml:space="preserve"> 90</v>
      </c>
      <c r="G371" s="2">
        <v>90</v>
      </c>
      <c r="H371" s="16">
        <f t="shared" si="5"/>
        <v>45748</v>
      </c>
      <c r="J371" s="2"/>
    </row>
    <row r="372" spans="1:10" x14ac:dyDescent="0.25">
      <c r="A372" s="8" t="s">
        <v>1834</v>
      </c>
      <c r="B372" s="8" t="s">
        <v>361</v>
      </c>
      <c r="C372" s="8" t="s">
        <v>6</v>
      </c>
      <c r="D372" s="10">
        <v>45695</v>
      </c>
      <c r="E372" s="9">
        <v>109458</v>
      </c>
      <c r="F372" s="2" t="str">
        <f>INDEX(Vendors!E:E,MATCH(Vendor_Analysis!C372,Vendors!A:A,0))</f>
        <v xml:space="preserve">60 </v>
      </c>
      <c r="G372" s="2">
        <v>60</v>
      </c>
      <c r="H372" s="16">
        <f t="shared" si="5"/>
        <v>45755</v>
      </c>
      <c r="J372" s="2"/>
    </row>
    <row r="373" spans="1:10" x14ac:dyDescent="0.25">
      <c r="A373" s="8" t="s">
        <v>1835</v>
      </c>
      <c r="B373" s="8" t="s">
        <v>361</v>
      </c>
      <c r="C373" s="8" t="s">
        <v>14</v>
      </c>
      <c r="D373" s="10">
        <v>45718</v>
      </c>
      <c r="E373" s="9">
        <v>82151</v>
      </c>
      <c r="F373" s="2" t="str">
        <f>INDEX(Vendors!E:E,MATCH(Vendor_Analysis!C373,Vendors!A:A,0))</f>
        <v xml:space="preserve"> 90</v>
      </c>
      <c r="G373" s="2">
        <v>90</v>
      </c>
      <c r="H373" s="16">
        <f t="shared" si="5"/>
        <v>45808</v>
      </c>
      <c r="J373" s="2"/>
    </row>
    <row r="374" spans="1:10" x14ac:dyDescent="0.25">
      <c r="A374" s="8" t="s">
        <v>1836</v>
      </c>
      <c r="B374" s="8" t="s">
        <v>361</v>
      </c>
      <c r="C374" s="8" t="s">
        <v>35</v>
      </c>
      <c r="D374" s="10">
        <v>45732</v>
      </c>
      <c r="E374" s="9">
        <v>110680</v>
      </c>
      <c r="F374" s="2" t="str">
        <f>INDEX(Vendors!E:E,MATCH(Vendor_Analysis!C374,Vendors!A:A,0))</f>
        <v xml:space="preserve">60 </v>
      </c>
      <c r="G374" s="2">
        <v>60</v>
      </c>
      <c r="H374" s="16">
        <f t="shared" si="5"/>
        <v>45792</v>
      </c>
      <c r="J374" s="2"/>
    </row>
    <row r="375" spans="1:10" x14ac:dyDescent="0.25">
      <c r="A375" s="8" t="s">
        <v>1837</v>
      </c>
      <c r="B375" s="8" t="s">
        <v>361</v>
      </c>
      <c r="C375" s="8" t="s">
        <v>71</v>
      </c>
      <c r="D375" s="10">
        <v>45736</v>
      </c>
      <c r="E375" s="9">
        <v>157748</v>
      </c>
      <c r="F375" s="2" t="str">
        <f>INDEX(Vendors!E:E,MATCH(Vendor_Analysis!C375,Vendors!A:A,0))</f>
        <v xml:space="preserve">45 </v>
      </c>
      <c r="G375" s="2">
        <v>45</v>
      </c>
      <c r="H375" s="16">
        <f t="shared" si="5"/>
        <v>45781</v>
      </c>
      <c r="J375" s="2"/>
    </row>
    <row r="376" spans="1:10" x14ac:dyDescent="0.25">
      <c r="A376" s="8" t="s">
        <v>1838</v>
      </c>
      <c r="B376" s="8" t="s">
        <v>361</v>
      </c>
      <c r="C376" s="8" t="s">
        <v>55</v>
      </c>
      <c r="D376" s="10">
        <v>45743</v>
      </c>
      <c r="E376" s="9">
        <v>96431</v>
      </c>
      <c r="F376" s="2" t="str">
        <f>INDEX(Vendors!E:E,MATCH(Vendor_Analysis!C376,Vendors!A:A,0))</f>
        <v xml:space="preserve">30 </v>
      </c>
      <c r="G376" s="2">
        <v>30</v>
      </c>
      <c r="H376" s="16">
        <f t="shared" si="5"/>
        <v>45773</v>
      </c>
      <c r="J376" s="2"/>
    </row>
    <row r="377" spans="1:10" x14ac:dyDescent="0.25">
      <c r="A377" s="8" t="s">
        <v>1839</v>
      </c>
      <c r="B377" s="8" t="s">
        <v>361</v>
      </c>
      <c r="C377" s="8" t="s">
        <v>14</v>
      </c>
      <c r="D377" s="10">
        <v>45752</v>
      </c>
      <c r="E377" s="9">
        <v>83987</v>
      </c>
      <c r="F377" s="2" t="str">
        <f>INDEX(Vendors!E:E,MATCH(Vendor_Analysis!C377,Vendors!A:A,0))</f>
        <v xml:space="preserve"> 90</v>
      </c>
      <c r="G377" s="2">
        <v>90</v>
      </c>
      <c r="H377" s="16">
        <f t="shared" si="5"/>
        <v>45842</v>
      </c>
      <c r="J377" s="2"/>
    </row>
    <row r="378" spans="1:10" x14ac:dyDescent="0.25">
      <c r="A378" s="8" t="s">
        <v>1840</v>
      </c>
      <c r="B378" s="8" t="s">
        <v>361</v>
      </c>
      <c r="C378" s="8" t="s">
        <v>48</v>
      </c>
      <c r="D378" s="10">
        <v>45780</v>
      </c>
      <c r="E378" s="9">
        <v>145241</v>
      </c>
      <c r="F378" s="2" t="str">
        <f>INDEX(Vendors!E:E,MATCH(Vendor_Analysis!C378,Vendors!A:A,0))</f>
        <v xml:space="preserve"> 90</v>
      </c>
      <c r="G378" s="2">
        <v>90</v>
      </c>
      <c r="H378" s="16">
        <f t="shared" si="5"/>
        <v>45870</v>
      </c>
      <c r="J378" s="2"/>
    </row>
    <row r="379" spans="1:10" x14ac:dyDescent="0.25">
      <c r="A379" s="8" t="s">
        <v>1841</v>
      </c>
      <c r="B379" s="8" t="s">
        <v>361</v>
      </c>
      <c r="C379" s="8" t="s">
        <v>23</v>
      </c>
      <c r="D379" s="10">
        <v>45806</v>
      </c>
      <c r="E379" s="9">
        <v>216600</v>
      </c>
      <c r="F379" s="2" t="str">
        <f>INDEX(Vendors!E:E,MATCH(Vendor_Analysis!C379,Vendors!A:A,0))</f>
        <v xml:space="preserve"> 90</v>
      </c>
      <c r="G379" s="2">
        <v>90</v>
      </c>
      <c r="H379" s="16">
        <f t="shared" si="5"/>
        <v>45896</v>
      </c>
      <c r="J379" s="2"/>
    </row>
    <row r="380" spans="1:10" x14ac:dyDescent="0.25">
      <c r="A380" s="8" t="s">
        <v>1842</v>
      </c>
      <c r="B380" s="8" t="s">
        <v>361</v>
      </c>
      <c r="C380" s="8" t="s">
        <v>10</v>
      </c>
      <c r="D380" s="10">
        <v>45809</v>
      </c>
      <c r="E380" s="9">
        <v>67999</v>
      </c>
      <c r="F380" s="2" t="str">
        <f>INDEX(Vendors!E:E,MATCH(Vendor_Analysis!C380,Vendors!A:A,0))</f>
        <v xml:space="preserve">60 </v>
      </c>
      <c r="G380" s="2">
        <v>60</v>
      </c>
      <c r="H380" s="16">
        <f t="shared" si="5"/>
        <v>45869</v>
      </c>
      <c r="J380" s="2"/>
    </row>
    <row r="381" spans="1:10" x14ac:dyDescent="0.25">
      <c r="A381" s="8" t="s">
        <v>1843</v>
      </c>
      <c r="B381" s="8" t="s">
        <v>361</v>
      </c>
      <c r="C381" s="8" t="s">
        <v>108</v>
      </c>
      <c r="D381" s="10">
        <v>45818</v>
      </c>
      <c r="E381" s="9">
        <v>166321</v>
      </c>
      <c r="F381" s="2" t="str">
        <f>INDEX(Vendors!E:E,MATCH(Vendor_Analysis!C381,Vendors!A:A,0))</f>
        <v xml:space="preserve"> 90</v>
      </c>
      <c r="G381" s="2">
        <v>90</v>
      </c>
      <c r="H381" s="16">
        <f t="shared" si="5"/>
        <v>45908</v>
      </c>
      <c r="J381" s="2"/>
    </row>
    <row r="382" spans="1:10" x14ac:dyDescent="0.25">
      <c r="A382" s="8" t="s">
        <v>1844</v>
      </c>
      <c r="B382" s="8" t="s">
        <v>361</v>
      </c>
      <c r="C382" s="8" t="s">
        <v>110</v>
      </c>
      <c r="D382" s="10">
        <v>45829</v>
      </c>
      <c r="E382" s="9">
        <v>151937</v>
      </c>
      <c r="F382" s="2" t="str">
        <f>INDEX(Vendors!E:E,MATCH(Vendor_Analysis!C382,Vendors!A:A,0))</f>
        <v xml:space="preserve">30 </v>
      </c>
      <c r="G382" s="2">
        <v>30</v>
      </c>
      <c r="H382" s="16">
        <f t="shared" si="5"/>
        <v>45859</v>
      </c>
      <c r="J382" s="2"/>
    </row>
    <row r="383" spans="1:10" x14ac:dyDescent="0.25">
      <c r="A383" s="8" t="s">
        <v>1845</v>
      </c>
      <c r="B383" s="8" t="s">
        <v>361</v>
      </c>
      <c r="C383" s="8" t="s">
        <v>14</v>
      </c>
      <c r="D383" s="10">
        <v>45848</v>
      </c>
      <c r="E383" s="9">
        <v>162172</v>
      </c>
      <c r="F383" s="2" t="str">
        <f>INDEX(Vendors!E:E,MATCH(Vendor_Analysis!C383,Vendors!A:A,0))</f>
        <v xml:space="preserve"> 90</v>
      </c>
      <c r="G383" s="2">
        <v>90</v>
      </c>
      <c r="H383" s="16">
        <f t="shared" si="5"/>
        <v>45938</v>
      </c>
      <c r="J383" s="2"/>
    </row>
    <row r="384" spans="1:10" x14ac:dyDescent="0.25">
      <c r="A384" s="8" t="s">
        <v>1846</v>
      </c>
      <c r="B384" s="8" t="s">
        <v>361</v>
      </c>
      <c r="C384" s="8" t="s">
        <v>35</v>
      </c>
      <c r="D384" s="10">
        <v>45853</v>
      </c>
      <c r="E384" s="9">
        <v>123188</v>
      </c>
      <c r="F384" s="2" t="str">
        <f>INDEX(Vendors!E:E,MATCH(Vendor_Analysis!C384,Vendors!A:A,0))</f>
        <v xml:space="preserve">60 </v>
      </c>
      <c r="G384" s="2">
        <v>60</v>
      </c>
      <c r="H384" s="16">
        <f t="shared" si="5"/>
        <v>45913</v>
      </c>
      <c r="J384" s="2"/>
    </row>
    <row r="385" spans="1:10" x14ac:dyDescent="0.25">
      <c r="A385" s="8" t="s">
        <v>1847</v>
      </c>
      <c r="B385" s="8" t="s">
        <v>361</v>
      </c>
      <c r="C385" s="8" t="s">
        <v>10</v>
      </c>
      <c r="D385" s="10">
        <v>45859</v>
      </c>
      <c r="E385" s="9">
        <v>124462</v>
      </c>
      <c r="F385" s="2" t="str">
        <f>INDEX(Vendors!E:E,MATCH(Vendor_Analysis!C385,Vendors!A:A,0))</f>
        <v xml:space="preserve">60 </v>
      </c>
      <c r="G385" s="2">
        <v>60</v>
      </c>
      <c r="H385" s="16">
        <f t="shared" si="5"/>
        <v>45919</v>
      </c>
      <c r="J385" s="2"/>
    </row>
    <row r="386" spans="1:10" x14ac:dyDescent="0.25">
      <c r="A386" s="8" t="s">
        <v>396</v>
      </c>
      <c r="B386" s="8" t="s">
        <v>397</v>
      </c>
      <c r="C386" s="8" t="s">
        <v>29</v>
      </c>
      <c r="D386" s="10">
        <v>45464</v>
      </c>
      <c r="E386" s="9">
        <v>278463</v>
      </c>
      <c r="F386" s="2" t="str">
        <f>INDEX(Vendors!E:E,MATCH(Vendor_Analysis!C386,Vendors!A:A,0))</f>
        <v xml:space="preserve">30 </v>
      </c>
      <c r="G386" s="2">
        <v>30</v>
      </c>
      <c r="H386" s="16">
        <f t="shared" si="5"/>
        <v>45494</v>
      </c>
      <c r="J386" s="2"/>
    </row>
    <row r="387" spans="1:10" x14ac:dyDescent="0.25">
      <c r="A387" s="8" t="s">
        <v>398</v>
      </c>
      <c r="B387" s="8" t="s">
        <v>397</v>
      </c>
      <c r="C387" s="8" t="s">
        <v>6</v>
      </c>
      <c r="D387" s="10">
        <v>45474</v>
      </c>
      <c r="E387" s="9">
        <v>1067516</v>
      </c>
      <c r="F387" s="2" t="str">
        <f>INDEX(Vendors!E:E,MATCH(Vendor_Analysis!C387,Vendors!A:A,0))</f>
        <v xml:space="preserve">60 </v>
      </c>
      <c r="G387" s="2">
        <v>60</v>
      </c>
      <c r="H387" s="16">
        <f t="shared" ref="H387:H450" si="6">D387+F387</f>
        <v>45534</v>
      </c>
      <c r="J387" s="2"/>
    </row>
    <row r="388" spans="1:10" x14ac:dyDescent="0.25">
      <c r="A388" s="8" t="s">
        <v>399</v>
      </c>
      <c r="B388" s="8" t="s">
        <v>397</v>
      </c>
      <c r="C388" s="8" t="s">
        <v>73</v>
      </c>
      <c r="D388" s="10">
        <v>45480</v>
      </c>
      <c r="E388" s="9">
        <v>245154</v>
      </c>
      <c r="F388" s="2" t="str">
        <f>INDEX(Vendors!E:E,MATCH(Vendor_Analysis!C388,Vendors!A:A,0))</f>
        <v xml:space="preserve">60 </v>
      </c>
      <c r="G388" s="2">
        <v>60</v>
      </c>
      <c r="H388" s="16">
        <f t="shared" si="6"/>
        <v>45540</v>
      </c>
      <c r="J388" s="2"/>
    </row>
    <row r="389" spans="1:10" x14ac:dyDescent="0.25">
      <c r="A389" s="8" t="s">
        <v>400</v>
      </c>
      <c r="B389" s="8" t="s">
        <v>397</v>
      </c>
      <c r="C389" s="8" t="s">
        <v>73</v>
      </c>
      <c r="D389" s="10">
        <v>45512</v>
      </c>
      <c r="E389" s="9">
        <v>187184</v>
      </c>
      <c r="F389" s="2" t="str">
        <f>INDEX(Vendors!E:E,MATCH(Vendor_Analysis!C389,Vendors!A:A,0))</f>
        <v xml:space="preserve">60 </v>
      </c>
      <c r="G389" s="2">
        <v>60</v>
      </c>
      <c r="H389" s="16">
        <f t="shared" si="6"/>
        <v>45572</v>
      </c>
      <c r="J389" s="2"/>
    </row>
    <row r="390" spans="1:10" x14ac:dyDescent="0.25">
      <c r="A390" s="8" t="s">
        <v>401</v>
      </c>
      <c r="B390" s="8" t="s">
        <v>397</v>
      </c>
      <c r="C390" s="8" t="s">
        <v>25</v>
      </c>
      <c r="D390" s="10">
        <v>45520</v>
      </c>
      <c r="E390" s="9">
        <v>421899</v>
      </c>
      <c r="F390" s="2" t="str">
        <f>INDEX(Vendors!E:E,MATCH(Vendor_Analysis!C390,Vendors!A:A,0))</f>
        <v xml:space="preserve">30 </v>
      </c>
      <c r="G390" s="2">
        <v>30</v>
      </c>
      <c r="H390" s="16">
        <f t="shared" si="6"/>
        <v>45550</v>
      </c>
      <c r="J390" s="2"/>
    </row>
    <row r="391" spans="1:10" x14ac:dyDescent="0.25">
      <c r="A391" s="8" t="s">
        <v>402</v>
      </c>
      <c r="B391" s="8" t="s">
        <v>397</v>
      </c>
      <c r="C391" s="8" t="s">
        <v>17</v>
      </c>
      <c r="D391" s="10">
        <v>45532</v>
      </c>
      <c r="E391" s="9">
        <v>506077</v>
      </c>
      <c r="F391" s="2" t="str">
        <f>INDEX(Vendors!E:E,MATCH(Vendor_Analysis!C391,Vendors!A:A,0))</f>
        <v xml:space="preserve">45 </v>
      </c>
      <c r="G391" s="2">
        <v>45</v>
      </c>
      <c r="H391" s="16">
        <f t="shared" si="6"/>
        <v>45577</v>
      </c>
      <c r="J391" s="2"/>
    </row>
    <row r="392" spans="1:10" x14ac:dyDescent="0.25">
      <c r="A392" s="8" t="s">
        <v>403</v>
      </c>
      <c r="B392" s="8" t="s">
        <v>397</v>
      </c>
      <c r="C392" s="8" t="s">
        <v>55</v>
      </c>
      <c r="D392" s="10">
        <v>45535</v>
      </c>
      <c r="E392" s="9">
        <v>251999</v>
      </c>
      <c r="F392" s="2" t="str">
        <f>INDEX(Vendors!E:E,MATCH(Vendor_Analysis!C392,Vendors!A:A,0))</f>
        <v xml:space="preserve">30 </v>
      </c>
      <c r="G392" s="2">
        <v>30</v>
      </c>
      <c r="H392" s="16">
        <f t="shared" si="6"/>
        <v>45565</v>
      </c>
      <c r="J392" s="2"/>
    </row>
    <row r="393" spans="1:10" x14ac:dyDescent="0.25">
      <c r="A393" s="8" t="s">
        <v>404</v>
      </c>
      <c r="B393" s="8" t="s">
        <v>397</v>
      </c>
      <c r="C393" s="8" t="s">
        <v>44</v>
      </c>
      <c r="D393" s="10">
        <v>45538</v>
      </c>
      <c r="E393" s="9">
        <v>235109</v>
      </c>
      <c r="F393" s="2" t="str">
        <f>INDEX(Vendors!E:E,MATCH(Vendor_Analysis!C393,Vendors!A:A,0))</f>
        <v xml:space="preserve">45 </v>
      </c>
      <c r="G393" s="2">
        <v>45</v>
      </c>
      <c r="H393" s="16">
        <f t="shared" si="6"/>
        <v>45583</v>
      </c>
      <c r="J393" s="2"/>
    </row>
    <row r="394" spans="1:10" x14ac:dyDescent="0.25">
      <c r="A394" s="8" t="s">
        <v>405</v>
      </c>
      <c r="B394" s="8" t="s">
        <v>397</v>
      </c>
      <c r="C394" s="8" t="s">
        <v>8</v>
      </c>
      <c r="D394" s="10">
        <v>45550</v>
      </c>
      <c r="E394" s="9">
        <v>379281</v>
      </c>
      <c r="F394" s="2" t="str">
        <f>INDEX(Vendors!E:E,MATCH(Vendor_Analysis!C394,Vendors!A:A,0))</f>
        <v xml:space="preserve">60 </v>
      </c>
      <c r="G394" s="2">
        <v>60</v>
      </c>
      <c r="H394" s="16">
        <f t="shared" si="6"/>
        <v>45610</v>
      </c>
      <c r="J394" s="2"/>
    </row>
    <row r="395" spans="1:10" x14ac:dyDescent="0.25">
      <c r="A395" s="8" t="s">
        <v>406</v>
      </c>
      <c r="B395" s="8" t="s">
        <v>397</v>
      </c>
      <c r="C395" s="8" t="s">
        <v>108</v>
      </c>
      <c r="D395" s="10">
        <v>45559</v>
      </c>
      <c r="E395" s="9">
        <v>404247</v>
      </c>
      <c r="F395" s="2" t="str">
        <f>INDEX(Vendors!E:E,MATCH(Vendor_Analysis!C395,Vendors!A:A,0))</f>
        <v xml:space="preserve"> 90</v>
      </c>
      <c r="G395" s="2">
        <v>90</v>
      </c>
      <c r="H395" s="16">
        <f t="shared" si="6"/>
        <v>45649</v>
      </c>
      <c r="J395" s="2"/>
    </row>
    <row r="396" spans="1:10" x14ac:dyDescent="0.25">
      <c r="A396" s="8" t="s">
        <v>407</v>
      </c>
      <c r="B396" s="8" t="s">
        <v>397</v>
      </c>
      <c r="C396" s="8" t="s">
        <v>8</v>
      </c>
      <c r="D396" s="10">
        <v>45570</v>
      </c>
      <c r="E396" s="9">
        <v>230337</v>
      </c>
      <c r="F396" s="2" t="str">
        <f>INDEX(Vendors!E:E,MATCH(Vendor_Analysis!C396,Vendors!A:A,0))</f>
        <v xml:space="preserve">60 </v>
      </c>
      <c r="G396" s="2">
        <v>60</v>
      </c>
      <c r="H396" s="16">
        <f t="shared" si="6"/>
        <v>45630</v>
      </c>
      <c r="J396" s="2"/>
    </row>
    <row r="397" spans="1:10" x14ac:dyDescent="0.25">
      <c r="A397" s="8" t="s">
        <v>408</v>
      </c>
      <c r="B397" s="8" t="s">
        <v>397</v>
      </c>
      <c r="C397" s="8" t="s">
        <v>73</v>
      </c>
      <c r="D397" s="10">
        <v>45578</v>
      </c>
      <c r="E397" s="9">
        <v>353847</v>
      </c>
      <c r="F397" s="2" t="str">
        <f>INDEX(Vendors!E:E,MATCH(Vendor_Analysis!C397,Vendors!A:A,0))</f>
        <v xml:space="preserve">60 </v>
      </c>
      <c r="G397" s="2">
        <v>60</v>
      </c>
      <c r="H397" s="16">
        <f t="shared" si="6"/>
        <v>45638</v>
      </c>
      <c r="J397" s="2"/>
    </row>
    <row r="398" spans="1:10" x14ac:dyDescent="0.25">
      <c r="A398" s="8" t="s">
        <v>409</v>
      </c>
      <c r="B398" s="8" t="s">
        <v>397</v>
      </c>
      <c r="C398" s="8" t="s">
        <v>55</v>
      </c>
      <c r="D398" s="10">
        <v>45581</v>
      </c>
      <c r="E398" s="9">
        <v>310727</v>
      </c>
      <c r="F398" s="2" t="str">
        <f>INDEX(Vendors!E:E,MATCH(Vendor_Analysis!C398,Vendors!A:A,0))</f>
        <v xml:space="preserve">30 </v>
      </c>
      <c r="G398" s="2">
        <v>30</v>
      </c>
      <c r="H398" s="16">
        <f t="shared" si="6"/>
        <v>45611</v>
      </c>
      <c r="J398" s="2"/>
    </row>
    <row r="399" spans="1:10" x14ac:dyDescent="0.25">
      <c r="A399" s="8" t="s">
        <v>410</v>
      </c>
      <c r="B399" s="8" t="s">
        <v>397</v>
      </c>
      <c r="C399" s="8" t="s">
        <v>37</v>
      </c>
      <c r="D399" s="10">
        <v>45585</v>
      </c>
      <c r="E399" s="9">
        <v>438387</v>
      </c>
      <c r="F399" s="2" t="str">
        <f>INDEX(Vendors!E:E,MATCH(Vendor_Analysis!C399,Vendors!A:A,0))</f>
        <v xml:space="preserve">30 </v>
      </c>
      <c r="G399" s="2">
        <v>30</v>
      </c>
      <c r="H399" s="16">
        <f t="shared" si="6"/>
        <v>45615</v>
      </c>
      <c r="J399" s="2"/>
    </row>
    <row r="400" spans="1:10" x14ac:dyDescent="0.25">
      <c r="A400" s="8" t="s">
        <v>411</v>
      </c>
      <c r="B400" s="8" t="s">
        <v>397</v>
      </c>
      <c r="C400" s="8" t="s">
        <v>27</v>
      </c>
      <c r="D400" s="10">
        <v>45609</v>
      </c>
      <c r="E400" s="9">
        <v>301516</v>
      </c>
      <c r="F400" s="2" t="str">
        <f>INDEX(Vendors!E:E,MATCH(Vendor_Analysis!C400,Vendors!A:A,0))</f>
        <v xml:space="preserve">45 </v>
      </c>
      <c r="G400" s="2">
        <v>45</v>
      </c>
      <c r="H400" s="16">
        <f t="shared" si="6"/>
        <v>45654</v>
      </c>
      <c r="J400" s="2"/>
    </row>
    <row r="401" spans="1:10" x14ac:dyDescent="0.25">
      <c r="A401" s="8" t="s">
        <v>412</v>
      </c>
      <c r="B401" s="8" t="s">
        <v>397</v>
      </c>
      <c r="C401" s="8" t="s">
        <v>110</v>
      </c>
      <c r="D401" s="10">
        <v>45635</v>
      </c>
      <c r="E401" s="9">
        <v>203047</v>
      </c>
      <c r="F401" s="2" t="str">
        <f>INDEX(Vendors!E:E,MATCH(Vendor_Analysis!C401,Vendors!A:A,0))</f>
        <v xml:space="preserve">30 </v>
      </c>
      <c r="G401" s="2">
        <v>30</v>
      </c>
      <c r="H401" s="16">
        <f t="shared" si="6"/>
        <v>45665</v>
      </c>
      <c r="J401" s="2"/>
    </row>
    <row r="402" spans="1:10" x14ac:dyDescent="0.25">
      <c r="A402" s="8" t="s">
        <v>413</v>
      </c>
      <c r="B402" s="8" t="s">
        <v>397</v>
      </c>
      <c r="C402" s="8" t="s">
        <v>50</v>
      </c>
      <c r="D402" s="10">
        <v>45637</v>
      </c>
      <c r="E402" s="9">
        <v>424329</v>
      </c>
      <c r="F402" s="2" t="str">
        <f>INDEX(Vendors!E:E,MATCH(Vendor_Analysis!C402,Vendors!A:A,0))</f>
        <v xml:space="preserve"> 90</v>
      </c>
      <c r="G402" s="2">
        <v>90</v>
      </c>
      <c r="H402" s="16">
        <f t="shared" si="6"/>
        <v>45727</v>
      </c>
      <c r="J402" s="2"/>
    </row>
    <row r="403" spans="1:10" x14ac:dyDescent="0.25">
      <c r="A403" s="8" t="s">
        <v>414</v>
      </c>
      <c r="B403" s="8" t="s">
        <v>397</v>
      </c>
      <c r="C403" s="8" t="s">
        <v>91</v>
      </c>
      <c r="D403" s="10">
        <v>45641</v>
      </c>
      <c r="E403" s="9">
        <v>157500</v>
      </c>
      <c r="F403" s="2" t="str">
        <f>INDEX(Vendors!E:E,MATCH(Vendor_Analysis!C403,Vendors!A:A,0))</f>
        <v xml:space="preserve">60 </v>
      </c>
      <c r="G403" s="2">
        <v>60</v>
      </c>
      <c r="H403" s="16">
        <f t="shared" si="6"/>
        <v>45701</v>
      </c>
      <c r="J403" s="2"/>
    </row>
    <row r="404" spans="1:10" x14ac:dyDescent="0.25">
      <c r="A404" s="8" t="s">
        <v>415</v>
      </c>
      <c r="B404" s="8" t="s">
        <v>397</v>
      </c>
      <c r="C404" s="8" t="s">
        <v>109</v>
      </c>
      <c r="D404" s="10">
        <v>45652</v>
      </c>
      <c r="E404" s="9">
        <v>298594</v>
      </c>
      <c r="F404" s="2" t="str">
        <f>INDEX(Vendors!E:E,MATCH(Vendor_Analysis!C404,Vendors!A:A,0))</f>
        <v xml:space="preserve">30 </v>
      </c>
      <c r="G404" s="2">
        <v>30</v>
      </c>
      <c r="H404" s="16">
        <f t="shared" si="6"/>
        <v>45682</v>
      </c>
      <c r="J404" s="2"/>
    </row>
    <row r="405" spans="1:10" x14ac:dyDescent="0.25">
      <c r="A405" s="8" t="s">
        <v>416</v>
      </c>
      <c r="B405" s="8" t="s">
        <v>397</v>
      </c>
      <c r="C405" s="8" t="s">
        <v>35</v>
      </c>
      <c r="D405" s="10">
        <v>45674</v>
      </c>
      <c r="E405" s="9">
        <v>366263</v>
      </c>
      <c r="F405" s="2" t="str">
        <f>INDEX(Vendors!E:E,MATCH(Vendor_Analysis!C405,Vendors!A:A,0))</f>
        <v xml:space="preserve">60 </v>
      </c>
      <c r="G405" s="2">
        <v>60</v>
      </c>
      <c r="H405" s="16">
        <f t="shared" si="6"/>
        <v>45734</v>
      </c>
      <c r="J405" s="2"/>
    </row>
    <row r="406" spans="1:10" x14ac:dyDescent="0.25">
      <c r="A406" s="8" t="s">
        <v>417</v>
      </c>
      <c r="B406" s="8" t="s">
        <v>418</v>
      </c>
      <c r="C406" s="8" t="s">
        <v>50</v>
      </c>
      <c r="D406" s="10">
        <v>45374</v>
      </c>
      <c r="E406" s="9">
        <v>421691</v>
      </c>
      <c r="F406" s="2" t="str">
        <f>INDEX(Vendors!E:E,MATCH(Vendor_Analysis!C406,Vendors!A:A,0))</f>
        <v xml:space="preserve"> 90</v>
      </c>
      <c r="G406" s="2">
        <v>90</v>
      </c>
      <c r="H406" s="16">
        <f t="shared" si="6"/>
        <v>45464</v>
      </c>
      <c r="J406" s="2"/>
    </row>
    <row r="407" spans="1:10" x14ac:dyDescent="0.25">
      <c r="A407" s="8" t="s">
        <v>419</v>
      </c>
      <c r="B407" s="8" t="s">
        <v>418</v>
      </c>
      <c r="C407" s="8" t="s">
        <v>6</v>
      </c>
      <c r="D407" s="10">
        <v>45379</v>
      </c>
      <c r="E407" s="9">
        <v>351855</v>
      </c>
      <c r="F407" s="2" t="str">
        <f>INDEX(Vendors!E:E,MATCH(Vendor_Analysis!C407,Vendors!A:A,0))</f>
        <v xml:space="preserve">60 </v>
      </c>
      <c r="G407" s="2">
        <v>60</v>
      </c>
      <c r="H407" s="16">
        <f t="shared" si="6"/>
        <v>45439</v>
      </c>
      <c r="J407" s="2"/>
    </row>
    <row r="408" spans="1:10" x14ac:dyDescent="0.25">
      <c r="A408" s="8" t="s">
        <v>420</v>
      </c>
      <c r="B408" s="8" t="s">
        <v>418</v>
      </c>
      <c r="C408" s="8" t="s">
        <v>17</v>
      </c>
      <c r="D408" s="10">
        <v>45384</v>
      </c>
      <c r="E408" s="9">
        <v>432607</v>
      </c>
      <c r="F408" s="2" t="str">
        <f>INDEX(Vendors!E:E,MATCH(Vendor_Analysis!C408,Vendors!A:A,0))</f>
        <v xml:space="preserve">45 </v>
      </c>
      <c r="G408" s="2">
        <v>45</v>
      </c>
      <c r="H408" s="16">
        <f t="shared" si="6"/>
        <v>45429</v>
      </c>
      <c r="J408" s="2"/>
    </row>
    <row r="409" spans="1:10" x14ac:dyDescent="0.25">
      <c r="A409" s="8" t="s">
        <v>421</v>
      </c>
      <c r="B409" s="8" t="s">
        <v>418</v>
      </c>
      <c r="C409" s="8" t="s">
        <v>8</v>
      </c>
      <c r="D409" s="10">
        <v>45388</v>
      </c>
      <c r="E409" s="9">
        <v>366624</v>
      </c>
      <c r="F409" s="2" t="str">
        <f>INDEX(Vendors!E:E,MATCH(Vendor_Analysis!C409,Vendors!A:A,0))</f>
        <v xml:space="preserve">60 </v>
      </c>
      <c r="G409" s="2">
        <v>60</v>
      </c>
      <c r="H409" s="16">
        <f t="shared" si="6"/>
        <v>45448</v>
      </c>
      <c r="J409" s="2"/>
    </row>
    <row r="410" spans="1:10" x14ac:dyDescent="0.25">
      <c r="A410" s="8" t="s">
        <v>422</v>
      </c>
      <c r="B410" s="8" t="s">
        <v>418</v>
      </c>
      <c r="C410" s="8" t="s">
        <v>48</v>
      </c>
      <c r="D410" s="10">
        <v>45388</v>
      </c>
      <c r="E410" s="9">
        <v>398480</v>
      </c>
      <c r="F410" s="2" t="str">
        <f>INDEX(Vendors!E:E,MATCH(Vendor_Analysis!C410,Vendors!A:A,0))</f>
        <v xml:space="preserve"> 90</v>
      </c>
      <c r="G410" s="2">
        <v>90</v>
      </c>
      <c r="H410" s="16">
        <f t="shared" si="6"/>
        <v>45478</v>
      </c>
      <c r="J410" s="2"/>
    </row>
    <row r="411" spans="1:10" x14ac:dyDescent="0.25">
      <c r="A411" s="8" t="s">
        <v>423</v>
      </c>
      <c r="B411" s="8" t="s">
        <v>418</v>
      </c>
      <c r="C411" s="8" t="s">
        <v>33</v>
      </c>
      <c r="D411" s="10">
        <v>45403</v>
      </c>
      <c r="E411" s="9">
        <v>483199</v>
      </c>
      <c r="F411" s="2" t="str">
        <f>INDEX(Vendors!E:E,MATCH(Vendor_Analysis!C411,Vendors!A:A,0))</f>
        <v xml:space="preserve">30 </v>
      </c>
      <c r="G411" s="2">
        <v>30</v>
      </c>
      <c r="H411" s="16">
        <f t="shared" si="6"/>
        <v>45433</v>
      </c>
      <c r="J411" s="2"/>
    </row>
    <row r="412" spans="1:10" x14ac:dyDescent="0.25">
      <c r="A412" s="8" t="s">
        <v>424</v>
      </c>
      <c r="B412" s="8" t="s">
        <v>418</v>
      </c>
      <c r="C412" s="8" t="s">
        <v>33</v>
      </c>
      <c r="D412" s="10">
        <v>45420</v>
      </c>
      <c r="E412" s="9">
        <v>283870</v>
      </c>
      <c r="F412" s="2" t="str">
        <f>INDEX(Vendors!E:E,MATCH(Vendor_Analysis!C412,Vendors!A:A,0))</f>
        <v xml:space="preserve">30 </v>
      </c>
      <c r="G412" s="2">
        <v>30</v>
      </c>
      <c r="H412" s="16">
        <f t="shared" si="6"/>
        <v>45450</v>
      </c>
      <c r="J412" s="2"/>
    </row>
    <row r="413" spans="1:10" x14ac:dyDescent="0.25">
      <c r="A413" s="8" t="s">
        <v>425</v>
      </c>
      <c r="B413" s="8" t="s">
        <v>418</v>
      </c>
      <c r="C413" s="8" t="s">
        <v>44</v>
      </c>
      <c r="D413" s="10">
        <v>45424</v>
      </c>
      <c r="E413" s="9">
        <v>243724</v>
      </c>
      <c r="F413" s="2" t="str">
        <f>INDEX(Vendors!E:E,MATCH(Vendor_Analysis!C413,Vendors!A:A,0))</f>
        <v xml:space="preserve">45 </v>
      </c>
      <c r="G413" s="2">
        <v>45</v>
      </c>
      <c r="H413" s="16">
        <f t="shared" si="6"/>
        <v>45469</v>
      </c>
      <c r="J413" s="2"/>
    </row>
    <row r="414" spans="1:10" x14ac:dyDescent="0.25">
      <c r="A414" s="8" t="s">
        <v>426</v>
      </c>
      <c r="B414" s="8" t="s">
        <v>418</v>
      </c>
      <c r="C414" s="8" t="s">
        <v>19</v>
      </c>
      <c r="D414" s="10">
        <v>45430</v>
      </c>
      <c r="E414" s="9">
        <v>402320</v>
      </c>
      <c r="F414" s="2" t="str">
        <f>INDEX(Vendors!E:E,MATCH(Vendor_Analysis!C414,Vendors!A:A,0))</f>
        <v xml:space="preserve">45 </v>
      </c>
      <c r="G414" s="2">
        <v>45</v>
      </c>
      <c r="H414" s="16">
        <f t="shared" si="6"/>
        <v>45475</v>
      </c>
      <c r="J414" s="2"/>
    </row>
    <row r="415" spans="1:10" x14ac:dyDescent="0.25">
      <c r="A415" s="8" t="s">
        <v>427</v>
      </c>
      <c r="B415" s="8" t="s">
        <v>418</v>
      </c>
      <c r="C415" s="8" t="s">
        <v>23</v>
      </c>
      <c r="D415" s="10">
        <v>45445</v>
      </c>
      <c r="E415" s="9">
        <v>395123</v>
      </c>
      <c r="F415" s="2" t="str">
        <f>INDEX(Vendors!E:E,MATCH(Vendor_Analysis!C415,Vendors!A:A,0))</f>
        <v xml:space="preserve"> 90</v>
      </c>
      <c r="G415" s="2">
        <v>90</v>
      </c>
      <c r="H415" s="16">
        <f t="shared" si="6"/>
        <v>45535</v>
      </c>
      <c r="J415" s="2"/>
    </row>
    <row r="416" spans="1:10" x14ac:dyDescent="0.25">
      <c r="A416" s="8" t="s">
        <v>428</v>
      </c>
      <c r="B416" s="8" t="s">
        <v>418</v>
      </c>
      <c r="C416" s="8" t="s">
        <v>108</v>
      </c>
      <c r="D416" s="10">
        <v>45461</v>
      </c>
      <c r="E416" s="9">
        <v>248933</v>
      </c>
      <c r="F416" s="2" t="str">
        <f>INDEX(Vendors!E:E,MATCH(Vendor_Analysis!C416,Vendors!A:A,0))</f>
        <v xml:space="preserve"> 90</v>
      </c>
      <c r="G416" s="2">
        <v>90</v>
      </c>
      <c r="H416" s="16">
        <f t="shared" si="6"/>
        <v>45551</v>
      </c>
      <c r="J416" s="2"/>
    </row>
    <row r="417" spans="1:10" x14ac:dyDescent="0.25">
      <c r="A417" s="8" t="s">
        <v>429</v>
      </c>
      <c r="B417" s="8" t="s">
        <v>418</v>
      </c>
      <c r="C417" s="8" t="s">
        <v>91</v>
      </c>
      <c r="D417" s="10">
        <v>45490</v>
      </c>
      <c r="E417" s="9">
        <v>411237</v>
      </c>
      <c r="F417" s="2" t="str">
        <f>INDEX(Vendors!E:E,MATCH(Vendor_Analysis!C417,Vendors!A:A,0))</f>
        <v xml:space="preserve">60 </v>
      </c>
      <c r="G417" s="2">
        <v>60</v>
      </c>
      <c r="H417" s="16">
        <f t="shared" si="6"/>
        <v>45550</v>
      </c>
      <c r="J417" s="2"/>
    </row>
    <row r="418" spans="1:10" x14ac:dyDescent="0.25">
      <c r="A418" s="8" t="s">
        <v>430</v>
      </c>
      <c r="B418" s="8" t="s">
        <v>418</v>
      </c>
      <c r="C418" s="8" t="s">
        <v>55</v>
      </c>
      <c r="D418" s="10">
        <v>45503</v>
      </c>
      <c r="E418" s="9">
        <v>234448</v>
      </c>
      <c r="F418" s="2" t="str">
        <f>INDEX(Vendors!E:E,MATCH(Vendor_Analysis!C418,Vendors!A:A,0))</f>
        <v xml:space="preserve">30 </v>
      </c>
      <c r="G418" s="2">
        <v>30</v>
      </c>
      <c r="H418" s="16">
        <f t="shared" si="6"/>
        <v>45533</v>
      </c>
      <c r="J418" s="2"/>
    </row>
    <row r="419" spans="1:10" x14ac:dyDescent="0.25">
      <c r="A419" s="8" t="s">
        <v>431</v>
      </c>
      <c r="B419" s="8" t="s">
        <v>418</v>
      </c>
      <c r="C419" s="8" t="s">
        <v>29</v>
      </c>
      <c r="D419" s="10">
        <v>45520</v>
      </c>
      <c r="E419" s="9">
        <v>545292</v>
      </c>
      <c r="F419" s="2" t="str">
        <f>INDEX(Vendors!E:E,MATCH(Vendor_Analysis!C419,Vendors!A:A,0))</f>
        <v xml:space="preserve">30 </v>
      </c>
      <c r="G419" s="2">
        <v>30</v>
      </c>
      <c r="H419" s="16">
        <f t="shared" si="6"/>
        <v>45550</v>
      </c>
      <c r="J419" s="2"/>
    </row>
    <row r="420" spans="1:10" x14ac:dyDescent="0.25">
      <c r="A420" s="8" t="s">
        <v>432</v>
      </c>
      <c r="B420" s="8" t="s">
        <v>418</v>
      </c>
      <c r="C420" s="8" t="s">
        <v>35</v>
      </c>
      <c r="D420" s="10">
        <v>45528</v>
      </c>
      <c r="E420" s="9">
        <v>382838</v>
      </c>
      <c r="F420" s="2" t="str">
        <f>INDEX(Vendors!E:E,MATCH(Vendor_Analysis!C420,Vendors!A:A,0))</f>
        <v xml:space="preserve">60 </v>
      </c>
      <c r="G420" s="2">
        <v>60</v>
      </c>
      <c r="H420" s="16">
        <f t="shared" si="6"/>
        <v>45588</v>
      </c>
      <c r="J420" s="2"/>
    </row>
    <row r="421" spans="1:10" x14ac:dyDescent="0.25">
      <c r="A421" s="8" t="s">
        <v>433</v>
      </c>
      <c r="B421" s="8" t="s">
        <v>418</v>
      </c>
      <c r="C421" s="8" t="s">
        <v>55</v>
      </c>
      <c r="D421" s="10">
        <v>45551</v>
      </c>
      <c r="E421" s="9">
        <v>597273</v>
      </c>
      <c r="F421" s="2" t="str">
        <f>INDEX(Vendors!E:E,MATCH(Vendor_Analysis!C421,Vendors!A:A,0))</f>
        <v xml:space="preserve">30 </v>
      </c>
      <c r="G421" s="2">
        <v>30</v>
      </c>
      <c r="H421" s="16">
        <f t="shared" si="6"/>
        <v>45581</v>
      </c>
      <c r="J421" s="2"/>
    </row>
    <row r="422" spans="1:10" x14ac:dyDescent="0.25">
      <c r="A422" s="8" t="s">
        <v>434</v>
      </c>
      <c r="B422" s="8" t="s">
        <v>418</v>
      </c>
      <c r="C422" s="8" t="s">
        <v>14</v>
      </c>
      <c r="D422" s="10">
        <v>45556</v>
      </c>
      <c r="E422" s="9">
        <v>354183</v>
      </c>
      <c r="F422" s="2" t="str">
        <f>INDEX(Vendors!E:E,MATCH(Vendor_Analysis!C422,Vendors!A:A,0))</f>
        <v xml:space="preserve"> 90</v>
      </c>
      <c r="G422" s="2">
        <v>90</v>
      </c>
      <c r="H422" s="16">
        <f t="shared" si="6"/>
        <v>45646</v>
      </c>
      <c r="J422" s="2"/>
    </row>
    <row r="423" spans="1:10" x14ac:dyDescent="0.25">
      <c r="A423" s="8" t="s">
        <v>435</v>
      </c>
      <c r="B423" s="8" t="s">
        <v>418</v>
      </c>
      <c r="C423" s="8" t="s">
        <v>55</v>
      </c>
      <c r="D423" s="10">
        <v>45561</v>
      </c>
      <c r="E423" s="9">
        <v>234200</v>
      </c>
      <c r="F423" s="2" t="str">
        <f>INDEX(Vendors!E:E,MATCH(Vendor_Analysis!C423,Vendors!A:A,0))</f>
        <v xml:space="preserve">30 </v>
      </c>
      <c r="G423" s="2">
        <v>30</v>
      </c>
      <c r="H423" s="16">
        <f t="shared" si="6"/>
        <v>45591</v>
      </c>
      <c r="J423" s="2"/>
    </row>
    <row r="424" spans="1:10" x14ac:dyDescent="0.25">
      <c r="A424" s="8" t="s">
        <v>436</v>
      </c>
      <c r="B424" s="8" t="s">
        <v>418</v>
      </c>
      <c r="C424" s="8" t="s">
        <v>50</v>
      </c>
      <c r="D424" s="10">
        <v>45569</v>
      </c>
      <c r="E424" s="9">
        <v>346045</v>
      </c>
      <c r="F424" s="2" t="str">
        <f>INDEX(Vendors!E:E,MATCH(Vendor_Analysis!C424,Vendors!A:A,0))</f>
        <v xml:space="preserve"> 90</v>
      </c>
      <c r="G424" s="2">
        <v>90</v>
      </c>
      <c r="H424" s="16">
        <f t="shared" si="6"/>
        <v>45659</v>
      </c>
      <c r="J424" s="2"/>
    </row>
    <row r="425" spans="1:10" x14ac:dyDescent="0.25">
      <c r="A425" s="8" t="s">
        <v>437</v>
      </c>
      <c r="B425" s="8" t="s">
        <v>418</v>
      </c>
      <c r="C425" s="8" t="s">
        <v>44</v>
      </c>
      <c r="D425" s="10">
        <v>45577</v>
      </c>
      <c r="E425" s="9">
        <v>515295</v>
      </c>
      <c r="F425" s="2" t="str">
        <f>INDEX(Vendors!E:E,MATCH(Vendor_Analysis!C425,Vendors!A:A,0))</f>
        <v xml:space="preserve">45 </v>
      </c>
      <c r="G425" s="2">
        <v>45</v>
      </c>
      <c r="H425" s="16">
        <f t="shared" si="6"/>
        <v>45622</v>
      </c>
      <c r="J425" s="2"/>
    </row>
    <row r="426" spans="1:10" x14ac:dyDescent="0.25">
      <c r="A426" s="8" t="s">
        <v>438</v>
      </c>
      <c r="B426" s="8" t="s">
        <v>418</v>
      </c>
      <c r="C426" s="8" t="s">
        <v>71</v>
      </c>
      <c r="D426" s="10">
        <v>45579</v>
      </c>
      <c r="E426" s="9">
        <v>295022</v>
      </c>
      <c r="F426" s="2" t="str">
        <f>INDEX(Vendors!E:E,MATCH(Vendor_Analysis!C426,Vendors!A:A,0))</f>
        <v xml:space="preserve">45 </v>
      </c>
      <c r="G426" s="2">
        <v>45</v>
      </c>
      <c r="H426" s="16">
        <f t="shared" si="6"/>
        <v>45624</v>
      </c>
      <c r="J426" s="2"/>
    </row>
    <row r="427" spans="1:10" x14ac:dyDescent="0.25">
      <c r="A427" s="8" t="s">
        <v>439</v>
      </c>
      <c r="B427" s="8" t="s">
        <v>418</v>
      </c>
      <c r="C427" s="8" t="s">
        <v>91</v>
      </c>
      <c r="D427" s="10">
        <v>45596</v>
      </c>
      <c r="E427" s="9">
        <v>219778</v>
      </c>
      <c r="F427" s="2" t="str">
        <f>INDEX(Vendors!E:E,MATCH(Vendor_Analysis!C427,Vendors!A:A,0))</f>
        <v xml:space="preserve">60 </v>
      </c>
      <c r="G427" s="2">
        <v>60</v>
      </c>
      <c r="H427" s="16">
        <f t="shared" si="6"/>
        <v>45656</v>
      </c>
      <c r="J427" s="2"/>
    </row>
    <row r="428" spans="1:10" x14ac:dyDescent="0.25">
      <c r="A428" s="8" t="s">
        <v>440</v>
      </c>
      <c r="B428" s="8" t="s">
        <v>441</v>
      </c>
      <c r="C428" s="8" t="s">
        <v>48</v>
      </c>
      <c r="D428" s="10">
        <v>45155</v>
      </c>
      <c r="E428" s="9">
        <v>143775</v>
      </c>
      <c r="F428" s="2" t="str">
        <f>INDEX(Vendors!E:E,MATCH(Vendor_Analysis!C428,Vendors!A:A,0))</f>
        <v xml:space="preserve"> 90</v>
      </c>
      <c r="G428" s="2">
        <v>90</v>
      </c>
      <c r="H428" s="16">
        <f t="shared" si="6"/>
        <v>45245</v>
      </c>
      <c r="J428" s="2"/>
    </row>
    <row r="429" spans="1:10" x14ac:dyDescent="0.25">
      <c r="A429" s="8" t="s">
        <v>442</v>
      </c>
      <c r="B429" s="8" t="s">
        <v>441</v>
      </c>
      <c r="C429" s="8" t="s">
        <v>12</v>
      </c>
      <c r="D429" s="10">
        <v>45165</v>
      </c>
      <c r="E429" s="9">
        <v>53083</v>
      </c>
      <c r="F429" s="2" t="str">
        <f>INDEX(Vendors!E:E,MATCH(Vendor_Analysis!C429,Vendors!A:A,0))</f>
        <v xml:space="preserve">30 </v>
      </c>
      <c r="G429" s="2">
        <v>30</v>
      </c>
      <c r="H429" s="16">
        <f t="shared" si="6"/>
        <v>45195</v>
      </c>
      <c r="J429" s="2"/>
    </row>
    <row r="430" spans="1:10" x14ac:dyDescent="0.25">
      <c r="A430" s="8" t="s">
        <v>443</v>
      </c>
      <c r="B430" s="8" t="s">
        <v>441</v>
      </c>
      <c r="C430" s="8" t="s">
        <v>44</v>
      </c>
      <c r="D430" s="10">
        <v>45177</v>
      </c>
      <c r="E430" s="9">
        <v>60235</v>
      </c>
      <c r="F430" s="2" t="str">
        <f>INDEX(Vendors!E:E,MATCH(Vendor_Analysis!C430,Vendors!A:A,0))</f>
        <v xml:space="preserve">45 </v>
      </c>
      <c r="G430" s="2">
        <v>45</v>
      </c>
      <c r="H430" s="16">
        <f t="shared" si="6"/>
        <v>45222</v>
      </c>
      <c r="J430" s="2"/>
    </row>
    <row r="431" spans="1:10" x14ac:dyDescent="0.25">
      <c r="A431" s="8" t="s">
        <v>444</v>
      </c>
      <c r="B431" s="8" t="s">
        <v>441</v>
      </c>
      <c r="C431" s="8" t="s">
        <v>10</v>
      </c>
      <c r="D431" s="10">
        <v>45190</v>
      </c>
      <c r="E431" s="9">
        <v>34014</v>
      </c>
      <c r="F431" s="2" t="str">
        <f>INDEX(Vendors!E:E,MATCH(Vendor_Analysis!C431,Vendors!A:A,0))</f>
        <v xml:space="preserve">60 </v>
      </c>
      <c r="G431" s="2">
        <v>60</v>
      </c>
      <c r="H431" s="16">
        <f t="shared" si="6"/>
        <v>45250</v>
      </c>
      <c r="J431" s="2"/>
    </row>
    <row r="432" spans="1:10" x14ac:dyDescent="0.25">
      <c r="A432" s="8" t="s">
        <v>445</v>
      </c>
      <c r="B432" s="8" t="s">
        <v>441</v>
      </c>
      <c r="C432" s="8" t="s">
        <v>37</v>
      </c>
      <c r="D432" s="10">
        <v>45192</v>
      </c>
      <c r="E432" s="9">
        <v>65520</v>
      </c>
      <c r="F432" s="2" t="str">
        <f>INDEX(Vendors!E:E,MATCH(Vendor_Analysis!C432,Vendors!A:A,0))</f>
        <v xml:space="preserve">30 </v>
      </c>
      <c r="G432" s="2">
        <v>30</v>
      </c>
      <c r="H432" s="16">
        <f t="shared" si="6"/>
        <v>45222</v>
      </c>
      <c r="J432" s="2"/>
    </row>
    <row r="433" spans="1:10" x14ac:dyDescent="0.25">
      <c r="A433" s="8" t="s">
        <v>446</v>
      </c>
      <c r="B433" s="8" t="s">
        <v>441</v>
      </c>
      <c r="C433" s="8" t="s">
        <v>55</v>
      </c>
      <c r="D433" s="10">
        <v>45203</v>
      </c>
      <c r="E433" s="9">
        <v>41270</v>
      </c>
      <c r="F433" s="2" t="str">
        <f>INDEX(Vendors!E:E,MATCH(Vendor_Analysis!C433,Vendors!A:A,0))</f>
        <v xml:space="preserve">30 </v>
      </c>
      <c r="G433" s="2">
        <v>30</v>
      </c>
      <c r="H433" s="16">
        <f t="shared" si="6"/>
        <v>45233</v>
      </c>
      <c r="J433" s="2"/>
    </row>
    <row r="434" spans="1:10" x14ac:dyDescent="0.25">
      <c r="A434" s="8" t="s">
        <v>447</v>
      </c>
      <c r="B434" s="8" t="s">
        <v>441</v>
      </c>
      <c r="C434" s="8" t="s">
        <v>35</v>
      </c>
      <c r="D434" s="10">
        <v>45204</v>
      </c>
      <c r="E434" s="9">
        <v>42874</v>
      </c>
      <c r="F434" s="2" t="str">
        <f>INDEX(Vendors!E:E,MATCH(Vendor_Analysis!C434,Vendors!A:A,0))</f>
        <v xml:space="preserve">60 </v>
      </c>
      <c r="G434" s="2">
        <v>60</v>
      </c>
      <c r="H434" s="16">
        <f t="shared" si="6"/>
        <v>45264</v>
      </c>
      <c r="J434" s="2"/>
    </row>
    <row r="435" spans="1:10" x14ac:dyDescent="0.25">
      <c r="A435" s="8" t="s">
        <v>448</v>
      </c>
      <c r="B435" s="8" t="s">
        <v>441</v>
      </c>
      <c r="C435" s="8" t="s">
        <v>50</v>
      </c>
      <c r="D435" s="10">
        <v>45250</v>
      </c>
      <c r="E435" s="9">
        <v>50442</v>
      </c>
      <c r="F435" s="2" t="str">
        <f>INDEX(Vendors!E:E,MATCH(Vendor_Analysis!C435,Vendors!A:A,0))</f>
        <v xml:space="preserve"> 90</v>
      </c>
      <c r="G435" s="2">
        <v>90</v>
      </c>
      <c r="H435" s="16">
        <f t="shared" si="6"/>
        <v>45340</v>
      </c>
      <c r="J435" s="2"/>
    </row>
    <row r="436" spans="1:10" x14ac:dyDescent="0.25">
      <c r="A436" s="8" t="s">
        <v>449</v>
      </c>
      <c r="B436" s="8" t="s">
        <v>441</v>
      </c>
      <c r="C436" s="8" t="s">
        <v>108</v>
      </c>
      <c r="D436" s="10">
        <v>45258</v>
      </c>
      <c r="E436" s="9">
        <v>56250</v>
      </c>
      <c r="F436" s="2" t="str">
        <f>INDEX(Vendors!E:E,MATCH(Vendor_Analysis!C436,Vendors!A:A,0))</f>
        <v xml:space="preserve"> 90</v>
      </c>
      <c r="G436" s="2">
        <v>90</v>
      </c>
      <c r="H436" s="16">
        <f t="shared" si="6"/>
        <v>45348</v>
      </c>
      <c r="J436" s="2"/>
    </row>
    <row r="437" spans="1:10" x14ac:dyDescent="0.25">
      <c r="A437" s="8" t="s">
        <v>450</v>
      </c>
      <c r="B437" s="8" t="s">
        <v>441</v>
      </c>
      <c r="C437" s="8" t="s">
        <v>48</v>
      </c>
      <c r="D437" s="10">
        <v>45264</v>
      </c>
      <c r="E437" s="9">
        <v>59314</v>
      </c>
      <c r="F437" s="2" t="str">
        <f>INDEX(Vendors!E:E,MATCH(Vendor_Analysis!C437,Vendors!A:A,0))</f>
        <v xml:space="preserve"> 90</v>
      </c>
      <c r="G437" s="2">
        <v>90</v>
      </c>
      <c r="H437" s="16">
        <f t="shared" si="6"/>
        <v>45354</v>
      </c>
      <c r="J437" s="2"/>
    </row>
    <row r="438" spans="1:10" x14ac:dyDescent="0.25">
      <c r="A438" s="8" t="s">
        <v>451</v>
      </c>
      <c r="B438" s="8" t="s">
        <v>441</v>
      </c>
      <c r="C438" s="8" t="s">
        <v>71</v>
      </c>
      <c r="D438" s="10">
        <v>45277</v>
      </c>
      <c r="E438" s="9">
        <v>52398</v>
      </c>
      <c r="F438" s="2" t="str">
        <f>INDEX(Vendors!E:E,MATCH(Vendor_Analysis!C438,Vendors!A:A,0))</f>
        <v xml:space="preserve">45 </v>
      </c>
      <c r="G438" s="2">
        <v>45</v>
      </c>
      <c r="H438" s="16">
        <f t="shared" si="6"/>
        <v>45322</v>
      </c>
      <c r="J438" s="2"/>
    </row>
    <row r="439" spans="1:10" x14ac:dyDescent="0.25">
      <c r="A439" s="8" t="s">
        <v>452</v>
      </c>
      <c r="B439" s="8" t="s">
        <v>441</v>
      </c>
      <c r="C439" s="8" t="s">
        <v>71</v>
      </c>
      <c r="D439" s="10">
        <v>45287</v>
      </c>
      <c r="E439" s="9">
        <v>50157</v>
      </c>
      <c r="F439" s="2" t="str">
        <f>INDEX(Vendors!E:E,MATCH(Vendor_Analysis!C439,Vendors!A:A,0))</f>
        <v xml:space="preserve">45 </v>
      </c>
      <c r="G439" s="2">
        <v>45</v>
      </c>
      <c r="H439" s="16">
        <f t="shared" si="6"/>
        <v>45332</v>
      </c>
      <c r="J439" s="2"/>
    </row>
    <row r="440" spans="1:10" x14ac:dyDescent="0.25">
      <c r="A440" s="8" t="s">
        <v>453</v>
      </c>
      <c r="B440" s="8" t="s">
        <v>441</v>
      </c>
      <c r="C440" s="8" t="s">
        <v>8</v>
      </c>
      <c r="D440" s="10">
        <v>45290</v>
      </c>
      <c r="E440" s="9">
        <v>42863</v>
      </c>
      <c r="F440" s="2" t="str">
        <f>INDEX(Vendors!E:E,MATCH(Vendor_Analysis!C440,Vendors!A:A,0))</f>
        <v xml:space="preserve">60 </v>
      </c>
      <c r="G440" s="2">
        <v>60</v>
      </c>
      <c r="H440" s="16">
        <f t="shared" si="6"/>
        <v>45350</v>
      </c>
      <c r="J440" s="2"/>
    </row>
    <row r="441" spans="1:10" x14ac:dyDescent="0.25">
      <c r="A441" s="8" t="s">
        <v>454</v>
      </c>
      <c r="B441" s="8" t="s">
        <v>441</v>
      </c>
      <c r="C441" s="8" t="s">
        <v>108</v>
      </c>
      <c r="D441" s="10">
        <v>45317</v>
      </c>
      <c r="E441" s="9">
        <v>38320</v>
      </c>
      <c r="F441" s="2" t="str">
        <f>INDEX(Vendors!E:E,MATCH(Vendor_Analysis!C441,Vendors!A:A,0))</f>
        <v xml:space="preserve"> 90</v>
      </c>
      <c r="G441" s="2">
        <v>90</v>
      </c>
      <c r="H441" s="16">
        <f t="shared" si="6"/>
        <v>45407</v>
      </c>
      <c r="J441" s="2"/>
    </row>
    <row r="442" spans="1:10" x14ac:dyDescent="0.25">
      <c r="A442" s="8" t="s">
        <v>455</v>
      </c>
      <c r="B442" s="8" t="s">
        <v>441</v>
      </c>
      <c r="C442" s="8" t="s">
        <v>29</v>
      </c>
      <c r="D442" s="10">
        <v>45356</v>
      </c>
      <c r="E442" s="9">
        <v>69884</v>
      </c>
      <c r="F442" s="2" t="str">
        <f>INDEX(Vendors!E:E,MATCH(Vendor_Analysis!C442,Vendors!A:A,0))</f>
        <v xml:space="preserve">30 </v>
      </c>
      <c r="G442" s="2">
        <v>30</v>
      </c>
      <c r="H442" s="16">
        <f t="shared" si="6"/>
        <v>45386</v>
      </c>
      <c r="J442" s="2"/>
    </row>
    <row r="443" spans="1:10" x14ac:dyDescent="0.25">
      <c r="A443" s="8" t="s">
        <v>456</v>
      </c>
      <c r="B443" s="8" t="s">
        <v>441</v>
      </c>
      <c r="C443" s="8" t="s">
        <v>23</v>
      </c>
      <c r="D443" s="10">
        <v>45360</v>
      </c>
      <c r="E443" s="9">
        <v>45995</v>
      </c>
      <c r="F443" s="2" t="str">
        <f>INDEX(Vendors!E:E,MATCH(Vendor_Analysis!C443,Vendors!A:A,0))</f>
        <v xml:space="preserve"> 90</v>
      </c>
      <c r="G443" s="2">
        <v>90</v>
      </c>
      <c r="H443" s="16">
        <f t="shared" si="6"/>
        <v>45450</v>
      </c>
      <c r="J443" s="2"/>
    </row>
    <row r="444" spans="1:10" x14ac:dyDescent="0.25">
      <c r="A444" s="8" t="s">
        <v>457</v>
      </c>
      <c r="B444" s="8" t="s">
        <v>441</v>
      </c>
      <c r="C444" s="8" t="s">
        <v>110</v>
      </c>
      <c r="D444" s="10">
        <v>45365</v>
      </c>
      <c r="E444" s="9">
        <v>64914</v>
      </c>
      <c r="F444" s="2" t="str">
        <f>INDEX(Vendors!E:E,MATCH(Vendor_Analysis!C444,Vendors!A:A,0))</f>
        <v xml:space="preserve">30 </v>
      </c>
      <c r="G444" s="2">
        <v>30</v>
      </c>
      <c r="H444" s="16">
        <f t="shared" si="6"/>
        <v>45395</v>
      </c>
      <c r="J444" s="2"/>
    </row>
    <row r="445" spans="1:10" x14ac:dyDescent="0.25">
      <c r="A445" s="8" t="s">
        <v>458</v>
      </c>
      <c r="B445" s="8" t="s">
        <v>441</v>
      </c>
      <c r="C445" s="8" t="s">
        <v>19</v>
      </c>
      <c r="D445" s="10">
        <v>45370</v>
      </c>
      <c r="E445" s="9">
        <v>58946</v>
      </c>
      <c r="F445" s="2" t="str">
        <f>INDEX(Vendors!E:E,MATCH(Vendor_Analysis!C445,Vendors!A:A,0))</f>
        <v xml:space="preserve">45 </v>
      </c>
      <c r="G445" s="2">
        <v>45</v>
      </c>
      <c r="H445" s="16">
        <f t="shared" si="6"/>
        <v>45415</v>
      </c>
      <c r="J445" s="2"/>
    </row>
    <row r="446" spans="1:10" x14ac:dyDescent="0.25">
      <c r="A446" s="8" t="s">
        <v>459</v>
      </c>
      <c r="B446" s="8" t="s">
        <v>441</v>
      </c>
      <c r="C446" s="8" t="s">
        <v>37</v>
      </c>
      <c r="D446" s="10">
        <v>45377</v>
      </c>
      <c r="E446" s="9">
        <v>54115</v>
      </c>
      <c r="F446" s="2" t="str">
        <f>INDEX(Vendors!E:E,MATCH(Vendor_Analysis!C446,Vendors!A:A,0))</f>
        <v xml:space="preserve">30 </v>
      </c>
      <c r="G446" s="2">
        <v>30</v>
      </c>
      <c r="H446" s="16">
        <f t="shared" si="6"/>
        <v>45407</v>
      </c>
      <c r="J446" s="2"/>
    </row>
    <row r="447" spans="1:10" x14ac:dyDescent="0.25">
      <c r="A447" s="8" t="s">
        <v>460</v>
      </c>
      <c r="B447" s="8" t="s">
        <v>441</v>
      </c>
      <c r="C447" s="8" t="s">
        <v>19</v>
      </c>
      <c r="D447" s="10">
        <v>45378</v>
      </c>
      <c r="E447" s="9">
        <v>29541</v>
      </c>
      <c r="F447" s="2" t="str">
        <f>INDEX(Vendors!E:E,MATCH(Vendor_Analysis!C447,Vendors!A:A,0))</f>
        <v xml:space="preserve">45 </v>
      </c>
      <c r="G447" s="2">
        <v>45</v>
      </c>
      <c r="H447" s="16">
        <f t="shared" si="6"/>
        <v>45423</v>
      </c>
      <c r="J447" s="2"/>
    </row>
    <row r="448" spans="1:10" x14ac:dyDescent="0.25">
      <c r="A448" s="8" t="s">
        <v>461</v>
      </c>
      <c r="B448" s="8" t="s">
        <v>441</v>
      </c>
      <c r="C448" s="8" t="s">
        <v>21</v>
      </c>
      <c r="D448" s="10">
        <v>45379</v>
      </c>
      <c r="E448" s="9">
        <v>39942</v>
      </c>
      <c r="F448" s="2" t="str">
        <f>INDEX(Vendors!E:E,MATCH(Vendor_Analysis!C448,Vendors!A:A,0))</f>
        <v xml:space="preserve"> 90</v>
      </c>
      <c r="G448" s="2">
        <v>90</v>
      </c>
      <c r="H448" s="16">
        <f t="shared" si="6"/>
        <v>45469</v>
      </c>
      <c r="J448" s="2"/>
    </row>
    <row r="449" spans="1:10" x14ac:dyDescent="0.25">
      <c r="A449" s="8" t="s">
        <v>462</v>
      </c>
      <c r="B449" s="8" t="s">
        <v>441</v>
      </c>
      <c r="C449" s="8" t="s">
        <v>23</v>
      </c>
      <c r="D449" s="10">
        <v>45382</v>
      </c>
      <c r="E449" s="9">
        <v>36780</v>
      </c>
      <c r="F449" s="2" t="str">
        <f>INDEX(Vendors!E:E,MATCH(Vendor_Analysis!C449,Vendors!A:A,0))</f>
        <v xml:space="preserve"> 90</v>
      </c>
      <c r="G449" s="2">
        <v>90</v>
      </c>
      <c r="H449" s="16">
        <f t="shared" si="6"/>
        <v>45472</v>
      </c>
      <c r="J449" s="2"/>
    </row>
    <row r="450" spans="1:10" x14ac:dyDescent="0.25">
      <c r="A450" s="8" t="s">
        <v>463</v>
      </c>
      <c r="B450" s="8" t="s">
        <v>441</v>
      </c>
      <c r="C450" s="8" t="s">
        <v>110</v>
      </c>
      <c r="D450" s="10">
        <v>45388</v>
      </c>
      <c r="E450" s="9">
        <v>52153</v>
      </c>
      <c r="F450" s="2" t="str">
        <f>INDEX(Vendors!E:E,MATCH(Vendor_Analysis!C450,Vendors!A:A,0))</f>
        <v xml:space="preserve">30 </v>
      </c>
      <c r="G450" s="2">
        <v>30</v>
      </c>
      <c r="H450" s="16">
        <f t="shared" si="6"/>
        <v>45418</v>
      </c>
      <c r="J450" s="2"/>
    </row>
    <row r="451" spans="1:10" x14ac:dyDescent="0.25">
      <c r="A451" s="8" t="s">
        <v>464</v>
      </c>
      <c r="B451" s="8" t="s">
        <v>441</v>
      </c>
      <c r="C451" s="8" t="s">
        <v>108</v>
      </c>
      <c r="D451" s="10">
        <v>45425</v>
      </c>
      <c r="E451" s="9">
        <v>63531</v>
      </c>
      <c r="F451" s="2" t="str">
        <f>INDEX(Vendors!E:E,MATCH(Vendor_Analysis!C451,Vendors!A:A,0))</f>
        <v xml:space="preserve"> 90</v>
      </c>
      <c r="G451" s="2">
        <v>90</v>
      </c>
      <c r="H451" s="16">
        <f t="shared" ref="H451:H514" si="7">D451+F451</f>
        <v>45515</v>
      </c>
      <c r="J451" s="2"/>
    </row>
    <row r="452" spans="1:10" x14ac:dyDescent="0.25">
      <c r="A452" s="8" t="s">
        <v>465</v>
      </c>
      <c r="B452" s="8" t="s">
        <v>441</v>
      </c>
      <c r="C452" s="8" t="s">
        <v>37</v>
      </c>
      <c r="D452" s="10">
        <v>45448</v>
      </c>
      <c r="E452" s="9">
        <v>37899</v>
      </c>
      <c r="F452" s="2" t="str">
        <f>INDEX(Vendors!E:E,MATCH(Vendor_Analysis!C452,Vendors!A:A,0))</f>
        <v xml:space="preserve">30 </v>
      </c>
      <c r="G452" s="2">
        <v>30</v>
      </c>
      <c r="H452" s="16">
        <f t="shared" si="7"/>
        <v>45478</v>
      </c>
      <c r="J452" s="2"/>
    </row>
    <row r="453" spans="1:10" x14ac:dyDescent="0.25">
      <c r="A453" s="8" t="s">
        <v>466</v>
      </c>
      <c r="B453" s="8" t="s">
        <v>441</v>
      </c>
      <c r="C453" s="8" t="s">
        <v>35</v>
      </c>
      <c r="D453" s="10">
        <v>45505</v>
      </c>
      <c r="E453" s="9">
        <v>32657</v>
      </c>
      <c r="F453" s="2" t="str">
        <f>INDEX(Vendors!E:E,MATCH(Vendor_Analysis!C453,Vendors!A:A,0))</f>
        <v xml:space="preserve">60 </v>
      </c>
      <c r="G453" s="2">
        <v>60</v>
      </c>
      <c r="H453" s="16">
        <f t="shared" si="7"/>
        <v>45565</v>
      </c>
      <c r="J453" s="2"/>
    </row>
    <row r="454" spans="1:10" x14ac:dyDescent="0.25">
      <c r="A454" s="8" t="s">
        <v>467</v>
      </c>
      <c r="B454" s="8" t="s">
        <v>441</v>
      </c>
      <c r="C454" s="8" t="s">
        <v>44</v>
      </c>
      <c r="D454" s="10">
        <v>45509</v>
      </c>
      <c r="E454" s="9">
        <v>207389</v>
      </c>
      <c r="F454" s="2" t="str">
        <f>INDEX(Vendors!E:E,MATCH(Vendor_Analysis!C454,Vendors!A:A,0))</f>
        <v xml:space="preserve">45 </v>
      </c>
      <c r="G454" s="2">
        <v>45</v>
      </c>
      <c r="H454" s="16">
        <f t="shared" si="7"/>
        <v>45554</v>
      </c>
      <c r="J454" s="2"/>
    </row>
    <row r="455" spans="1:10" x14ac:dyDescent="0.25">
      <c r="A455" s="8" t="s">
        <v>468</v>
      </c>
      <c r="B455" s="8" t="s">
        <v>441</v>
      </c>
      <c r="C455" s="8" t="s">
        <v>73</v>
      </c>
      <c r="D455" s="10">
        <v>45510</v>
      </c>
      <c r="E455" s="9">
        <v>61384</v>
      </c>
      <c r="F455" s="2" t="str">
        <f>INDEX(Vendors!E:E,MATCH(Vendor_Analysis!C455,Vendors!A:A,0))</f>
        <v xml:space="preserve">60 </v>
      </c>
      <c r="G455" s="2">
        <v>60</v>
      </c>
      <c r="H455" s="16">
        <f t="shared" si="7"/>
        <v>45570</v>
      </c>
      <c r="J455" s="2"/>
    </row>
    <row r="456" spans="1:10" x14ac:dyDescent="0.25">
      <c r="A456" s="8" t="s">
        <v>469</v>
      </c>
      <c r="B456" s="8" t="s">
        <v>441</v>
      </c>
      <c r="C456" s="8" t="s">
        <v>6</v>
      </c>
      <c r="D456" s="10">
        <v>45516</v>
      </c>
      <c r="E456" s="9">
        <v>178021</v>
      </c>
      <c r="F456" s="2" t="str">
        <f>INDEX(Vendors!E:E,MATCH(Vendor_Analysis!C456,Vendors!A:A,0))</f>
        <v xml:space="preserve">60 </v>
      </c>
      <c r="G456" s="2">
        <v>60</v>
      </c>
      <c r="H456" s="16">
        <f t="shared" si="7"/>
        <v>45576</v>
      </c>
      <c r="J456" s="2"/>
    </row>
    <row r="457" spans="1:10" x14ac:dyDescent="0.25">
      <c r="A457" s="8" t="s">
        <v>470</v>
      </c>
      <c r="B457" s="8" t="s">
        <v>441</v>
      </c>
      <c r="C457" s="8" t="s">
        <v>50</v>
      </c>
      <c r="D457" s="10">
        <v>45518</v>
      </c>
      <c r="E457" s="9">
        <v>52377</v>
      </c>
      <c r="F457" s="2" t="str">
        <f>INDEX(Vendors!E:E,MATCH(Vendor_Analysis!C457,Vendors!A:A,0))</f>
        <v xml:space="preserve"> 90</v>
      </c>
      <c r="G457" s="2">
        <v>90</v>
      </c>
      <c r="H457" s="16">
        <f t="shared" si="7"/>
        <v>45608</v>
      </c>
      <c r="J457" s="2"/>
    </row>
    <row r="458" spans="1:10" x14ac:dyDescent="0.25">
      <c r="A458" s="8" t="s">
        <v>471</v>
      </c>
      <c r="B458" s="8" t="s">
        <v>441</v>
      </c>
      <c r="C458" s="8" t="s">
        <v>50</v>
      </c>
      <c r="D458" s="10">
        <v>45518</v>
      </c>
      <c r="E458" s="9">
        <v>43837</v>
      </c>
      <c r="F458" s="2" t="str">
        <f>INDEX(Vendors!E:E,MATCH(Vendor_Analysis!C458,Vendors!A:A,0))</f>
        <v xml:space="preserve"> 90</v>
      </c>
      <c r="G458" s="2">
        <v>90</v>
      </c>
      <c r="H458" s="16">
        <f t="shared" si="7"/>
        <v>45608</v>
      </c>
      <c r="J458" s="2"/>
    </row>
    <row r="459" spans="1:10" x14ac:dyDescent="0.25">
      <c r="A459" s="8" t="s">
        <v>472</v>
      </c>
      <c r="B459" s="8" t="s">
        <v>441</v>
      </c>
      <c r="C459" s="8" t="s">
        <v>73</v>
      </c>
      <c r="D459" s="10">
        <v>45519</v>
      </c>
      <c r="E459" s="9">
        <v>62421</v>
      </c>
      <c r="F459" s="2" t="str">
        <f>INDEX(Vendors!E:E,MATCH(Vendor_Analysis!C459,Vendors!A:A,0))</f>
        <v xml:space="preserve">60 </v>
      </c>
      <c r="G459" s="2">
        <v>60</v>
      </c>
      <c r="H459" s="16">
        <f t="shared" si="7"/>
        <v>45579</v>
      </c>
      <c r="J459" s="2"/>
    </row>
    <row r="460" spans="1:10" x14ac:dyDescent="0.25">
      <c r="A460" s="8" t="s">
        <v>473</v>
      </c>
      <c r="B460" s="8" t="s">
        <v>441</v>
      </c>
      <c r="C460" s="8" t="s">
        <v>27</v>
      </c>
      <c r="D460" s="10">
        <v>45529</v>
      </c>
      <c r="E460" s="9">
        <v>69762</v>
      </c>
      <c r="F460" s="2" t="str">
        <f>INDEX(Vendors!E:E,MATCH(Vendor_Analysis!C460,Vendors!A:A,0))</f>
        <v xml:space="preserve">45 </v>
      </c>
      <c r="G460" s="2">
        <v>45</v>
      </c>
      <c r="H460" s="16">
        <f t="shared" si="7"/>
        <v>45574</v>
      </c>
      <c r="J460" s="2"/>
    </row>
    <row r="461" spans="1:10" x14ac:dyDescent="0.25">
      <c r="A461" s="8" t="s">
        <v>474</v>
      </c>
      <c r="B461" s="8" t="s">
        <v>441</v>
      </c>
      <c r="C461" s="8" t="s">
        <v>27</v>
      </c>
      <c r="D461" s="10">
        <v>45543</v>
      </c>
      <c r="E461" s="9">
        <v>37615</v>
      </c>
      <c r="F461" s="2" t="str">
        <f>INDEX(Vendors!E:E,MATCH(Vendor_Analysis!C461,Vendors!A:A,0))</f>
        <v xml:space="preserve">45 </v>
      </c>
      <c r="G461" s="2">
        <v>45</v>
      </c>
      <c r="H461" s="16">
        <f t="shared" si="7"/>
        <v>45588</v>
      </c>
      <c r="J461" s="2"/>
    </row>
    <row r="462" spans="1:10" x14ac:dyDescent="0.25">
      <c r="A462" s="8" t="s">
        <v>475</v>
      </c>
      <c r="B462" s="8" t="s">
        <v>441</v>
      </c>
      <c r="C462" s="8" t="s">
        <v>23</v>
      </c>
      <c r="D462" s="10">
        <v>45545</v>
      </c>
      <c r="E462" s="9">
        <v>45081</v>
      </c>
      <c r="F462" s="2" t="str">
        <f>INDEX(Vendors!E:E,MATCH(Vendor_Analysis!C462,Vendors!A:A,0))</f>
        <v xml:space="preserve"> 90</v>
      </c>
      <c r="G462" s="2">
        <v>90</v>
      </c>
      <c r="H462" s="16">
        <f t="shared" si="7"/>
        <v>45635</v>
      </c>
      <c r="J462" s="2"/>
    </row>
    <row r="463" spans="1:10" x14ac:dyDescent="0.25">
      <c r="A463" s="8" t="s">
        <v>476</v>
      </c>
      <c r="B463" s="8" t="s">
        <v>441</v>
      </c>
      <c r="C463" s="8" t="s">
        <v>19</v>
      </c>
      <c r="D463" s="10">
        <v>45546</v>
      </c>
      <c r="E463" s="9">
        <v>49237</v>
      </c>
      <c r="F463" s="2" t="str">
        <f>INDEX(Vendors!E:E,MATCH(Vendor_Analysis!C463,Vendors!A:A,0))</f>
        <v xml:space="preserve">45 </v>
      </c>
      <c r="G463" s="2">
        <v>45</v>
      </c>
      <c r="H463" s="16">
        <f t="shared" si="7"/>
        <v>45591</v>
      </c>
      <c r="J463" s="2"/>
    </row>
    <row r="464" spans="1:10" x14ac:dyDescent="0.25">
      <c r="A464" s="8" t="s">
        <v>477</v>
      </c>
      <c r="B464" s="8" t="s">
        <v>441</v>
      </c>
      <c r="C464" s="8" t="s">
        <v>27</v>
      </c>
      <c r="D464" s="10">
        <v>45563</v>
      </c>
      <c r="E464" s="9">
        <v>70182</v>
      </c>
      <c r="F464" s="2" t="str">
        <f>INDEX(Vendors!E:E,MATCH(Vendor_Analysis!C464,Vendors!A:A,0))</f>
        <v xml:space="preserve">45 </v>
      </c>
      <c r="G464" s="2">
        <v>45</v>
      </c>
      <c r="H464" s="16">
        <f t="shared" si="7"/>
        <v>45608</v>
      </c>
      <c r="J464" s="2"/>
    </row>
    <row r="465" spans="1:10" x14ac:dyDescent="0.25">
      <c r="A465" s="8" t="s">
        <v>478</v>
      </c>
      <c r="B465" s="8" t="s">
        <v>441</v>
      </c>
      <c r="C465" s="8" t="s">
        <v>108</v>
      </c>
      <c r="D465" s="10">
        <v>45570</v>
      </c>
      <c r="E465" s="9">
        <v>39785</v>
      </c>
      <c r="F465" s="2" t="str">
        <f>INDEX(Vendors!E:E,MATCH(Vendor_Analysis!C465,Vendors!A:A,0))</f>
        <v xml:space="preserve"> 90</v>
      </c>
      <c r="G465" s="2">
        <v>90</v>
      </c>
      <c r="H465" s="16">
        <f t="shared" si="7"/>
        <v>45660</v>
      </c>
      <c r="J465" s="2"/>
    </row>
    <row r="466" spans="1:10" x14ac:dyDescent="0.25">
      <c r="A466" s="8" t="s">
        <v>479</v>
      </c>
      <c r="B466" s="8" t="s">
        <v>441</v>
      </c>
      <c r="C466" s="8" t="s">
        <v>23</v>
      </c>
      <c r="D466" s="10">
        <v>45594</v>
      </c>
      <c r="E466" s="9">
        <v>124296</v>
      </c>
      <c r="F466" s="2" t="str">
        <f>INDEX(Vendors!E:E,MATCH(Vendor_Analysis!C466,Vendors!A:A,0))</f>
        <v xml:space="preserve"> 90</v>
      </c>
      <c r="G466" s="2">
        <v>90</v>
      </c>
      <c r="H466" s="16">
        <f t="shared" si="7"/>
        <v>45684</v>
      </c>
      <c r="J466" s="2"/>
    </row>
    <row r="467" spans="1:10" x14ac:dyDescent="0.25">
      <c r="A467" s="8" t="s">
        <v>480</v>
      </c>
      <c r="B467" s="8" t="s">
        <v>441</v>
      </c>
      <c r="C467" s="8" t="s">
        <v>17</v>
      </c>
      <c r="D467" s="10">
        <v>45604</v>
      </c>
      <c r="E467" s="9">
        <v>64813</v>
      </c>
      <c r="F467" s="2" t="str">
        <f>INDEX(Vendors!E:E,MATCH(Vendor_Analysis!C467,Vendors!A:A,0))</f>
        <v xml:space="preserve">45 </v>
      </c>
      <c r="G467" s="2">
        <v>45</v>
      </c>
      <c r="H467" s="16">
        <f t="shared" si="7"/>
        <v>45649</v>
      </c>
      <c r="J467" s="2"/>
    </row>
    <row r="468" spans="1:10" x14ac:dyDescent="0.25">
      <c r="A468" s="8" t="s">
        <v>481</v>
      </c>
      <c r="B468" s="8" t="s">
        <v>441</v>
      </c>
      <c r="C468" s="8" t="s">
        <v>50</v>
      </c>
      <c r="D468" s="10">
        <v>45614</v>
      </c>
      <c r="E468" s="9">
        <v>86547</v>
      </c>
      <c r="F468" s="2" t="str">
        <f>INDEX(Vendors!E:E,MATCH(Vendor_Analysis!C468,Vendors!A:A,0))</f>
        <v xml:space="preserve"> 90</v>
      </c>
      <c r="G468" s="2">
        <v>90</v>
      </c>
      <c r="H468" s="16">
        <f t="shared" si="7"/>
        <v>45704</v>
      </c>
      <c r="J468" s="2"/>
    </row>
    <row r="469" spans="1:10" x14ac:dyDescent="0.25">
      <c r="A469" s="8" t="s">
        <v>482</v>
      </c>
      <c r="B469" s="8" t="s">
        <v>441</v>
      </c>
      <c r="C469" s="8" t="s">
        <v>23</v>
      </c>
      <c r="D469" s="10">
        <v>45640</v>
      </c>
      <c r="E469" s="9">
        <v>46639</v>
      </c>
      <c r="F469" s="2" t="str">
        <f>INDEX(Vendors!E:E,MATCH(Vendor_Analysis!C469,Vendors!A:A,0))</f>
        <v xml:space="preserve"> 90</v>
      </c>
      <c r="G469" s="2">
        <v>90</v>
      </c>
      <c r="H469" s="16">
        <f t="shared" si="7"/>
        <v>45730</v>
      </c>
      <c r="J469" s="2"/>
    </row>
    <row r="470" spans="1:10" x14ac:dyDescent="0.25">
      <c r="A470" s="8" t="s">
        <v>483</v>
      </c>
      <c r="B470" s="8" t="s">
        <v>441</v>
      </c>
      <c r="C470" s="8" t="s">
        <v>12</v>
      </c>
      <c r="D470" s="10">
        <v>45643</v>
      </c>
      <c r="E470" s="9">
        <v>45429</v>
      </c>
      <c r="F470" s="2" t="str">
        <f>INDEX(Vendors!E:E,MATCH(Vendor_Analysis!C470,Vendors!A:A,0))</f>
        <v xml:space="preserve">30 </v>
      </c>
      <c r="G470" s="2">
        <v>30</v>
      </c>
      <c r="H470" s="16">
        <f t="shared" si="7"/>
        <v>45673</v>
      </c>
      <c r="J470" s="2"/>
    </row>
    <row r="471" spans="1:10" x14ac:dyDescent="0.25">
      <c r="A471" s="8" t="s">
        <v>484</v>
      </c>
      <c r="B471" s="8" t="s">
        <v>441</v>
      </c>
      <c r="C471" s="8" t="s">
        <v>23</v>
      </c>
      <c r="D471" s="10">
        <v>45688</v>
      </c>
      <c r="E471" s="9">
        <v>27599</v>
      </c>
      <c r="F471" s="2" t="str">
        <f>INDEX(Vendors!E:E,MATCH(Vendor_Analysis!C471,Vendors!A:A,0))</f>
        <v xml:space="preserve"> 90</v>
      </c>
      <c r="G471" s="2">
        <v>90</v>
      </c>
      <c r="H471" s="16">
        <f t="shared" si="7"/>
        <v>45778</v>
      </c>
      <c r="J471" s="2"/>
    </row>
    <row r="472" spans="1:10" x14ac:dyDescent="0.25">
      <c r="A472" s="8" t="s">
        <v>485</v>
      </c>
      <c r="B472" s="8" t="s">
        <v>441</v>
      </c>
      <c r="C472" s="8" t="s">
        <v>25</v>
      </c>
      <c r="D472" s="10">
        <v>45692</v>
      </c>
      <c r="E472" s="9">
        <v>24830</v>
      </c>
      <c r="F472" s="2" t="str">
        <f>INDEX(Vendors!E:E,MATCH(Vendor_Analysis!C472,Vendors!A:A,0))</f>
        <v xml:space="preserve">30 </v>
      </c>
      <c r="G472" s="2">
        <v>30</v>
      </c>
      <c r="H472" s="16">
        <f t="shared" si="7"/>
        <v>45722</v>
      </c>
      <c r="J472" s="2"/>
    </row>
    <row r="473" spans="1:10" x14ac:dyDescent="0.25">
      <c r="A473" s="8" t="s">
        <v>486</v>
      </c>
      <c r="B473" s="8" t="s">
        <v>441</v>
      </c>
      <c r="C473" s="8" t="s">
        <v>23</v>
      </c>
      <c r="D473" s="10">
        <v>45692</v>
      </c>
      <c r="E473" s="9">
        <v>25505</v>
      </c>
      <c r="F473" s="2" t="str">
        <f>INDEX(Vendors!E:E,MATCH(Vendor_Analysis!C473,Vendors!A:A,0))</f>
        <v xml:space="preserve"> 90</v>
      </c>
      <c r="G473" s="2">
        <v>90</v>
      </c>
      <c r="H473" s="16">
        <f t="shared" si="7"/>
        <v>45782</v>
      </c>
      <c r="J473" s="2"/>
    </row>
    <row r="474" spans="1:10" x14ac:dyDescent="0.25">
      <c r="A474" s="8" t="s">
        <v>487</v>
      </c>
      <c r="B474" s="8" t="s">
        <v>441</v>
      </c>
      <c r="C474" s="8" t="s">
        <v>29</v>
      </c>
      <c r="D474" s="10">
        <v>45706</v>
      </c>
      <c r="E474" s="9">
        <v>65739</v>
      </c>
      <c r="F474" s="2" t="str">
        <f>INDEX(Vendors!E:E,MATCH(Vendor_Analysis!C474,Vendors!A:A,0))</f>
        <v xml:space="preserve">30 </v>
      </c>
      <c r="G474" s="2">
        <v>30</v>
      </c>
      <c r="H474" s="16">
        <f t="shared" si="7"/>
        <v>45736</v>
      </c>
      <c r="J474" s="2"/>
    </row>
    <row r="475" spans="1:10" x14ac:dyDescent="0.25">
      <c r="A475" s="8" t="s">
        <v>488</v>
      </c>
      <c r="B475" s="8" t="s">
        <v>441</v>
      </c>
      <c r="C475" s="8" t="s">
        <v>48</v>
      </c>
      <c r="D475" s="10">
        <v>45709</v>
      </c>
      <c r="E475" s="9">
        <v>45088</v>
      </c>
      <c r="F475" s="2" t="str">
        <f>INDEX(Vendors!E:E,MATCH(Vendor_Analysis!C475,Vendors!A:A,0))</f>
        <v xml:space="preserve"> 90</v>
      </c>
      <c r="G475" s="2">
        <v>90</v>
      </c>
      <c r="H475" s="16">
        <f t="shared" si="7"/>
        <v>45799</v>
      </c>
      <c r="J475" s="2"/>
    </row>
    <row r="476" spans="1:10" x14ac:dyDescent="0.25">
      <c r="A476" s="8" t="s">
        <v>489</v>
      </c>
      <c r="B476" s="8" t="s">
        <v>441</v>
      </c>
      <c r="C476" s="8" t="s">
        <v>6</v>
      </c>
      <c r="D476" s="10">
        <v>45713</v>
      </c>
      <c r="E476" s="9">
        <v>66970</v>
      </c>
      <c r="F476" s="2" t="str">
        <f>INDEX(Vendors!E:E,MATCH(Vendor_Analysis!C476,Vendors!A:A,0))</f>
        <v xml:space="preserve">60 </v>
      </c>
      <c r="G476" s="2">
        <v>60</v>
      </c>
      <c r="H476" s="16">
        <f t="shared" si="7"/>
        <v>45773</v>
      </c>
      <c r="J476" s="2"/>
    </row>
    <row r="477" spans="1:10" x14ac:dyDescent="0.25">
      <c r="A477" s="8" t="s">
        <v>490</v>
      </c>
      <c r="B477" s="8" t="s">
        <v>441</v>
      </c>
      <c r="C477" s="8" t="s">
        <v>110</v>
      </c>
      <c r="D477" s="10">
        <v>45717</v>
      </c>
      <c r="E477" s="9">
        <v>103587</v>
      </c>
      <c r="F477" s="2" t="str">
        <f>INDEX(Vendors!E:E,MATCH(Vendor_Analysis!C477,Vendors!A:A,0))</f>
        <v xml:space="preserve">30 </v>
      </c>
      <c r="G477" s="2">
        <v>30</v>
      </c>
      <c r="H477" s="16">
        <f t="shared" si="7"/>
        <v>45747</v>
      </c>
      <c r="J477" s="2"/>
    </row>
    <row r="478" spans="1:10" x14ac:dyDescent="0.25">
      <c r="A478" s="8" t="s">
        <v>491</v>
      </c>
      <c r="B478" s="8" t="s">
        <v>441</v>
      </c>
      <c r="C478" s="8" t="s">
        <v>73</v>
      </c>
      <c r="D478" s="10">
        <v>45749</v>
      </c>
      <c r="E478" s="9">
        <v>29209</v>
      </c>
      <c r="F478" s="2" t="str">
        <f>INDEX(Vendors!E:E,MATCH(Vendor_Analysis!C478,Vendors!A:A,0))</f>
        <v xml:space="preserve">60 </v>
      </c>
      <c r="G478" s="2">
        <v>60</v>
      </c>
      <c r="H478" s="16">
        <f t="shared" si="7"/>
        <v>45809</v>
      </c>
      <c r="J478" s="2"/>
    </row>
    <row r="479" spans="1:10" x14ac:dyDescent="0.25">
      <c r="A479" s="8" t="s">
        <v>492</v>
      </c>
      <c r="B479" s="8" t="s">
        <v>441</v>
      </c>
      <c r="C479" s="8" t="s">
        <v>108</v>
      </c>
      <c r="D479" s="10">
        <v>45750</v>
      </c>
      <c r="E479" s="9">
        <v>67189</v>
      </c>
      <c r="F479" s="2" t="str">
        <f>INDEX(Vendors!E:E,MATCH(Vendor_Analysis!C479,Vendors!A:A,0))</f>
        <v xml:space="preserve"> 90</v>
      </c>
      <c r="G479" s="2">
        <v>90</v>
      </c>
      <c r="H479" s="16">
        <f t="shared" si="7"/>
        <v>45840</v>
      </c>
      <c r="J479" s="2"/>
    </row>
    <row r="480" spans="1:10" x14ac:dyDescent="0.25">
      <c r="A480" s="8" t="s">
        <v>493</v>
      </c>
      <c r="B480" s="8" t="s">
        <v>441</v>
      </c>
      <c r="C480" s="8" t="s">
        <v>110</v>
      </c>
      <c r="D480" s="10">
        <v>45763</v>
      </c>
      <c r="E480" s="9">
        <v>66848</v>
      </c>
      <c r="F480" s="2" t="str">
        <f>INDEX(Vendors!E:E,MATCH(Vendor_Analysis!C480,Vendors!A:A,0))</f>
        <v xml:space="preserve">30 </v>
      </c>
      <c r="G480" s="2">
        <v>30</v>
      </c>
      <c r="H480" s="16">
        <f t="shared" si="7"/>
        <v>45793</v>
      </c>
      <c r="J480" s="2"/>
    </row>
    <row r="481" spans="1:10" x14ac:dyDescent="0.25">
      <c r="A481" s="8" t="s">
        <v>494</v>
      </c>
      <c r="B481" s="8" t="s">
        <v>441</v>
      </c>
      <c r="C481" s="8" t="s">
        <v>8</v>
      </c>
      <c r="D481" s="10">
        <v>45773</v>
      </c>
      <c r="E481" s="9">
        <v>25605</v>
      </c>
      <c r="F481" s="2" t="str">
        <f>INDEX(Vendors!E:E,MATCH(Vendor_Analysis!C481,Vendors!A:A,0))</f>
        <v xml:space="preserve">60 </v>
      </c>
      <c r="G481" s="2">
        <v>60</v>
      </c>
      <c r="H481" s="16">
        <f t="shared" si="7"/>
        <v>45833</v>
      </c>
      <c r="J481" s="2"/>
    </row>
    <row r="482" spans="1:10" x14ac:dyDescent="0.25">
      <c r="A482" s="8" t="s">
        <v>495</v>
      </c>
      <c r="B482" s="8" t="s">
        <v>441</v>
      </c>
      <c r="C482" s="8" t="s">
        <v>8</v>
      </c>
      <c r="D482" s="10">
        <v>45799</v>
      </c>
      <c r="E482" s="9">
        <v>27710</v>
      </c>
      <c r="F482" s="2" t="str">
        <f>INDEX(Vendors!E:E,MATCH(Vendor_Analysis!C482,Vendors!A:A,0))</f>
        <v xml:space="preserve">60 </v>
      </c>
      <c r="G482" s="2">
        <v>60</v>
      </c>
      <c r="H482" s="16">
        <f t="shared" si="7"/>
        <v>45859</v>
      </c>
      <c r="J482" s="2"/>
    </row>
    <row r="483" spans="1:10" x14ac:dyDescent="0.25">
      <c r="A483" s="8" t="s">
        <v>496</v>
      </c>
      <c r="B483" s="8" t="s">
        <v>441</v>
      </c>
      <c r="C483" s="8" t="s">
        <v>35</v>
      </c>
      <c r="D483" s="10">
        <v>45827</v>
      </c>
      <c r="E483" s="9">
        <v>29695</v>
      </c>
      <c r="F483" s="2" t="str">
        <f>INDEX(Vendors!E:E,MATCH(Vendor_Analysis!C483,Vendors!A:A,0))</f>
        <v xml:space="preserve">60 </v>
      </c>
      <c r="G483" s="2">
        <v>60</v>
      </c>
      <c r="H483" s="16">
        <f t="shared" si="7"/>
        <v>45887</v>
      </c>
      <c r="J483" s="2"/>
    </row>
    <row r="484" spans="1:10" x14ac:dyDescent="0.25">
      <c r="A484" s="8" t="s">
        <v>497</v>
      </c>
      <c r="B484" s="8" t="s">
        <v>441</v>
      </c>
      <c r="C484" s="8" t="s">
        <v>14</v>
      </c>
      <c r="D484" s="10">
        <v>45841</v>
      </c>
      <c r="E484" s="9">
        <v>61137</v>
      </c>
      <c r="F484" s="2" t="str">
        <f>INDEX(Vendors!E:E,MATCH(Vendor_Analysis!C484,Vendors!A:A,0))</f>
        <v xml:space="preserve"> 90</v>
      </c>
      <c r="G484" s="2">
        <v>90</v>
      </c>
      <c r="H484" s="16">
        <f t="shared" si="7"/>
        <v>45931</v>
      </c>
      <c r="J484" s="2"/>
    </row>
    <row r="485" spans="1:10" x14ac:dyDescent="0.25">
      <c r="A485" s="8" t="s">
        <v>498</v>
      </c>
      <c r="B485" s="8" t="s">
        <v>441</v>
      </c>
      <c r="C485" s="8" t="s">
        <v>108</v>
      </c>
      <c r="D485" s="10">
        <v>45880</v>
      </c>
      <c r="E485" s="9">
        <v>54966</v>
      </c>
      <c r="F485" s="2" t="str">
        <f>INDEX(Vendors!E:E,MATCH(Vendor_Analysis!C485,Vendors!A:A,0))</f>
        <v xml:space="preserve"> 90</v>
      </c>
      <c r="G485" s="2">
        <v>90</v>
      </c>
      <c r="H485" s="16">
        <f t="shared" si="7"/>
        <v>45970</v>
      </c>
      <c r="J485" s="2"/>
    </row>
    <row r="486" spans="1:10" x14ac:dyDescent="0.25">
      <c r="A486" s="8" t="s">
        <v>499</v>
      </c>
      <c r="B486" s="8" t="s">
        <v>441</v>
      </c>
      <c r="C486" s="8" t="s">
        <v>14</v>
      </c>
      <c r="D486" s="10">
        <v>45899</v>
      </c>
      <c r="E486" s="9">
        <v>67497</v>
      </c>
      <c r="F486" s="2" t="str">
        <f>INDEX(Vendors!E:E,MATCH(Vendor_Analysis!C486,Vendors!A:A,0))</f>
        <v xml:space="preserve"> 90</v>
      </c>
      <c r="G486" s="2">
        <v>90</v>
      </c>
      <c r="H486" s="16">
        <f t="shared" si="7"/>
        <v>45989</v>
      </c>
      <c r="J486" s="2"/>
    </row>
    <row r="487" spans="1:10" x14ac:dyDescent="0.25">
      <c r="A487" s="8" t="s">
        <v>500</v>
      </c>
      <c r="B487" s="8" t="s">
        <v>441</v>
      </c>
      <c r="C487" s="8" t="s">
        <v>23</v>
      </c>
      <c r="D487" s="10">
        <v>45899</v>
      </c>
      <c r="E487" s="9">
        <v>27344</v>
      </c>
      <c r="F487" s="2" t="str">
        <f>INDEX(Vendors!E:E,MATCH(Vendor_Analysis!C487,Vendors!A:A,0))</f>
        <v xml:space="preserve"> 90</v>
      </c>
      <c r="G487" s="2">
        <v>90</v>
      </c>
      <c r="H487" s="16">
        <f t="shared" si="7"/>
        <v>45989</v>
      </c>
      <c r="J487" s="2"/>
    </row>
    <row r="488" spans="1:10" x14ac:dyDescent="0.25">
      <c r="A488" s="8" t="s">
        <v>501</v>
      </c>
      <c r="B488" s="8" t="s">
        <v>502</v>
      </c>
      <c r="C488" s="8" t="s">
        <v>25</v>
      </c>
      <c r="D488" s="10">
        <v>45289</v>
      </c>
      <c r="E488" s="9">
        <v>124454</v>
      </c>
      <c r="F488" s="2" t="str">
        <f>INDEX(Vendors!E:E,MATCH(Vendor_Analysis!C488,Vendors!A:A,0))</f>
        <v xml:space="preserve">30 </v>
      </c>
      <c r="G488" s="2">
        <v>30</v>
      </c>
      <c r="H488" s="16">
        <f t="shared" si="7"/>
        <v>45319</v>
      </c>
      <c r="J488" s="2"/>
    </row>
    <row r="489" spans="1:10" x14ac:dyDescent="0.25">
      <c r="A489" s="8" t="s">
        <v>503</v>
      </c>
      <c r="B489" s="8" t="s">
        <v>502</v>
      </c>
      <c r="C489" s="8" t="s">
        <v>6</v>
      </c>
      <c r="D489" s="10">
        <v>45296</v>
      </c>
      <c r="E489" s="9">
        <v>210410</v>
      </c>
      <c r="F489" s="2" t="str">
        <f>INDEX(Vendors!E:E,MATCH(Vendor_Analysis!C489,Vendors!A:A,0))</f>
        <v xml:space="preserve">60 </v>
      </c>
      <c r="G489" s="2">
        <v>60</v>
      </c>
      <c r="H489" s="16">
        <f t="shared" si="7"/>
        <v>45356</v>
      </c>
      <c r="J489" s="2"/>
    </row>
    <row r="490" spans="1:10" x14ac:dyDescent="0.25">
      <c r="A490" s="8" t="s">
        <v>504</v>
      </c>
      <c r="B490" s="8" t="s">
        <v>502</v>
      </c>
      <c r="C490" s="8" t="s">
        <v>6</v>
      </c>
      <c r="D490" s="10">
        <v>45315</v>
      </c>
      <c r="E490" s="9">
        <v>237300</v>
      </c>
      <c r="F490" s="2" t="str">
        <f>INDEX(Vendors!E:E,MATCH(Vendor_Analysis!C490,Vendors!A:A,0))</f>
        <v xml:space="preserve">60 </v>
      </c>
      <c r="G490" s="2">
        <v>60</v>
      </c>
      <c r="H490" s="16">
        <f t="shared" si="7"/>
        <v>45375</v>
      </c>
      <c r="J490" s="2"/>
    </row>
    <row r="491" spans="1:10" x14ac:dyDescent="0.25">
      <c r="A491" s="8" t="s">
        <v>505</v>
      </c>
      <c r="B491" s="8" t="s">
        <v>502</v>
      </c>
      <c r="C491" s="8" t="s">
        <v>48</v>
      </c>
      <c r="D491" s="10">
        <v>45317</v>
      </c>
      <c r="E491" s="9">
        <v>139837</v>
      </c>
      <c r="F491" s="2" t="str">
        <f>INDEX(Vendors!E:E,MATCH(Vendor_Analysis!C491,Vendors!A:A,0))</f>
        <v xml:space="preserve"> 90</v>
      </c>
      <c r="G491" s="2">
        <v>90</v>
      </c>
      <c r="H491" s="16">
        <f t="shared" si="7"/>
        <v>45407</v>
      </c>
      <c r="J491" s="2"/>
    </row>
    <row r="492" spans="1:10" x14ac:dyDescent="0.25">
      <c r="A492" s="8" t="s">
        <v>506</v>
      </c>
      <c r="B492" s="8" t="s">
        <v>502</v>
      </c>
      <c r="C492" s="8" t="s">
        <v>109</v>
      </c>
      <c r="D492" s="10">
        <v>45322</v>
      </c>
      <c r="E492" s="9">
        <v>274246</v>
      </c>
      <c r="F492" s="2" t="str">
        <f>INDEX(Vendors!E:E,MATCH(Vendor_Analysis!C492,Vendors!A:A,0))</f>
        <v xml:space="preserve">30 </v>
      </c>
      <c r="G492" s="2">
        <v>30</v>
      </c>
      <c r="H492" s="16">
        <f t="shared" si="7"/>
        <v>45352</v>
      </c>
      <c r="J492" s="2"/>
    </row>
    <row r="493" spans="1:10" x14ac:dyDescent="0.25">
      <c r="A493" s="8" t="s">
        <v>507</v>
      </c>
      <c r="B493" s="8" t="s">
        <v>502</v>
      </c>
      <c r="C493" s="8" t="s">
        <v>55</v>
      </c>
      <c r="D493" s="10">
        <v>45323</v>
      </c>
      <c r="E493" s="9">
        <v>599546</v>
      </c>
      <c r="F493" s="2" t="str">
        <f>INDEX(Vendors!E:E,MATCH(Vendor_Analysis!C493,Vendors!A:A,0))</f>
        <v xml:space="preserve">30 </v>
      </c>
      <c r="G493" s="2">
        <v>30</v>
      </c>
      <c r="H493" s="16">
        <f t="shared" si="7"/>
        <v>45353</v>
      </c>
      <c r="J493" s="2"/>
    </row>
    <row r="494" spans="1:10" x14ac:dyDescent="0.25">
      <c r="A494" s="8" t="s">
        <v>508</v>
      </c>
      <c r="B494" s="8" t="s">
        <v>502</v>
      </c>
      <c r="C494" s="8" t="s">
        <v>10</v>
      </c>
      <c r="D494" s="10">
        <v>45332</v>
      </c>
      <c r="E494" s="9">
        <v>120846</v>
      </c>
      <c r="F494" s="2" t="str">
        <f>INDEX(Vendors!E:E,MATCH(Vendor_Analysis!C494,Vendors!A:A,0))</f>
        <v xml:space="preserve">60 </v>
      </c>
      <c r="G494" s="2">
        <v>60</v>
      </c>
      <c r="H494" s="16">
        <f t="shared" si="7"/>
        <v>45392</v>
      </c>
      <c r="J494" s="2"/>
    </row>
    <row r="495" spans="1:10" x14ac:dyDescent="0.25">
      <c r="A495" s="8" t="s">
        <v>509</v>
      </c>
      <c r="B495" s="8" t="s">
        <v>502</v>
      </c>
      <c r="C495" s="8" t="s">
        <v>109</v>
      </c>
      <c r="D495" s="10">
        <v>45349</v>
      </c>
      <c r="E495" s="9">
        <v>186377</v>
      </c>
      <c r="F495" s="2" t="str">
        <f>INDEX(Vendors!E:E,MATCH(Vendor_Analysis!C495,Vendors!A:A,0))</f>
        <v xml:space="preserve">30 </v>
      </c>
      <c r="G495" s="2">
        <v>30</v>
      </c>
      <c r="H495" s="16">
        <f t="shared" si="7"/>
        <v>45379</v>
      </c>
      <c r="J495" s="2"/>
    </row>
    <row r="496" spans="1:10" x14ac:dyDescent="0.25">
      <c r="A496" s="8" t="s">
        <v>510</v>
      </c>
      <c r="B496" s="8" t="s">
        <v>502</v>
      </c>
      <c r="C496" s="8" t="s">
        <v>73</v>
      </c>
      <c r="D496" s="10">
        <v>45384</v>
      </c>
      <c r="E496" s="9">
        <v>169318</v>
      </c>
      <c r="F496" s="2" t="str">
        <f>INDEX(Vendors!E:E,MATCH(Vendor_Analysis!C496,Vendors!A:A,0))</f>
        <v xml:space="preserve">60 </v>
      </c>
      <c r="G496" s="2">
        <v>60</v>
      </c>
      <c r="H496" s="16">
        <f t="shared" si="7"/>
        <v>45444</v>
      </c>
      <c r="J496" s="2"/>
    </row>
    <row r="497" spans="1:10" x14ac:dyDescent="0.25">
      <c r="A497" s="8" t="s">
        <v>511</v>
      </c>
      <c r="B497" s="8" t="s">
        <v>502</v>
      </c>
      <c r="C497" s="8" t="s">
        <v>55</v>
      </c>
      <c r="D497" s="10">
        <v>45390</v>
      </c>
      <c r="E497" s="9">
        <v>240247</v>
      </c>
      <c r="F497" s="2" t="str">
        <f>INDEX(Vendors!E:E,MATCH(Vendor_Analysis!C497,Vendors!A:A,0))</f>
        <v xml:space="preserve">30 </v>
      </c>
      <c r="G497" s="2">
        <v>30</v>
      </c>
      <c r="H497" s="16">
        <f t="shared" si="7"/>
        <v>45420</v>
      </c>
      <c r="J497" s="2"/>
    </row>
    <row r="498" spans="1:10" x14ac:dyDescent="0.25">
      <c r="A498" s="8" t="s">
        <v>512</v>
      </c>
      <c r="B498" s="8" t="s">
        <v>502</v>
      </c>
      <c r="C498" s="8" t="s">
        <v>73</v>
      </c>
      <c r="D498" s="10">
        <v>45414</v>
      </c>
      <c r="E498" s="9">
        <v>426098</v>
      </c>
      <c r="F498" s="2" t="str">
        <f>INDEX(Vendors!E:E,MATCH(Vendor_Analysis!C498,Vendors!A:A,0))</f>
        <v xml:space="preserve">60 </v>
      </c>
      <c r="G498" s="2">
        <v>60</v>
      </c>
      <c r="H498" s="16">
        <f t="shared" si="7"/>
        <v>45474</v>
      </c>
      <c r="J498" s="2"/>
    </row>
    <row r="499" spans="1:10" x14ac:dyDescent="0.25">
      <c r="A499" s="8" t="s">
        <v>513</v>
      </c>
      <c r="B499" s="8" t="s">
        <v>502</v>
      </c>
      <c r="C499" s="8" t="s">
        <v>110</v>
      </c>
      <c r="D499" s="10">
        <v>45434</v>
      </c>
      <c r="E499" s="9">
        <v>211048</v>
      </c>
      <c r="F499" s="2" t="str">
        <f>INDEX(Vendors!E:E,MATCH(Vendor_Analysis!C499,Vendors!A:A,0))</f>
        <v xml:space="preserve">30 </v>
      </c>
      <c r="G499" s="2">
        <v>30</v>
      </c>
      <c r="H499" s="16">
        <f t="shared" si="7"/>
        <v>45464</v>
      </c>
      <c r="J499" s="2"/>
    </row>
    <row r="500" spans="1:10" x14ac:dyDescent="0.25">
      <c r="A500" s="8" t="s">
        <v>514</v>
      </c>
      <c r="B500" s="8" t="s">
        <v>502</v>
      </c>
      <c r="C500" s="8" t="s">
        <v>8</v>
      </c>
      <c r="D500" s="10">
        <v>45440</v>
      </c>
      <c r="E500" s="9">
        <v>179522</v>
      </c>
      <c r="F500" s="2" t="str">
        <f>INDEX(Vendors!E:E,MATCH(Vendor_Analysis!C500,Vendors!A:A,0))</f>
        <v xml:space="preserve">60 </v>
      </c>
      <c r="G500" s="2">
        <v>60</v>
      </c>
      <c r="H500" s="16">
        <f t="shared" si="7"/>
        <v>45500</v>
      </c>
      <c r="J500" s="2"/>
    </row>
    <row r="501" spans="1:10" x14ac:dyDescent="0.25">
      <c r="A501" s="8" t="s">
        <v>515</v>
      </c>
      <c r="B501" s="8" t="s">
        <v>502</v>
      </c>
      <c r="C501" s="8" t="s">
        <v>33</v>
      </c>
      <c r="D501" s="10">
        <v>45464</v>
      </c>
      <c r="E501" s="9">
        <v>444480</v>
      </c>
      <c r="F501" s="2" t="str">
        <f>INDEX(Vendors!E:E,MATCH(Vendor_Analysis!C501,Vendors!A:A,0))</f>
        <v xml:space="preserve">30 </v>
      </c>
      <c r="G501" s="2">
        <v>30</v>
      </c>
      <c r="H501" s="16">
        <f t="shared" si="7"/>
        <v>45494</v>
      </c>
      <c r="J501" s="2"/>
    </row>
    <row r="502" spans="1:10" x14ac:dyDescent="0.25">
      <c r="A502" s="8" t="s">
        <v>516</v>
      </c>
      <c r="B502" s="8" t="s">
        <v>502</v>
      </c>
      <c r="C502" s="8" t="s">
        <v>44</v>
      </c>
      <c r="D502" s="10">
        <v>45465</v>
      </c>
      <c r="E502" s="9">
        <v>189168</v>
      </c>
      <c r="F502" s="2" t="str">
        <f>INDEX(Vendors!E:E,MATCH(Vendor_Analysis!C502,Vendors!A:A,0))</f>
        <v xml:space="preserve">45 </v>
      </c>
      <c r="G502" s="2">
        <v>45</v>
      </c>
      <c r="H502" s="16">
        <f t="shared" si="7"/>
        <v>45510</v>
      </c>
      <c r="J502" s="2"/>
    </row>
    <row r="503" spans="1:10" x14ac:dyDescent="0.25">
      <c r="A503" s="8" t="s">
        <v>517</v>
      </c>
      <c r="B503" s="8" t="s">
        <v>502</v>
      </c>
      <c r="C503" s="8" t="s">
        <v>6</v>
      </c>
      <c r="D503" s="10">
        <v>45492</v>
      </c>
      <c r="E503" s="9">
        <v>292638</v>
      </c>
      <c r="F503" s="2" t="str">
        <f>INDEX(Vendors!E:E,MATCH(Vendor_Analysis!C503,Vendors!A:A,0))</f>
        <v xml:space="preserve">60 </v>
      </c>
      <c r="G503" s="2">
        <v>60</v>
      </c>
      <c r="H503" s="16">
        <f t="shared" si="7"/>
        <v>45552</v>
      </c>
      <c r="J503" s="2"/>
    </row>
    <row r="504" spans="1:10" x14ac:dyDescent="0.25">
      <c r="A504" s="8" t="s">
        <v>518</v>
      </c>
      <c r="B504" s="8" t="s">
        <v>502</v>
      </c>
      <c r="C504" s="8" t="s">
        <v>71</v>
      </c>
      <c r="D504" s="10">
        <v>45494</v>
      </c>
      <c r="E504" s="9">
        <v>99100</v>
      </c>
      <c r="F504" s="2" t="str">
        <f>INDEX(Vendors!E:E,MATCH(Vendor_Analysis!C504,Vendors!A:A,0))</f>
        <v xml:space="preserve">45 </v>
      </c>
      <c r="G504" s="2">
        <v>45</v>
      </c>
      <c r="H504" s="16">
        <f t="shared" si="7"/>
        <v>45539</v>
      </c>
      <c r="J504" s="2"/>
    </row>
    <row r="505" spans="1:10" x14ac:dyDescent="0.25">
      <c r="A505" s="8" t="s">
        <v>519</v>
      </c>
      <c r="B505" s="8" t="s">
        <v>502</v>
      </c>
      <c r="C505" s="8" t="s">
        <v>35</v>
      </c>
      <c r="D505" s="10">
        <v>45501</v>
      </c>
      <c r="E505" s="9">
        <v>127293</v>
      </c>
      <c r="F505" s="2" t="str">
        <f>INDEX(Vendors!E:E,MATCH(Vendor_Analysis!C505,Vendors!A:A,0))</f>
        <v xml:space="preserve">60 </v>
      </c>
      <c r="G505" s="2">
        <v>60</v>
      </c>
      <c r="H505" s="16">
        <f t="shared" si="7"/>
        <v>45561</v>
      </c>
      <c r="J505" s="2"/>
    </row>
    <row r="506" spans="1:10" x14ac:dyDescent="0.25">
      <c r="A506" s="8" t="s">
        <v>520</v>
      </c>
      <c r="B506" s="8" t="s">
        <v>502</v>
      </c>
      <c r="C506" s="8" t="s">
        <v>35</v>
      </c>
      <c r="D506" s="10">
        <v>45506</v>
      </c>
      <c r="E506" s="9">
        <v>229962</v>
      </c>
      <c r="F506" s="2" t="str">
        <f>INDEX(Vendors!E:E,MATCH(Vendor_Analysis!C506,Vendors!A:A,0))</f>
        <v xml:space="preserve">60 </v>
      </c>
      <c r="G506" s="2">
        <v>60</v>
      </c>
      <c r="H506" s="16">
        <f t="shared" si="7"/>
        <v>45566</v>
      </c>
      <c r="J506" s="2"/>
    </row>
    <row r="507" spans="1:10" x14ac:dyDescent="0.25">
      <c r="A507" s="8" t="s">
        <v>521</v>
      </c>
      <c r="B507" s="8" t="s">
        <v>502</v>
      </c>
      <c r="C507" s="8" t="s">
        <v>44</v>
      </c>
      <c r="D507" s="10">
        <v>45506</v>
      </c>
      <c r="E507" s="9">
        <v>273885</v>
      </c>
      <c r="F507" s="2" t="str">
        <f>INDEX(Vendors!E:E,MATCH(Vendor_Analysis!C507,Vendors!A:A,0))</f>
        <v xml:space="preserve">45 </v>
      </c>
      <c r="G507" s="2">
        <v>45</v>
      </c>
      <c r="H507" s="16">
        <f t="shared" si="7"/>
        <v>45551</v>
      </c>
      <c r="J507" s="2"/>
    </row>
    <row r="508" spans="1:10" x14ac:dyDescent="0.25">
      <c r="A508" s="8" t="s">
        <v>522</v>
      </c>
      <c r="B508" s="8" t="s">
        <v>502</v>
      </c>
      <c r="C508" s="8" t="s">
        <v>12</v>
      </c>
      <c r="D508" s="10">
        <v>45516</v>
      </c>
      <c r="E508" s="9">
        <v>119764</v>
      </c>
      <c r="F508" s="2" t="str">
        <f>INDEX(Vendors!E:E,MATCH(Vendor_Analysis!C508,Vendors!A:A,0))</f>
        <v xml:space="preserve">30 </v>
      </c>
      <c r="G508" s="2">
        <v>30</v>
      </c>
      <c r="H508" s="16">
        <f t="shared" si="7"/>
        <v>45546</v>
      </c>
      <c r="J508" s="2"/>
    </row>
    <row r="509" spans="1:10" x14ac:dyDescent="0.25">
      <c r="A509" s="8" t="s">
        <v>523</v>
      </c>
      <c r="B509" s="8" t="s">
        <v>502</v>
      </c>
      <c r="C509" s="8" t="s">
        <v>10</v>
      </c>
      <c r="D509" s="10">
        <v>45519</v>
      </c>
      <c r="E509" s="9">
        <v>192659</v>
      </c>
      <c r="F509" s="2" t="str">
        <f>INDEX(Vendors!E:E,MATCH(Vendor_Analysis!C509,Vendors!A:A,0))</f>
        <v xml:space="preserve">60 </v>
      </c>
      <c r="G509" s="2">
        <v>60</v>
      </c>
      <c r="H509" s="16">
        <f t="shared" si="7"/>
        <v>45579</v>
      </c>
      <c r="J509" s="2"/>
    </row>
    <row r="510" spans="1:10" x14ac:dyDescent="0.25">
      <c r="A510" s="8" t="s">
        <v>524</v>
      </c>
      <c r="B510" s="8" t="s">
        <v>502</v>
      </c>
      <c r="C510" s="8" t="s">
        <v>55</v>
      </c>
      <c r="D510" s="10">
        <v>45525</v>
      </c>
      <c r="E510" s="9">
        <v>152690</v>
      </c>
      <c r="F510" s="2" t="str">
        <f>INDEX(Vendors!E:E,MATCH(Vendor_Analysis!C510,Vendors!A:A,0))</f>
        <v xml:space="preserve">30 </v>
      </c>
      <c r="G510" s="2">
        <v>30</v>
      </c>
      <c r="H510" s="16">
        <f t="shared" si="7"/>
        <v>45555</v>
      </c>
      <c r="J510" s="2"/>
    </row>
    <row r="511" spans="1:10" x14ac:dyDescent="0.25">
      <c r="A511" s="8" t="s">
        <v>525</v>
      </c>
      <c r="B511" s="8" t="s">
        <v>502</v>
      </c>
      <c r="C511" s="8" t="s">
        <v>14</v>
      </c>
      <c r="D511" s="10">
        <v>45540</v>
      </c>
      <c r="E511" s="9">
        <v>233562</v>
      </c>
      <c r="F511" s="2" t="str">
        <f>INDEX(Vendors!E:E,MATCH(Vendor_Analysis!C511,Vendors!A:A,0))</f>
        <v xml:space="preserve"> 90</v>
      </c>
      <c r="G511" s="2">
        <v>90</v>
      </c>
      <c r="H511" s="16">
        <f t="shared" si="7"/>
        <v>45630</v>
      </c>
      <c r="J511" s="2"/>
    </row>
    <row r="512" spans="1:10" x14ac:dyDescent="0.25">
      <c r="A512" s="8" t="s">
        <v>526</v>
      </c>
      <c r="B512" s="8" t="s">
        <v>502</v>
      </c>
      <c r="C512" s="8" t="s">
        <v>37</v>
      </c>
      <c r="D512" s="10">
        <v>45556</v>
      </c>
      <c r="E512" s="9">
        <v>98489</v>
      </c>
      <c r="F512" s="2" t="str">
        <f>INDEX(Vendors!E:E,MATCH(Vendor_Analysis!C512,Vendors!A:A,0))</f>
        <v xml:space="preserve">30 </v>
      </c>
      <c r="G512" s="2">
        <v>30</v>
      </c>
      <c r="H512" s="16">
        <f t="shared" si="7"/>
        <v>45586</v>
      </c>
      <c r="J512" s="2"/>
    </row>
    <row r="513" spans="1:10" x14ac:dyDescent="0.25">
      <c r="A513" s="8" t="s">
        <v>527</v>
      </c>
      <c r="B513" s="8" t="s">
        <v>502</v>
      </c>
      <c r="C513" s="8" t="s">
        <v>55</v>
      </c>
      <c r="D513" s="10">
        <v>45573</v>
      </c>
      <c r="E513" s="9">
        <v>211607</v>
      </c>
      <c r="F513" s="2" t="str">
        <f>INDEX(Vendors!E:E,MATCH(Vendor_Analysis!C513,Vendors!A:A,0))</f>
        <v xml:space="preserve">30 </v>
      </c>
      <c r="G513" s="2">
        <v>30</v>
      </c>
      <c r="H513" s="16">
        <f t="shared" si="7"/>
        <v>45603</v>
      </c>
      <c r="J513" s="2"/>
    </row>
    <row r="514" spans="1:10" x14ac:dyDescent="0.25">
      <c r="A514" s="8" t="s">
        <v>528</v>
      </c>
      <c r="B514" s="8" t="s">
        <v>502</v>
      </c>
      <c r="C514" s="8" t="s">
        <v>25</v>
      </c>
      <c r="D514" s="10">
        <v>45579</v>
      </c>
      <c r="E514" s="9">
        <v>115377</v>
      </c>
      <c r="F514" s="2" t="str">
        <f>INDEX(Vendors!E:E,MATCH(Vendor_Analysis!C514,Vendors!A:A,0))</f>
        <v xml:space="preserve">30 </v>
      </c>
      <c r="G514" s="2">
        <v>30</v>
      </c>
      <c r="H514" s="16">
        <f t="shared" si="7"/>
        <v>45609</v>
      </c>
      <c r="J514" s="2"/>
    </row>
    <row r="515" spans="1:10" x14ac:dyDescent="0.25">
      <c r="A515" s="8" t="s">
        <v>529</v>
      </c>
      <c r="B515" s="8" t="s">
        <v>530</v>
      </c>
      <c r="C515" s="8" t="s">
        <v>6</v>
      </c>
      <c r="D515" s="10">
        <v>45146</v>
      </c>
      <c r="E515" s="9">
        <v>76646</v>
      </c>
      <c r="F515" s="2" t="str">
        <f>INDEX(Vendors!E:E,MATCH(Vendor_Analysis!C515,Vendors!A:A,0))</f>
        <v xml:space="preserve">60 </v>
      </c>
      <c r="G515" s="2">
        <v>60</v>
      </c>
      <c r="H515" s="16">
        <f t="shared" ref="H515:H578" si="8">D515+F515</f>
        <v>45206</v>
      </c>
      <c r="J515" s="2"/>
    </row>
    <row r="516" spans="1:10" x14ac:dyDescent="0.25">
      <c r="A516" s="8" t="s">
        <v>531</v>
      </c>
      <c r="B516" s="8" t="s">
        <v>530</v>
      </c>
      <c r="C516" s="8" t="s">
        <v>37</v>
      </c>
      <c r="D516" s="10">
        <v>45158</v>
      </c>
      <c r="E516" s="9">
        <v>62474</v>
      </c>
      <c r="F516" s="2" t="str">
        <f>INDEX(Vendors!E:E,MATCH(Vendor_Analysis!C516,Vendors!A:A,0))</f>
        <v xml:space="preserve">30 </v>
      </c>
      <c r="G516" s="2">
        <v>30</v>
      </c>
      <c r="H516" s="16">
        <f t="shared" si="8"/>
        <v>45188</v>
      </c>
      <c r="J516" s="2"/>
    </row>
    <row r="517" spans="1:10" x14ac:dyDescent="0.25">
      <c r="A517" s="8" t="s">
        <v>532</v>
      </c>
      <c r="B517" s="8" t="s">
        <v>530</v>
      </c>
      <c r="C517" s="8" t="s">
        <v>55</v>
      </c>
      <c r="D517" s="10">
        <v>45170</v>
      </c>
      <c r="E517" s="9">
        <v>77748</v>
      </c>
      <c r="F517" s="2" t="str">
        <f>INDEX(Vendors!E:E,MATCH(Vendor_Analysis!C517,Vendors!A:A,0))</f>
        <v xml:space="preserve">30 </v>
      </c>
      <c r="G517" s="2">
        <v>30</v>
      </c>
      <c r="H517" s="16">
        <f t="shared" si="8"/>
        <v>45200</v>
      </c>
      <c r="J517" s="2"/>
    </row>
    <row r="518" spans="1:10" x14ac:dyDescent="0.25">
      <c r="A518" s="8" t="s">
        <v>533</v>
      </c>
      <c r="B518" s="8" t="s">
        <v>530</v>
      </c>
      <c r="C518" s="8" t="s">
        <v>48</v>
      </c>
      <c r="D518" s="10">
        <v>45192</v>
      </c>
      <c r="E518" s="9">
        <v>68511</v>
      </c>
      <c r="F518" s="2" t="str">
        <f>INDEX(Vendors!E:E,MATCH(Vendor_Analysis!C518,Vendors!A:A,0))</f>
        <v xml:space="preserve"> 90</v>
      </c>
      <c r="G518" s="2">
        <v>90</v>
      </c>
      <c r="H518" s="16">
        <f t="shared" si="8"/>
        <v>45282</v>
      </c>
      <c r="J518" s="2"/>
    </row>
    <row r="519" spans="1:10" x14ac:dyDescent="0.25">
      <c r="A519" s="8" t="s">
        <v>534</v>
      </c>
      <c r="B519" s="8" t="s">
        <v>530</v>
      </c>
      <c r="C519" s="8" t="s">
        <v>23</v>
      </c>
      <c r="D519" s="10">
        <v>45195</v>
      </c>
      <c r="E519" s="9">
        <v>45992</v>
      </c>
      <c r="F519" s="2" t="str">
        <f>INDEX(Vendors!E:E,MATCH(Vendor_Analysis!C519,Vendors!A:A,0))</f>
        <v xml:space="preserve"> 90</v>
      </c>
      <c r="G519" s="2">
        <v>90</v>
      </c>
      <c r="H519" s="16">
        <f t="shared" si="8"/>
        <v>45285</v>
      </c>
      <c r="J519" s="2"/>
    </row>
    <row r="520" spans="1:10" x14ac:dyDescent="0.25">
      <c r="A520" s="8" t="s">
        <v>535</v>
      </c>
      <c r="B520" s="8" t="s">
        <v>530</v>
      </c>
      <c r="C520" s="8" t="s">
        <v>6</v>
      </c>
      <c r="D520" s="10">
        <v>45212</v>
      </c>
      <c r="E520" s="9">
        <v>90565</v>
      </c>
      <c r="F520" s="2" t="str">
        <f>INDEX(Vendors!E:E,MATCH(Vendor_Analysis!C520,Vendors!A:A,0))</f>
        <v xml:space="preserve">60 </v>
      </c>
      <c r="G520" s="2">
        <v>60</v>
      </c>
      <c r="H520" s="16">
        <f t="shared" si="8"/>
        <v>45272</v>
      </c>
      <c r="J520" s="2"/>
    </row>
    <row r="521" spans="1:10" x14ac:dyDescent="0.25">
      <c r="A521" s="8" t="s">
        <v>536</v>
      </c>
      <c r="B521" s="8" t="s">
        <v>530</v>
      </c>
      <c r="C521" s="8" t="s">
        <v>71</v>
      </c>
      <c r="D521" s="10">
        <v>45218</v>
      </c>
      <c r="E521" s="9">
        <v>42248</v>
      </c>
      <c r="F521" s="2" t="str">
        <f>INDEX(Vendors!E:E,MATCH(Vendor_Analysis!C521,Vendors!A:A,0))</f>
        <v xml:space="preserve">45 </v>
      </c>
      <c r="G521" s="2">
        <v>45</v>
      </c>
      <c r="H521" s="16">
        <f t="shared" si="8"/>
        <v>45263</v>
      </c>
      <c r="J521" s="2"/>
    </row>
    <row r="522" spans="1:10" x14ac:dyDescent="0.25">
      <c r="A522" s="8" t="s">
        <v>537</v>
      </c>
      <c r="B522" s="8" t="s">
        <v>530</v>
      </c>
      <c r="C522" s="8" t="s">
        <v>109</v>
      </c>
      <c r="D522" s="10">
        <v>45222</v>
      </c>
      <c r="E522" s="9">
        <v>110651</v>
      </c>
      <c r="F522" s="2" t="str">
        <f>INDEX(Vendors!E:E,MATCH(Vendor_Analysis!C522,Vendors!A:A,0))</f>
        <v xml:space="preserve">30 </v>
      </c>
      <c r="G522" s="2">
        <v>30</v>
      </c>
      <c r="H522" s="16">
        <f t="shared" si="8"/>
        <v>45252</v>
      </c>
      <c r="J522" s="2"/>
    </row>
    <row r="523" spans="1:10" x14ac:dyDescent="0.25">
      <c r="A523" s="8" t="s">
        <v>538</v>
      </c>
      <c r="B523" s="8" t="s">
        <v>530</v>
      </c>
      <c r="C523" s="8" t="s">
        <v>110</v>
      </c>
      <c r="D523" s="10">
        <v>45249</v>
      </c>
      <c r="E523" s="9">
        <v>70528</v>
      </c>
      <c r="F523" s="2" t="str">
        <f>INDEX(Vendors!E:E,MATCH(Vendor_Analysis!C523,Vendors!A:A,0))</f>
        <v xml:space="preserve">30 </v>
      </c>
      <c r="G523" s="2">
        <v>30</v>
      </c>
      <c r="H523" s="16">
        <f t="shared" si="8"/>
        <v>45279</v>
      </c>
      <c r="J523" s="2"/>
    </row>
    <row r="524" spans="1:10" x14ac:dyDescent="0.25">
      <c r="A524" s="8" t="s">
        <v>539</v>
      </c>
      <c r="B524" s="8" t="s">
        <v>530</v>
      </c>
      <c r="C524" s="8" t="s">
        <v>27</v>
      </c>
      <c r="D524" s="10">
        <v>45279</v>
      </c>
      <c r="E524" s="9">
        <v>110302</v>
      </c>
      <c r="F524" s="2" t="str">
        <f>INDEX(Vendors!E:E,MATCH(Vendor_Analysis!C524,Vendors!A:A,0))</f>
        <v xml:space="preserve">45 </v>
      </c>
      <c r="G524" s="2">
        <v>45</v>
      </c>
      <c r="H524" s="16">
        <f t="shared" si="8"/>
        <v>45324</v>
      </c>
      <c r="J524" s="2"/>
    </row>
    <row r="525" spans="1:10" x14ac:dyDescent="0.25">
      <c r="A525" s="8" t="s">
        <v>540</v>
      </c>
      <c r="B525" s="8" t="s">
        <v>530</v>
      </c>
      <c r="C525" s="8" t="s">
        <v>17</v>
      </c>
      <c r="D525" s="10">
        <v>45285</v>
      </c>
      <c r="E525" s="9">
        <v>91940</v>
      </c>
      <c r="F525" s="2" t="str">
        <f>INDEX(Vendors!E:E,MATCH(Vendor_Analysis!C525,Vendors!A:A,0))</f>
        <v xml:space="preserve">45 </v>
      </c>
      <c r="G525" s="2">
        <v>45</v>
      </c>
      <c r="H525" s="16">
        <f t="shared" si="8"/>
        <v>45330</v>
      </c>
      <c r="J525" s="2"/>
    </row>
    <row r="526" spans="1:10" x14ac:dyDescent="0.25">
      <c r="A526" s="8" t="s">
        <v>541</v>
      </c>
      <c r="B526" s="8" t="s">
        <v>530</v>
      </c>
      <c r="C526" s="8" t="s">
        <v>19</v>
      </c>
      <c r="D526" s="10">
        <v>45300</v>
      </c>
      <c r="E526" s="9">
        <v>99085</v>
      </c>
      <c r="F526" s="2" t="str">
        <f>INDEX(Vendors!E:E,MATCH(Vendor_Analysis!C526,Vendors!A:A,0))</f>
        <v xml:space="preserve">45 </v>
      </c>
      <c r="G526" s="2">
        <v>45</v>
      </c>
      <c r="H526" s="16">
        <f t="shared" si="8"/>
        <v>45345</v>
      </c>
      <c r="J526" s="2"/>
    </row>
    <row r="527" spans="1:10" x14ac:dyDescent="0.25">
      <c r="A527" s="8" t="s">
        <v>542</v>
      </c>
      <c r="B527" s="8" t="s">
        <v>530</v>
      </c>
      <c r="C527" s="8" t="s">
        <v>50</v>
      </c>
      <c r="D527" s="10">
        <v>45323</v>
      </c>
      <c r="E527" s="9">
        <v>299329</v>
      </c>
      <c r="F527" s="2" t="str">
        <f>INDEX(Vendors!E:E,MATCH(Vendor_Analysis!C527,Vendors!A:A,0))</f>
        <v xml:space="preserve"> 90</v>
      </c>
      <c r="G527" s="2">
        <v>90</v>
      </c>
      <c r="H527" s="16">
        <f t="shared" si="8"/>
        <v>45413</v>
      </c>
      <c r="J527" s="2"/>
    </row>
    <row r="528" spans="1:10" x14ac:dyDescent="0.25">
      <c r="A528" s="8" t="s">
        <v>543</v>
      </c>
      <c r="B528" s="8" t="s">
        <v>530</v>
      </c>
      <c r="C528" s="8" t="s">
        <v>21</v>
      </c>
      <c r="D528" s="10">
        <v>45374</v>
      </c>
      <c r="E528" s="9">
        <v>103388</v>
      </c>
      <c r="F528" s="2" t="str">
        <f>INDEX(Vendors!E:E,MATCH(Vendor_Analysis!C528,Vendors!A:A,0))</f>
        <v xml:space="preserve"> 90</v>
      </c>
      <c r="G528" s="2">
        <v>90</v>
      </c>
      <c r="H528" s="16">
        <f t="shared" si="8"/>
        <v>45464</v>
      </c>
      <c r="J528" s="2"/>
    </row>
    <row r="529" spans="1:10" x14ac:dyDescent="0.25">
      <c r="A529" s="8" t="s">
        <v>544</v>
      </c>
      <c r="B529" s="8" t="s">
        <v>530</v>
      </c>
      <c r="C529" s="8" t="s">
        <v>91</v>
      </c>
      <c r="D529" s="10">
        <v>45418</v>
      </c>
      <c r="E529" s="9">
        <v>94591</v>
      </c>
      <c r="F529" s="2" t="str">
        <f>INDEX(Vendors!E:E,MATCH(Vendor_Analysis!C529,Vendors!A:A,0))</f>
        <v xml:space="preserve">60 </v>
      </c>
      <c r="G529" s="2">
        <v>60</v>
      </c>
      <c r="H529" s="16">
        <f t="shared" si="8"/>
        <v>45478</v>
      </c>
      <c r="J529" s="2"/>
    </row>
    <row r="530" spans="1:10" x14ac:dyDescent="0.25">
      <c r="A530" s="8" t="s">
        <v>545</v>
      </c>
      <c r="B530" s="8" t="s">
        <v>530</v>
      </c>
      <c r="C530" s="8" t="s">
        <v>25</v>
      </c>
      <c r="D530" s="10">
        <v>45424</v>
      </c>
      <c r="E530" s="9">
        <v>80605</v>
      </c>
      <c r="F530" s="2" t="str">
        <f>INDEX(Vendors!E:E,MATCH(Vendor_Analysis!C530,Vendors!A:A,0))</f>
        <v xml:space="preserve">30 </v>
      </c>
      <c r="G530" s="2">
        <v>30</v>
      </c>
      <c r="H530" s="16">
        <f t="shared" si="8"/>
        <v>45454</v>
      </c>
      <c r="J530" s="2"/>
    </row>
    <row r="531" spans="1:10" x14ac:dyDescent="0.25">
      <c r="A531" s="8" t="s">
        <v>546</v>
      </c>
      <c r="B531" s="8" t="s">
        <v>530</v>
      </c>
      <c r="C531" s="8" t="s">
        <v>71</v>
      </c>
      <c r="D531" s="10">
        <v>45433</v>
      </c>
      <c r="E531" s="9">
        <v>65229</v>
      </c>
      <c r="F531" s="2" t="str">
        <f>INDEX(Vendors!E:E,MATCH(Vendor_Analysis!C531,Vendors!A:A,0))</f>
        <v xml:space="preserve">45 </v>
      </c>
      <c r="G531" s="2">
        <v>45</v>
      </c>
      <c r="H531" s="16">
        <f t="shared" si="8"/>
        <v>45478</v>
      </c>
      <c r="J531" s="2"/>
    </row>
    <row r="532" spans="1:10" x14ac:dyDescent="0.25">
      <c r="A532" s="8" t="s">
        <v>547</v>
      </c>
      <c r="B532" s="8" t="s">
        <v>530</v>
      </c>
      <c r="C532" s="8" t="s">
        <v>29</v>
      </c>
      <c r="D532" s="10">
        <v>45435</v>
      </c>
      <c r="E532" s="9">
        <v>58301</v>
      </c>
      <c r="F532" s="2" t="str">
        <f>INDEX(Vendors!E:E,MATCH(Vendor_Analysis!C532,Vendors!A:A,0))</f>
        <v xml:space="preserve">30 </v>
      </c>
      <c r="G532" s="2">
        <v>30</v>
      </c>
      <c r="H532" s="16">
        <f t="shared" si="8"/>
        <v>45465</v>
      </c>
      <c r="J532" s="2"/>
    </row>
    <row r="533" spans="1:10" x14ac:dyDescent="0.25">
      <c r="A533" s="8" t="s">
        <v>548</v>
      </c>
      <c r="B533" s="8" t="s">
        <v>530</v>
      </c>
      <c r="C533" s="8" t="s">
        <v>50</v>
      </c>
      <c r="D533" s="10">
        <v>45447</v>
      </c>
      <c r="E533" s="9">
        <v>55050</v>
      </c>
      <c r="F533" s="2" t="str">
        <f>INDEX(Vendors!E:E,MATCH(Vendor_Analysis!C533,Vendors!A:A,0))</f>
        <v xml:space="preserve"> 90</v>
      </c>
      <c r="G533" s="2">
        <v>90</v>
      </c>
      <c r="H533" s="16">
        <f t="shared" si="8"/>
        <v>45537</v>
      </c>
      <c r="J533" s="2"/>
    </row>
    <row r="534" spans="1:10" x14ac:dyDescent="0.25">
      <c r="A534" s="8" t="s">
        <v>549</v>
      </c>
      <c r="B534" s="8" t="s">
        <v>530</v>
      </c>
      <c r="C534" s="8" t="s">
        <v>35</v>
      </c>
      <c r="D534" s="10">
        <v>45454</v>
      </c>
      <c r="E534" s="9">
        <v>72605</v>
      </c>
      <c r="F534" s="2" t="str">
        <f>INDEX(Vendors!E:E,MATCH(Vendor_Analysis!C534,Vendors!A:A,0))</f>
        <v xml:space="preserve">60 </v>
      </c>
      <c r="G534" s="2">
        <v>60</v>
      </c>
      <c r="H534" s="16">
        <f t="shared" si="8"/>
        <v>45514</v>
      </c>
      <c r="J534" s="2"/>
    </row>
    <row r="535" spans="1:10" x14ac:dyDescent="0.25">
      <c r="A535" s="8" t="s">
        <v>550</v>
      </c>
      <c r="B535" s="8" t="s">
        <v>530</v>
      </c>
      <c r="C535" s="8" t="s">
        <v>44</v>
      </c>
      <c r="D535" s="10">
        <v>45455</v>
      </c>
      <c r="E535" s="9">
        <v>103158</v>
      </c>
      <c r="F535" s="2" t="str">
        <f>INDEX(Vendors!E:E,MATCH(Vendor_Analysis!C535,Vendors!A:A,0))</f>
        <v xml:space="preserve">45 </v>
      </c>
      <c r="G535" s="2">
        <v>45</v>
      </c>
      <c r="H535" s="16">
        <f t="shared" si="8"/>
        <v>45500</v>
      </c>
      <c r="J535" s="2"/>
    </row>
    <row r="536" spans="1:10" x14ac:dyDescent="0.25">
      <c r="A536" s="8" t="s">
        <v>551</v>
      </c>
      <c r="B536" s="8" t="s">
        <v>530</v>
      </c>
      <c r="C536" s="8" t="s">
        <v>23</v>
      </c>
      <c r="D536" s="10">
        <v>45471</v>
      </c>
      <c r="E536" s="9">
        <v>105993</v>
      </c>
      <c r="F536" s="2" t="str">
        <f>INDEX(Vendors!E:E,MATCH(Vendor_Analysis!C536,Vendors!A:A,0))</f>
        <v xml:space="preserve"> 90</v>
      </c>
      <c r="G536" s="2">
        <v>90</v>
      </c>
      <c r="H536" s="16">
        <f t="shared" si="8"/>
        <v>45561</v>
      </c>
      <c r="J536" s="2"/>
    </row>
    <row r="537" spans="1:10" x14ac:dyDescent="0.25">
      <c r="A537" s="8" t="s">
        <v>552</v>
      </c>
      <c r="B537" s="8" t="s">
        <v>530</v>
      </c>
      <c r="C537" s="8" t="s">
        <v>14</v>
      </c>
      <c r="D537" s="10">
        <v>45498</v>
      </c>
      <c r="E537" s="9">
        <v>86180</v>
      </c>
      <c r="F537" s="2" t="str">
        <f>INDEX(Vendors!E:E,MATCH(Vendor_Analysis!C537,Vendors!A:A,0))</f>
        <v xml:space="preserve"> 90</v>
      </c>
      <c r="G537" s="2">
        <v>90</v>
      </c>
      <c r="H537" s="16">
        <f t="shared" si="8"/>
        <v>45588</v>
      </c>
      <c r="J537" s="2"/>
    </row>
    <row r="538" spans="1:10" x14ac:dyDescent="0.25">
      <c r="A538" s="8" t="s">
        <v>553</v>
      </c>
      <c r="B538" s="8" t="s">
        <v>530</v>
      </c>
      <c r="C538" s="8" t="s">
        <v>8</v>
      </c>
      <c r="D538" s="10">
        <v>45499</v>
      </c>
      <c r="E538" s="9">
        <v>60782</v>
      </c>
      <c r="F538" s="2" t="str">
        <f>INDEX(Vendors!E:E,MATCH(Vendor_Analysis!C538,Vendors!A:A,0))</f>
        <v xml:space="preserve">60 </v>
      </c>
      <c r="G538" s="2">
        <v>60</v>
      </c>
      <c r="H538" s="16">
        <f t="shared" si="8"/>
        <v>45559</v>
      </c>
      <c r="J538" s="2"/>
    </row>
    <row r="539" spans="1:10" x14ac:dyDescent="0.25">
      <c r="A539" s="8" t="s">
        <v>554</v>
      </c>
      <c r="B539" s="8" t="s">
        <v>530</v>
      </c>
      <c r="C539" s="8" t="s">
        <v>71</v>
      </c>
      <c r="D539" s="10">
        <v>45501</v>
      </c>
      <c r="E539" s="9">
        <v>133886</v>
      </c>
      <c r="F539" s="2" t="str">
        <f>INDEX(Vendors!E:E,MATCH(Vendor_Analysis!C539,Vendors!A:A,0))</f>
        <v xml:space="preserve">45 </v>
      </c>
      <c r="G539" s="2">
        <v>45</v>
      </c>
      <c r="H539" s="16">
        <f t="shared" si="8"/>
        <v>45546</v>
      </c>
      <c r="J539" s="2"/>
    </row>
    <row r="540" spans="1:10" x14ac:dyDescent="0.25">
      <c r="A540" s="8" t="s">
        <v>555</v>
      </c>
      <c r="B540" s="8" t="s">
        <v>530</v>
      </c>
      <c r="C540" s="8" t="s">
        <v>48</v>
      </c>
      <c r="D540" s="10">
        <v>45528</v>
      </c>
      <c r="E540" s="9">
        <v>68965</v>
      </c>
      <c r="F540" s="2" t="str">
        <f>INDEX(Vendors!E:E,MATCH(Vendor_Analysis!C540,Vendors!A:A,0))</f>
        <v xml:space="preserve"> 90</v>
      </c>
      <c r="G540" s="2">
        <v>90</v>
      </c>
      <c r="H540" s="16">
        <f t="shared" si="8"/>
        <v>45618</v>
      </c>
      <c r="J540" s="2"/>
    </row>
    <row r="541" spans="1:10" x14ac:dyDescent="0.25">
      <c r="A541" s="8" t="s">
        <v>556</v>
      </c>
      <c r="B541" s="8" t="s">
        <v>530</v>
      </c>
      <c r="C541" s="8" t="s">
        <v>44</v>
      </c>
      <c r="D541" s="10">
        <v>45543</v>
      </c>
      <c r="E541" s="9">
        <v>75265</v>
      </c>
      <c r="F541" s="2" t="str">
        <f>INDEX(Vendors!E:E,MATCH(Vendor_Analysis!C541,Vendors!A:A,0))</f>
        <v xml:space="preserve">45 </v>
      </c>
      <c r="G541" s="2">
        <v>45</v>
      </c>
      <c r="H541" s="16">
        <f t="shared" si="8"/>
        <v>45588</v>
      </c>
      <c r="J541" s="2"/>
    </row>
    <row r="542" spans="1:10" x14ac:dyDescent="0.25">
      <c r="A542" s="8" t="s">
        <v>557</v>
      </c>
      <c r="B542" s="8" t="s">
        <v>530</v>
      </c>
      <c r="C542" s="8" t="s">
        <v>110</v>
      </c>
      <c r="D542" s="10">
        <v>45549</v>
      </c>
      <c r="E542" s="9">
        <v>92687</v>
      </c>
      <c r="F542" s="2" t="str">
        <f>INDEX(Vendors!E:E,MATCH(Vendor_Analysis!C542,Vendors!A:A,0))</f>
        <v xml:space="preserve">30 </v>
      </c>
      <c r="G542" s="2">
        <v>30</v>
      </c>
      <c r="H542" s="16">
        <f t="shared" si="8"/>
        <v>45579</v>
      </c>
      <c r="J542" s="2"/>
    </row>
    <row r="543" spans="1:10" x14ac:dyDescent="0.25">
      <c r="A543" s="8" t="s">
        <v>558</v>
      </c>
      <c r="B543" s="8" t="s">
        <v>530</v>
      </c>
      <c r="C543" s="8" t="s">
        <v>6</v>
      </c>
      <c r="D543" s="10">
        <v>45553</v>
      </c>
      <c r="E543" s="9">
        <v>125843</v>
      </c>
      <c r="F543" s="2" t="str">
        <f>INDEX(Vendors!E:E,MATCH(Vendor_Analysis!C543,Vendors!A:A,0))</f>
        <v xml:space="preserve">60 </v>
      </c>
      <c r="G543" s="2">
        <v>60</v>
      </c>
      <c r="H543" s="16">
        <f t="shared" si="8"/>
        <v>45613</v>
      </c>
      <c r="J543" s="2"/>
    </row>
    <row r="544" spans="1:10" x14ac:dyDescent="0.25">
      <c r="A544" s="8" t="s">
        <v>559</v>
      </c>
      <c r="B544" s="8" t="s">
        <v>530</v>
      </c>
      <c r="C544" s="8" t="s">
        <v>109</v>
      </c>
      <c r="D544" s="10">
        <v>45553</v>
      </c>
      <c r="E544" s="9">
        <v>127708</v>
      </c>
      <c r="F544" s="2" t="str">
        <f>INDEX(Vendors!E:E,MATCH(Vendor_Analysis!C544,Vendors!A:A,0))</f>
        <v xml:space="preserve">30 </v>
      </c>
      <c r="G544" s="2">
        <v>30</v>
      </c>
      <c r="H544" s="16">
        <f t="shared" si="8"/>
        <v>45583</v>
      </c>
      <c r="J544" s="2"/>
    </row>
    <row r="545" spans="1:10" x14ac:dyDescent="0.25">
      <c r="A545" s="8" t="s">
        <v>560</v>
      </c>
      <c r="B545" s="8" t="s">
        <v>530</v>
      </c>
      <c r="C545" s="8" t="s">
        <v>73</v>
      </c>
      <c r="D545" s="10">
        <v>45566</v>
      </c>
      <c r="E545" s="9">
        <v>47353</v>
      </c>
      <c r="F545" s="2" t="str">
        <f>INDEX(Vendors!E:E,MATCH(Vendor_Analysis!C545,Vendors!A:A,0))</f>
        <v xml:space="preserve">60 </v>
      </c>
      <c r="G545" s="2">
        <v>60</v>
      </c>
      <c r="H545" s="16">
        <f t="shared" si="8"/>
        <v>45626</v>
      </c>
      <c r="J545" s="2"/>
    </row>
    <row r="546" spans="1:10" x14ac:dyDescent="0.25">
      <c r="A546" s="8" t="s">
        <v>561</v>
      </c>
      <c r="B546" s="8" t="s">
        <v>530</v>
      </c>
      <c r="C546" s="8" t="s">
        <v>10</v>
      </c>
      <c r="D546" s="10">
        <v>45568</v>
      </c>
      <c r="E546" s="9">
        <v>99793</v>
      </c>
      <c r="F546" s="2" t="str">
        <f>INDEX(Vendors!E:E,MATCH(Vendor_Analysis!C546,Vendors!A:A,0))</f>
        <v xml:space="preserve">60 </v>
      </c>
      <c r="G546" s="2">
        <v>60</v>
      </c>
      <c r="H546" s="16">
        <f t="shared" si="8"/>
        <v>45628</v>
      </c>
      <c r="J546" s="2"/>
    </row>
    <row r="547" spans="1:10" x14ac:dyDescent="0.25">
      <c r="A547" s="8" t="s">
        <v>562</v>
      </c>
      <c r="B547" s="8" t="s">
        <v>530</v>
      </c>
      <c r="C547" s="8" t="s">
        <v>109</v>
      </c>
      <c r="D547" s="10">
        <v>45572</v>
      </c>
      <c r="E547" s="9">
        <v>39319</v>
      </c>
      <c r="F547" s="2" t="str">
        <f>INDEX(Vendors!E:E,MATCH(Vendor_Analysis!C547,Vendors!A:A,0))</f>
        <v xml:space="preserve">30 </v>
      </c>
      <c r="G547" s="2">
        <v>30</v>
      </c>
      <c r="H547" s="16">
        <f t="shared" si="8"/>
        <v>45602</v>
      </c>
      <c r="J547" s="2"/>
    </row>
    <row r="548" spans="1:10" x14ac:dyDescent="0.25">
      <c r="A548" s="8" t="s">
        <v>563</v>
      </c>
      <c r="B548" s="8" t="s">
        <v>530</v>
      </c>
      <c r="C548" s="8" t="s">
        <v>71</v>
      </c>
      <c r="D548" s="10">
        <v>45578</v>
      </c>
      <c r="E548" s="9">
        <v>46107</v>
      </c>
      <c r="F548" s="2" t="str">
        <f>INDEX(Vendors!E:E,MATCH(Vendor_Analysis!C548,Vendors!A:A,0))</f>
        <v xml:space="preserve">45 </v>
      </c>
      <c r="G548" s="2">
        <v>45</v>
      </c>
      <c r="H548" s="16">
        <f t="shared" si="8"/>
        <v>45623</v>
      </c>
      <c r="J548" s="2"/>
    </row>
    <row r="549" spans="1:10" x14ac:dyDescent="0.25">
      <c r="A549" s="8" t="s">
        <v>564</v>
      </c>
      <c r="B549" s="8" t="s">
        <v>530</v>
      </c>
      <c r="C549" s="8" t="s">
        <v>17</v>
      </c>
      <c r="D549" s="10">
        <v>45579</v>
      </c>
      <c r="E549" s="9">
        <v>187968</v>
      </c>
      <c r="F549" s="2" t="str">
        <f>INDEX(Vendors!E:E,MATCH(Vendor_Analysis!C549,Vendors!A:A,0))</f>
        <v xml:space="preserve">45 </v>
      </c>
      <c r="G549" s="2">
        <v>45</v>
      </c>
      <c r="H549" s="16">
        <f t="shared" si="8"/>
        <v>45624</v>
      </c>
      <c r="J549" s="2"/>
    </row>
    <row r="550" spans="1:10" x14ac:dyDescent="0.25">
      <c r="A550" s="8" t="s">
        <v>565</v>
      </c>
      <c r="B550" s="8" t="s">
        <v>530</v>
      </c>
      <c r="C550" s="8" t="s">
        <v>91</v>
      </c>
      <c r="D550" s="10">
        <v>45579</v>
      </c>
      <c r="E550" s="9">
        <v>71864</v>
      </c>
      <c r="F550" s="2" t="str">
        <f>INDEX(Vendors!E:E,MATCH(Vendor_Analysis!C550,Vendors!A:A,0))</f>
        <v xml:space="preserve">60 </v>
      </c>
      <c r="G550" s="2">
        <v>60</v>
      </c>
      <c r="H550" s="16">
        <f t="shared" si="8"/>
        <v>45639</v>
      </c>
      <c r="J550" s="2"/>
    </row>
    <row r="551" spans="1:10" x14ac:dyDescent="0.25">
      <c r="A551" s="8" t="s">
        <v>566</v>
      </c>
      <c r="B551" s="8" t="s">
        <v>530</v>
      </c>
      <c r="C551" s="8" t="s">
        <v>29</v>
      </c>
      <c r="D551" s="10">
        <v>45637</v>
      </c>
      <c r="E551" s="9">
        <v>39188</v>
      </c>
      <c r="F551" s="2" t="str">
        <f>INDEX(Vendors!E:E,MATCH(Vendor_Analysis!C551,Vendors!A:A,0))</f>
        <v xml:space="preserve">30 </v>
      </c>
      <c r="G551" s="2">
        <v>30</v>
      </c>
      <c r="H551" s="16">
        <f t="shared" si="8"/>
        <v>45667</v>
      </c>
      <c r="J551" s="2"/>
    </row>
    <row r="552" spans="1:10" x14ac:dyDescent="0.25">
      <c r="A552" s="8" t="s">
        <v>567</v>
      </c>
      <c r="B552" s="8" t="s">
        <v>530</v>
      </c>
      <c r="C552" s="8" t="s">
        <v>91</v>
      </c>
      <c r="D552" s="10">
        <v>45658</v>
      </c>
      <c r="E552" s="9">
        <v>40176</v>
      </c>
      <c r="F552" s="2" t="str">
        <f>INDEX(Vendors!E:E,MATCH(Vendor_Analysis!C552,Vendors!A:A,0))</f>
        <v xml:space="preserve">60 </v>
      </c>
      <c r="G552" s="2">
        <v>60</v>
      </c>
      <c r="H552" s="16">
        <f t="shared" si="8"/>
        <v>45718</v>
      </c>
      <c r="J552" s="2"/>
    </row>
    <row r="553" spans="1:10" x14ac:dyDescent="0.25">
      <c r="A553" s="8" t="s">
        <v>568</v>
      </c>
      <c r="B553" s="8" t="s">
        <v>530</v>
      </c>
      <c r="C553" s="8" t="s">
        <v>6</v>
      </c>
      <c r="D553" s="10">
        <v>45663</v>
      </c>
      <c r="E553" s="9">
        <v>78901</v>
      </c>
      <c r="F553" s="2" t="str">
        <f>INDEX(Vendors!E:E,MATCH(Vendor_Analysis!C553,Vendors!A:A,0))</f>
        <v xml:space="preserve">60 </v>
      </c>
      <c r="G553" s="2">
        <v>60</v>
      </c>
      <c r="H553" s="16">
        <f t="shared" si="8"/>
        <v>45723</v>
      </c>
      <c r="J553" s="2"/>
    </row>
    <row r="554" spans="1:10" x14ac:dyDescent="0.25">
      <c r="A554" s="8" t="s">
        <v>569</v>
      </c>
      <c r="B554" s="8" t="s">
        <v>530</v>
      </c>
      <c r="C554" s="8" t="s">
        <v>23</v>
      </c>
      <c r="D554" s="10">
        <v>45682</v>
      </c>
      <c r="E554" s="9">
        <v>76566</v>
      </c>
      <c r="F554" s="2" t="str">
        <f>INDEX(Vendors!E:E,MATCH(Vendor_Analysis!C554,Vendors!A:A,0))</f>
        <v xml:space="preserve"> 90</v>
      </c>
      <c r="G554" s="2">
        <v>90</v>
      </c>
      <c r="H554" s="16">
        <f t="shared" si="8"/>
        <v>45772</v>
      </c>
      <c r="J554" s="2"/>
    </row>
    <row r="555" spans="1:10" x14ac:dyDescent="0.25">
      <c r="A555" s="8" t="s">
        <v>570</v>
      </c>
      <c r="B555" s="8" t="s">
        <v>530</v>
      </c>
      <c r="C555" s="8" t="s">
        <v>12</v>
      </c>
      <c r="D555" s="10">
        <v>45708</v>
      </c>
      <c r="E555" s="9">
        <v>207649</v>
      </c>
      <c r="F555" s="2" t="str">
        <f>INDEX(Vendors!E:E,MATCH(Vendor_Analysis!C555,Vendors!A:A,0))</f>
        <v xml:space="preserve">30 </v>
      </c>
      <c r="G555" s="2">
        <v>30</v>
      </c>
      <c r="H555" s="16">
        <f t="shared" si="8"/>
        <v>45738</v>
      </c>
      <c r="J555" s="2"/>
    </row>
    <row r="556" spans="1:10" x14ac:dyDescent="0.25">
      <c r="A556" s="8" t="s">
        <v>571</v>
      </c>
      <c r="B556" s="8" t="s">
        <v>530</v>
      </c>
      <c r="C556" s="8" t="s">
        <v>12</v>
      </c>
      <c r="D556" s="10">
        <v>45708</v>
      </c>
      <c r="E556" s="9">
        <v>371223</v>
      </c>
      <c r="F556" s="2" t="str">
        <f>INDEX(Vendors!E:E,MATCH(Vendor_Analysis!C556,Vendors!A:A,0))</f>
        <v xml:space="preserve">30 </v>
      </c>
      <c r="G556" s="2">
        <v>30</v>
      </c>
      <c r="H556" s="16">
        <f t="shared" si="8"/>
        <v>45738</v>
      </c>
      <c r="J556" s="2"/>
    </row>
    <row r="557" spans="1:10" x14ac:dyDescent="0.25">
      <c r="A557" s="8" t="s">
        <v>572</v>
      </c>
      <c r="B557" s="8" t="s">
        <v>530</v>
      </c>
      <c r="C557" s="8" t="s">
        <v>108</v>
      </c>
      <c r="D557" s="10">
        <v>45714</v>
      </c>
      <c r="E557" s="9">
        <v>73380</v>
      </c>
      <c r="F557" s="2" t="str">
        <f>INDEX(Vendors!E:E,MATCH(Vendor_Analysis!C557,Vendors!A:A,0))</f>
        <v xml:space="preserve"> 90</v>
      </c>
      <c r="G557" s="2">
        <v>90</v>
      </c>
      <c r="H557" s="16">
        <f t="shared" si="8"/>
        <v>45804</v>
      </c>
      <c r="J557" s="2"/>
    </row>
    <row r="558" spans="1:10" x14ac:dyDescent="0.25">
      <c r="A558" s="8" t="s">
        <v>573</v>
      </c>
      <c r="B558" s="8" t="s">
        <v>530</v>
      </c>
      <c r="C558" s="8" t="s">
        <v>21</v>
      </c>
      <c r="D558" s="10">
        <v>45720</v>
      </c>
      <c r="E558" s="9">
        <v>104724</v>
      </c>
      <c r="F558" s="2" t="str">
        <f>INDEX(Vendors!E:E,MATCH(Vendor_Analysis!C558,Vendors!A:A,0))</f>
        <v xml:space="preserve"> 90</v>
      </c>
      <c r="G558" s="2">
        <v>90</v>
      </c>
      <c r="H558" s="16">
        <f t="shared" si="8"/>
        <v>45810</v>
      </c>
      <c r="J558" s="2"/>
    </row>
    <row r="559" spans="1:10" x14ac:dyDescent="0.25">
      <c r="A559" s="8" t="s">
        <v>574</v>
      </c>
      <c r="B559" s="8" t="s">
        <v>530</v>
      </c>
      <c r="C559" s="8" t="s">
        <v>10</v>
      </c>
      <c r="D559" s="10">
        <v>45728</v>
      </c>
      <c r="E559" s="9">
        <v>72539</v>
      </c>
      <c r="F559" s="2" t="str">
        <f>INDEX(Vendors!E:E,MATCH(Vendor_Analysis!C559,Vendors!A:A,0))</f>
        <v xml:space="preserve">60 </v>
      </c>
      <c r="G559" s="2">
        <v>60</v>
      </c>
      <c r="H559" s="16">
        <f t="shared" si="8"/>
        <v>45788</v>
      </c>
      <c r="J559" s="2"/>
    </row>
    <row r="560" spans="1:10" x14ac:dyDescent="0.25">
      <c r="A560" s="8" t="s">
        <v>575</v>
      </c>
      <c r="B560" s="8" t="s">
        <v>530</v>
      </c>
      <c r="C560" s="8" t="s">
        <v>110</v>
      </c>
      <c r="D560" s="10">
        <v>45760</v>
      </c>
      <c r="E560" s="9">
        <v>100022</v>
      </c>
      <c r="F560" s="2" t="str">
        <f>INDEX(Vendors!E:E,MATCH(Vendor_Analysis!C560,Vendors!A:A,0))</f>
        <v xml:space="preserve">30 </v>
      </c>
      <c r="G560" s="2">
        <v>30</v>
      </c>
      <c r="H560" s="16">
        <f t="shared" si="8"/>
        <v>45790</v>
      </c>
      <c r="J560" s="2"/>
    </row>
    <row r="561" spans="1:10" x14ac:dyDescent="0.25">
      <c r="A561" s="8" t="s">
        <v>576</v>
      </c>
      <c r="B561" s="8" t="s">
        <v>530</v>
      </c>
      <c r="C561" s="8" t="s">
        <v>71</v>
      </c>
      <c r="D561" s="10">
        <v>45762</v>
      </c>
      <c r="E561" s="9">
        <v>105782</v>
      </c>
      <c r="F561" s="2" t="str">
        <f>INDEX(Vendors!E:E,MATCH(Vendor_Analysis!C561,Vendors!A:A,0))</f>
        <v xml:space="preserve">45 </v>
      </c>
      <c r="G561" s="2">
        <v>45</v>
      </c>
      <c r="H561" s="16">
        <f t="shared" si="8"/>
        <v>45807</v>
      </c>
      <c r="J561" s="2"/>
    </row>
    <row r="562" spans="1:10" x14ac:dyDescent="0.25">
      <c r="A562" s="8" t="s">
        <v>577</v>
      </c>
      <c r="B562" s="8" t="s">
        <v>530</v>
      </c>
      <c r="C562" s="8" t="s">
        <v>8</v>
      </c>
      <c r="D562" s="10">
        <v>45771</v>
      </c>
      <c r="E562" s="9">
        <v>66546</v>
      </c>
      <c r="F562" s="2" t="str">
        <f>INDEX(Vendors!E:E,MATCH(Vendor_Analysis!C562,Vendors!A:A,0))</f>
        <v xml:space="preserve">60 </v>
      </c>
      <c r="G562" s="2">
        <v>60</v>
      </c>
      <c r="H562" s="16">
        <f t="shared" si="8"/>
        <v>45831</v>
      </c>
      <c r="J562" s="2"/>
    </row>
    <row r="563" spans="1:10" x14ac:dyDescent="0.25">
      <c r="A563" s="8" t="s">
        <v>578</v>
      </c>
      <c r="B563" s="8" t="s">
        <v>530</v>
      </c>
      <c r="C563" s="8" t="s">
        <v>17</v>
      </c>
      <c r="D563" s="10">
        <v>45775</v>
      </c>
      <c r="E563" s="9">
        <v>58598</v>
      </c>
      <c r="F563" s="2" t="str">
        <f>INDEX(Vendors!E:E,MATCH(Vendor_Analysis!C563,Vendors!A:A,0))</f>
        <v xml:space="preserve">45 </v>
      </c>
      <c r="G563" s="2">
        <v>45</v>
      </c>
      <c r="H563" s="16">
        <f t="shared" si="8"/>
        <v>45820</v>
      </c>
      <c r="J563" s="2"/>
    </row>
    <row r="564" spans="1:10" x14ac:dyDescent="0.25">
      <c r="A564" s="8" t="s">
        <v>579</v>
      </c>
      <c r="B564" s="8" t="s">
        <v>530</v>
      </c>
      <c r="C564" s="8" t="s">
        <v>8</v>
      </c>
      <c r="D564" s="10">
        <v>45797</v>
      </c>
      <c r="E564" s="9">
        <v>40714</v>
      </c>
      <c r="F564" s="2" t="str">
        <f>INDEX(Vendors!E:E,MATCH(Vendor_Analysis!C564,Vendors!A:A,0))</f>
        <v xml:space="preserve">60 </v>
      </c>
      <c r="G564" s="2">
        <v>60</v>
      </c>
      <c r="H564" s="16">
        <f t="shared" si="8"/>
        <v>45857</v>
      </c>
      <c r="J564" s="2"/>
    </row>
    <row r="565" spans="1:10" x14ac:dyDescent="0.25">
      <c r="A565" s="8" t="s">
        <v>580</v>
      </c>
      <c r="B565" s="8" t="s">
        <v>530</v>
      </c>
      <c r="C565" s="8" t="s">
        <v>73</v>
      </c>
      <c r="D565" s="10">
        <v>45811</v>
      </c>
      <c r="E565" s="9">
        <v>64018</v>
      </c>
      <c r="F565" s="2" t="str">
        <f>INDEX(Vendors!E:E,MATCH(Vendor_Analysis!C565,Vendors!A:A,0))</f>
        <v xml:space="preserve">60 </v>
      </c>
      <c r="G565" s="2">
        <v>60</v>
      </c>
      <c r="H565" s="16">
        <f t="shared" si="8"/>
        <v>45871</v>
      </c>
      <c r="J565" s="2"/>
    </row>
    <row r="566" spans="1:10" x14ac:dyDescent="0.25">
      <c r="A566" s="8" t="s">
        <v>581</v>
      </c>
      <c r="B566" s="8" t="s">
        <v>530</v>
      </c>
      <c r="C566" s="8" t="s">
        <v>110</v>
      </c>
      <c r="D566" s="10">
        <v>45816</v>
      </c>
      <c r="E566" s="9">
        <v>108510</v>
      </c>
      <c r="F566" s="2" t="str">
        <f>INDEX(Vendors!E:E,MATCH(Vendor_Analysis!C566,Vendors!A:A,0))</f>
        <v xml:space="preserve">30 </v>
      </c>
      <c r="G566" s="2">
        <v>30</v>
      </c>
      <c r="H566" s="16">
        <f t="shared" si="8"/>
        <v>45846</v>
      </c>
      <c r="J566" s="2"/>
    </row>
    <row r="567" spans="1:10" x14ac:dyDescent="0.25">
      <c r="A567" s="8" t="s">
        <v>582</v>
      </c>
      <c r="B567" s="8" t="s">
        <v>530</v>
      </c>
      <c r="C567" s="8" t="s">
        <v>35</v>
      </c>
      <c r="D567" s="10">
        <v>45823</v>
      </c>
      <c r="E567" s="9">
        <v>100229</v>
      </c>
      <c r="F567" s="2" t="str">
        <f>INDEX(Vendors!E:E,MATCH(Vendor_Analysis!C567,Vendors!A:A,0))</f>
        <v xml:space="preserve">60 </v>
      </c>
      <c r="G567" s="2">
        <v>60</v>
      </c>
      <c r="H567" s="16">
        <f t="shared" si="8"/>
        <v>45883</v>
      </c>
      <c r="J567" s="2"/>
    </row>
    <row r="568" spans="1:10" x14ac:dyDescent="0.25">
      <c r="A568" s="8" t="s">
        <v>583</v>
      </c>
      <c r="B568" s="8" t="s">
        <v>530</v>
      </c>
      <c r="C568" s="8" t="s">
        <v>19</v>
      </c>
      <c r="D568" s="10">
        <v>45825</v>
      </c>
      <c r="E568" s="9">
        <v>83829</v>
      </c>
      <c r="F568" s="2" t="str">
        <f>INDEX(Vendors!E:E,MATCH(Vendor_Analysis!C568,Vendors!A:A,0))</f>
        <v xml:space="preserve">45 </v>
      </c>
      <c r="G568" s="2">
        <v>45</v>
      </c>
      <c r="H568" s="16">
        <f t="shared" si="8"/>
        <v>45870</v>
      </c>
      <c r="J568" s="2"/>
    </row>
    <row r="569" spans="1:10" x14ac:dyDescent="0.25">
      <c r="A569" s="8" t="s">
        <v>584</v>
      </c>
      <c r="B569" s="8" t="s">
        <v>530</v>
      </c>
      <c r="C569" s="8" t="s">
        <v>14</v>
      </c>
      <c r="D569" s="10">
        <v>45833</v>
      </c>
      <c r="E569" s="9">
        <v>84516</v>
      </c>
      <c r="F569" s="2" t="str">
        <f>INDEX(Vendors!E:E,MATCH(Vendor_Analysis!C569,Vendors!A:A,0))</f>
        <v xml:space="preserve"> 90</v>
      </c>
      <c r="G569" s="2">
        <v>90</v>
      </c>
      <c r="H569" s="16">
        <f t="shared" si="8"/>
        <v>45923</v>
      </c>
      <c r="J569" s="2"/>
    </row>
    <row r="570" spans="1:10" x14ac:dyDescent="0.25">
      <c r="A570" s="8" t="s">
        <v>585</v>
      </c>
      <c r="B570" s="8" t="s">
        <v>530</v>
      </c>
      <c r="C570" s="8" t="s">
        <v>91</v>
      </c>
      <c r="D570" s="10">
        <v>45849</v>
      </c>
      <c r="E570" s="9">
        <v>68013</v>
      </c>
      <c r="F570" s="2" t="str">
        <f>INDEX(Vendors!E:E,MATCH(Vendor_Analysis!C570,Vendors!A:A,0))</f>
        <v xml:space="preserve">60 </v>
      </c>
      <c r="G570" s="2">
        <v>60</v>
      </c>
      <c r="H570" s="16">
        <f t="shared" si="8"/>
        <v>45909</v>
      </c>
      <c r="J570" s="2"/>
    </row>
    <row r="571" spans="1:10" x14ac:dyDescent="0.25">
      <c r="A571" s="8" t="s">
        <v>586</v>
      </c>
      <c r="B571" s="8" t="s">
        <v>530</v>
      </c>
      <c r="C571" s="8" t="s">
        <v>109</v>
      </c>
      <c r="D571" s="10">
        <v>45877</v>
      </c>
      <c r="E571" s="9">
        <v>88501</v>
      </c>
      <c r="F571" s="2" t="str">
        <f>INDEX(Vendors!E:E,MATCH(Vendor_Analysis!C571,Vendors!A:A,0))</f>
        <v xml:space="preserve">30 </v>
      </c>
      <c r="G571" s="2">
        <v>30</v>
      </c>
      <c r="H571" s="16">
        <f t="shared" si="8"/>
        <v>45907</v>
      </c>
      <c r="J571" s="2"/>
    </row>
    <row r="572" spans="1:10" x14ac:dyDescent="0.25">
      <c r="A572" s="8" t="s">
        <v>587</v>
      </c>
      <c r="B572" s="8" t="s">
        <v>530</v>
      </c>
      <c r="C572" s="8" t="s">
        <v>55</v>
      </c>
      <c r="D572" s="10">
        <v>45877</v>
      </c>
      <c r="E572" s="9">
        <v>48319</v>
      </c>
      <c r="F572" s="2" t="str">
        <f>INDEX(Vendors!E:E,MATCH(Vendor_Analysis!C572,Vendors!A:A,0))</f>
        <v xml:space="preserve">30 </v>
      </c>
      <c r="G572" s="2">
        <v>30</v>
      </c>
      <c r="H572" s="16">
        <f t="shared" si="8"/>
        <v>45907</v>
      </c>
      <c r="J572" s="2"/>
    </row>
    <row r="573" spans="1:10" x14ac:dyDescent="0.25">
      <c r="A573" s="8" t="s">
        <v>588</v>
      </c>
      <c r="B573" s="8" t="s">
        <v>530</v>
      </c>
      <c r="C573" s="8" t="s">
        <v>110</v>
      </c>
      <c r="D573" s="10">
        <v>45897</v>
      </c>
      <c r="E573" s="9">
        <v>112336</v>
      </c>
      <c r="F573" s="2" t="str">
        <f>INDEX(Vendors!E:E,MATCH(Vendor_Analysis!C573,Vendors!A:A,0))</f>
        <v xml:space="preserve">30 </v>
      </c>
      <c r="G573" s="2">
        <v>30</v>
      </c>
      <c r="H573" s="16">
        <f t="shared" si="8"/>
        <v>45927</v>
      </c>
      <c r="J573" s="2"/>
    </row>
    <row r="574" spans="1:10" x14ac:dyDescent="0.25">
      <c r="A574" s="8" t="s">
        <v>589</v>
      </c>
      <c r="B574" s="8" t="s">
        <v>530</v>
      </c>
      <c r="C574" s="8" t="s">
        <v>14</v>
      </c>
      <c r="D574" s="10">
        <v>45898</v>
      </c>
      <c r="E574" s="9">
        <v>45706</v>
      </c>
      <c r="F574" s="2" t="str">
        <f>INDEX(Vendors!E:E,MATCH(Vendor_Analysis!C574,Vendors!A:A,0))</f>
        <v xml:space="preserve"> 90</v>
      </c>
      <c r="G574" s="2">
        <v>90</v>
      </c>
      <c r="H574" s="16">
        <f t="shared" si="8"/>
        <v>45988</v>
      </c>
      <c r="J574" s="2"/>
    </row>
    <row r="575" spans="1:10" x14ac:dyDescent="0.25">
      <c r="A575" s="8" t="s">
        <v>590</v>
      </c>
      <c r="B575" s="8" t="s">
        <v>591</v>
      </c>
      <c r="C575" s="8" t="s">
        <v>44</v>
      </c>
      <c r="D575" s="10">
        <v>45237</v>
      </c>
      <c r="E575" s="9">
        <v>168095</v>
      </c>
      <c r="F575" s="2" t="str">
        <f>INDEX(Vendors!E:E,MATCH(Vendor_Analysis!C575,Vendors!A:A,0))</f>
        <v xml:space="preserve">45 </v>
      </c>
      <c r="G575" s="2">
        <v>45</v>
      </c>
      <c r="H575" s="16">
        <f t="shared" si="8"/>
        <v>45282</v>
      </c>
      <c r="J575" s="2"/>
    </row>
    <row r="576" spans="1:10" x14ac:dyDescent="0.25">
      <c r="A576" s="8" t="s">
        <v>592</v>
      </c>
      <c r="B576" s="8" t="s">
        <v>591</v>
      </c>
      <c r="C576" s="8" t="s">
        <v>50</v>
      </c>
      <c r="D576" s="10">
        <v>45248</v>
      </c>
      <c r="E576" s="9">
        <v>159935</v>
      </c>
      <c r="F576" s="2" t="str">
        <f>INDEX(Vendors!E:E,MATCH(Vendor_Analysis!C576,Vendors!A:A,0))</f>
        <v xml:space="preserve"> 90</v>
      </c>
      <c r="G576" s="2">
        <v>90</v>
      </c>
      <c r="H576" s="16">
        <f t="shared" si="8"/>
        <v>45338</v>
      </c>
      <c r="J576" s="2"/>
    </row>
    <row r="577" spans="1:10" x14ac:dyDescent="0.25">
      <c r="A577" s="8" t="s">
        <v>593</v>
      </c>
      <c r="B577" s="8" t="s">
        <v>591</v>
      </c>
      <c r="C577" s="8" t="s">
        <v>17</v>
      </c>
      <c r="D577" s="10">
        <v>45252</v>
      </c>
      <c r="E577" s="9">
        <v>238784</v>
      </c>
      <c r="F577" s="2" t="str">
        <f>INDEX(Vendors!E:E,MATCH(Vendor_Analysis!C577,Vendors!A:A,0))</f>
        <v xml:space="preserve">45 </v>
      </c>
      <c r="G577" s="2">
        <v>45</v>
      </c>
      <c r="H577" s="16">
        <f t="shared" si="8"/>
        <v>45297</v>
      </c>
      <c r="J577" s="2"/>
    </row>
    <row r="578" spans="1:10" x14ac:dyDescent="0.25">
      <c r="A578" s="8" t="s">
        <v>594</v>
      </c>
      <c r="B578" s="8" t="s">
        <v>591</v>
      </c>
      <c r="C578" s="8" t="s">
        <v>6</v>
      </c>
      <c r="D578" s="10">
        <v>45258</v>
      </c>
      <c r="E578" s="9">
        <v>215596</v>
      </c>
      <c r="F578" s="2" t="str">
        <f>INDEX(Vendors!E:E,MATCH(Vendor_Analysis!C578,Vendors!A:A,0))</f>
        <v xml:space="preserve">60 </v>
      </c>
      <c r="G578" s="2">
        <v>60</v>
      </c>
      <c r="H578" s="16">
        <f t="shared" si="8"/>
        <v>45318</v>
      </c>
      <c r="J578" s="2"/>
    </row>
    <row r="579" spans="1:10" x14ac:dyDescent="0.25">
      <c r="A579" s="8" t="s">
        <v>595</v>
      </c>
      <c r="B579" s="8" t="s">
        <v>591</v>
      </c>
      <c r="C579" s="8" t="s">
        <v>108</v>
      </c>
      <c r="D579" s="10">
        <v>45264</v>
      </c>
      <c r="E579" s="9">
        <v>219035</v>
      </c>
      <c r="F579" s="2" t="str">
        <f>INDEX(Vendors!E:E,MATCH(Vendor_Analysis!C579,Vendors!A:A,0))</f>
        <v xml:space="preserve"> 90</v>
      </c>
      <c r="G579" s="2">
        <v>90</v>
      </c>
      <c r="H579" s="16">
        <f t="shared" ref="H579:H642" si="9">D579+F579</f>
        <v>45354</v>
      </c>
      <c r="J579" s="2"/>
    </row>
    <row r="580" spans="1:10" x14ac:dyDescent="0.25">
      <c r="A580" s="8" t="s">
        <v>596</v>
      </c>
      <c r="B580" s="8" t="s">
        <v>591</v>
      </c>
      <c r="C580" s="8" t="s">
        <v>10</v>
      </c>
      <c r="D580" s="10">
        <v>45270</v>
      </c>
      <c r="E580" s="9">
        <v>205674</v>
      </c>
      <c r="F580" s="2" t="str">
        <f>INDEX(Vendors!E:E,MATCH(Vendor_Analysis!C580,Vendors!A:A,0))</f>
        <v xml:space="preserve">60 </v>
      </c>
      <c r="G580" s="2">
        <v>60</v>
      </c>
      <c r="H580" s="16">
        <f t="shared" si="9"/>
        <v>45330</v>
      </c>
      <c r="J580" s="2"/>
    </row>
    <row r="581" spans="1:10" x14ac:dyDescent="0.25">
      <c r="A581" s="8" t="s">
        <v>597</v>
      </c>
      <c r="B581" s="8" t="s">
        <v>591</v>
      </c>
      <c r="C581" s="8" t="s">
        <v>35</v>
      </c>
      <c r="D581" s="10">
        <v>45272</v>
      </c>
      <c r="E581" s="9">
        <v>120772</v>
      </c>
      <c r="F581" s="2" t="str">
        <f>INDEX(Vendors!E:E,MATCH(Vendor_Analysis!C581,Vendors!A:A,0))</f>
        <v xml:space="preserve">60 </v>
      </c>
      <c r="G581" s="2">
        <v>60</v>
      </c>
      <c r="H581" s="16">
        <f t="shared" si="9"/>
        <v>45332</v>
      </c>
      <c r="J581" s="2"/>
    </row>
    <row r="582" spans="1:10" x14ac:dyDescent="0.25">
      <c r="A582" s="8" t="s">
        <v>598</v>
      </c>
      <c r="B582" s="8" t="s">
        <v>591</v>
      </c>
      <c r="C582" s="8" t="s">
        <v>23</v>
      </c>
      <c r="D582" s="10">
        <v>45273</v>
      </c>
      <c r="E582" s="9">
        <v>171134</v>
      </c>
      <c r="F582" s="2" t="str">
        <f>INDEX(Vendors!E:E,MATCH(Vendor_Analysis!C582,Vendors!A:A,0))</f>
        <v xml:space="preserve"> 90</v>
      </c>
      <c r="G582" s="2">
        <v>90</v>
      </c>
      <c r="H582" s="16">
        <f t="shared" si="9"/>
        <v>45363</v>
      </c>
      <c r="J582" s="2"/>
    </row>
    <row r="583" spans="1:10" x14ac:dyDescent="0.25">
      <c r="A583" s="8" t="s">
        <v>599</v>
      </c>
      <c r="B583" s="8" t="s">
        <v>591</v>
      </c>
      <c r="C583" s="8" t="s">
        <v>71</v>
      </c>
      <c r="D583" s="10">
        <v>45281</v>
      </c>
      <c r="E583" s="9">
        <v>188085</v>
      </c>
      <c r="F583" s="2" t="str">
        <f>INDEX(Vendors!E:E,MATCH(Vendor_Analysis!C583,Vendors!A:A,0))</f>
        <v xml:space="preserve">45 </v>
      </c>
      <c r="G583" s="2">
        <v>45</v>
      </c>
      <c r="H583" s="16">
        <f t="shared" si="9"/>
        <v>45326</v>
      </c>
      <c r="J583" s="2"/>
    </row>
    <row r="584" spans="1:10" x14ac:dyDescent="0.25">
      <c r="A584" s="8" t="s">
        <v>600</v>
      </c>
      <c r="B584" s="8" t="s">
        <v>591</v>
      </c>
      <c r="C584" s="8" t="s">
        <v>6</v>
      </c>
      <c r="D584" s="10">
        <v>45287</v>
      </c>
      <c r="E584" s="9">
        <v>96639</v>
      </c>
      <c r="F584" s="2" t="str">
        <f>INDEX(Vendors!E:E,MATCH(Vendor_Analysis!C584,Vendors!A:A,0))</f>
        <v xml:space="preserve">60 </v>
      </c>
      <c r="G584" s="2">
        <v>60</v>
      </c>
      <c r="H584" s="16">
        <f t="shared" si="9"/>
        <v>45347</v>
      </c>
      <c r="J584" s="2"/>
    </row>
    <row r="585" spans="1:10" x14ac:dyDescent="0.25">
      <c r="A585" s="8" t="s">
        <v>601</v>
      </c>
      <c r="B585" s="8" t="s">
        <v>591</v>
      </c>
      <c r="C585" s="8" t="s">
        <v>21</v>
      </c>
      <c r="D585" s="10">
        <v>45291</v>
      </c>
      <c r="E585" s="9">
        <v>151672</v>
      </c>
      <c r="F585" s="2" t="str">
        <f>INDEX(Vendors!E:E,MATCH(Vendor_Analysis!C585,Vendors!A:A,0))</f>
        <v xml:space="preserve"> 90</v>
      </c>
      <c r="G585" s="2">
        <v>90</v>
      </c>
      <c r="H585" s="16">
        <f t="shared" si="9"/>
        <v>45381</v>
      </c>
      <c r="J585" s="2"/>
    </row>
    <row r="586" spans="1:10" x14ac:dyDescent="0.25">
      <c r="A586" s="8" t="s">
        <v>602</v>
      </c>
      <c r="B586" s="8" t="s">
        <v>591</v>
      </c>
      <c r="C586" s="8" t="s">
        <v>23</v>
      </c>
      <c r="D586" s="10">
        <v>45303</v>
      </c>
      <c r="E586" s="9">
        <v>123261</v>
      </c>
      <c r="F586" s="2" t="str">
        <f>INDEX(Vendors!E:E,MATCH(Vendor_Analysis!C586,Vendors!A:A,0))</f>
        <v xml:space="preserve"> 90</v>
      </c>
      <c r="G586" s="2">
        <v>90</v>
      </c>
      <c r="H586" s="16">
        <f t="shared" si="9"/>
        <v>45393</v>
      </c>
      <c r="J586" s="2"/>
    </row>
    <row r="587" spans="1:10" x14ac:dyDescent="0.25">
      <c r="A587" s="8" t="s">
        <v>603</v>
      </c>
      <c r="B587" s="8" t="s">
        <v>591</v>
      </c>
      <c r="C587" s="8" t="s">
        <v>14</v>
      </c>
      <c r="D587" s="10">
        <v>45311</v>
      </c>
      <c r="E587" s="9">
        <v>844085</v>
      </c>
      <c r="F587" s="2" t="str">
        <f>INDEX(Vendors!E:E,MATCH(Vendor_Analysis!C587,Vendors!A:A,0))</f>
        <v xml:space="preserve"> 90</v>
      </c>
      <c r="G587" s="2">
        <v>90</v>
      </c>
      <c r="H587" s="16">
        <f t="shared" si="9"/>
        <v>45401</v>
      </c>
      <c r="J587" s="2"/>
    </row>
    <row r="588" spans="1:10" x14ac:dyDescent="0.25">
      <c r="A588" s="8" t="s">
        <v>604</v>
      </c>
      <c r="B588" s="8" t="s">
        <v>591</v>
      </c>
      <c r="C588" s="8" t="s">
        <v>108</v>
      </c>
      <c r="D588" s="10">
        <v>45339</v>
      </c>
      <c r="E588" s="9">
        <v>117506</v>
      </c>
      <c r="F588" s="2" t="str">
        <f>INDEX(Vendors!E:E,MATCH(Vendor_Analysis!C588,Vendors!A:A,0))</f>
        <v xml:space="preserve"> 90</v>
      </c>
      <c r="G588" s="2">
        <v>90</v>
      </c>
      <c r="H588" s="16">
        <f t="shared" si="9"/>
        <v>45429</v>
      </c>
      <c r="J588" s="2"/>
    </row>
    <row r="589" spans="1:10" x14ac:dyDescent="0.25">
      <c r="A589" s="8" t="s">
        <v>605</v>
      </c>
      <c r="B589" s="8" t="s">
        <v>591</v>
      </c>
      <c r="C589" s="8" t="s">
        <v>55</v>
      </c>
      <c r="D589" s="10">
        <v>45344</v>
      </c>
      <c r="E589" s="9">
        <v>156151</v>
      </c>
      <c r="F589" s="2" t="str">
        <f>INDEX(Vendors!E:E,MATCH(Vendor_Analysis!C589,Vendors!A:A,0))</f>
        <v xml:space="preserve">30 </v>
      </c>
      <c r="G589" s="2">
        <v>30</v>
      </c>
      <c r="H589" s="16">
        <f t="shared" si="9"/>
        <v>45374</v>
      </c>
      <c r="J589" s="2"/>
    </row>
    <row r="590" spans="1:10" x14ac:dyDescent="0.25">
      <c r="A590" s="8" t="s">
        <v>606</v>
      </c>
      <c r="B590" s="8" t="s">
        <v>591</v>
      </c>
      <c r="C590" s="8" t="s">
        <v>21</v>
      </c>
      <c r="D590" s="10">
        <v>45346</v>
      </c>
      <c r="E590" s="9">
        <v>289737</v>
      </c>
      <c r="F590" s="2" t="str">
        <f>INDEX(Vendors!E:E,MATCH(Vendor_Analysis!C590,Vendors!A:A,0))</f>
        <v xml:space="preserve"> 90</v>
      </c>
      <c r="G590" s="2">
        <v>90</v>
      </c>
      <c r="H590" s="16">
        <f t="shared" si="9"/>
        <v>45436</v>
      </c>
      <c r="J590" s="2"/>
    </row>
    <row r="591" spans="1:10" x14ac:dyDescent="0.25">
      <c r="A591" s="8" t="s">
        <v>607</v>
      </c>
      <c r="B591" s="8" t="s">
        <v>591</v>
      </c>
      <c r="C591" s="8" t="s">
        <v>44</v>
      </c>
      <c r="D591" s="10">
        <v>45348</v>
      </c>
      <c r="E591" s="9">
        <v>234797</v>
      </c>
      <c r="F591" s="2" t="str">
        <f>INDEX(Vendors!E:E,MATCH(Vendor_Analysis!C591,Vendors!A:A,0))</f>
        <v xml:space="preserve">45 </v>
      </c>
      <c r="G591" s="2">
        <v>45</v>
      </c>
      <c r="H591" s="16">
        <f t="shared" si="9"/>
        <v>45393</v>
      </c>
      <c r="J591" s="2"/>
    </row>
    <row r="592" spans="1:10" x14ac:dyDescent="0.25">
      <c r="A592" s="8" t="s">
        <v>608</v>
      </c>
      <c r="B592" s="8" t="s">
        <v>591</v>
      </c>
      <c r="C592" s="8" t="s">
        <v>48</v>
      </c>
      <c r="D592" s="10">
        <v>45357</v>
      </c>
      <c r="E592" s="9">
        <v>226045</v>
      </c>
      <c r="F592" s="2" t="str">
        <f>INDEX(Vendors!E:E,MATCH(Vendor_Analysis!C592,Vendors!A:A,0))</f>
        <v xml:space="preserve"> 90</v>
      </c>
      <c r="G592" s="2">
        <v>90</v>
      </c>
      <c r="H592" s="16">
        <f t="shared" si="9"/>
        <v>45447</v>
      </c>
      <c r="J592" s="2"/>
    </row>
    <row r="593" spans="1:10" x14ac:dyDescent="0.25">
      <c r="A593" s="8" t="s">
        <v>609</v>
      </c>
      <c r="B593" s="8" t="s">
        <v>591</v>
      </c>
      <c r="C593" s="8" t="s">
        <v>50</v>
      </c>
      <c r="D593" s="10">
        <v>45367</v>
      </c>
      <c r="E593" s="9">
        <v>111437</v>
      </c>
      <c r="F593" s="2" t="str">
        <f>INDEX(Vendors!E:E,MATCH(Vendor_Analysis!C593,Vendors!A:A,0))</f>
        <v xml:space="preserve"> 90</v>
      </c>
      <c r="G593" s="2">
        <v>90</v>
      </c>
      <c r="H593" s="16">
        <f t="shared" si="9"/>
        <v>45457</v>
      </c>
      <c r="J593" s="2"/>
    </row>
    <row r="594" spans="1:10" x14ac:dyDescent="0.25">
      <c r="A594" s="8" t="s">
        <v>610</v>
      </c>
      <c r="B594" s="8" t="s">
        <v>591</v>
      </c>
      <c r="C594" s="8" t="s">
        <v>8</v>
      </c>
      <c r="D594" s="10">
        <v>45371</v>
      </c>
      <c r="E594" s="9">
        <v>207403</v>
      </c>
      <c r="F594" s="2" t="str">
        <f>INDEX(Vendors!E:E,MATCH(Vendor_Analysis!C594,Vendors!A:A,0))</f>
        <v xml:space="preserve">60 </v>
      </c>
      <c r="G594" s="2">
        <v>60</v>
      </c>
      <c r="H594" s="16">
        <f t="shared" si="9"/>
        <v>45431</v>
      </c>
      <c r="J594" s="2"/>
    </row>
    <row r="595" spans="1:10" x14ac:dyDescent="0.25">
      <c r="A595" s="8" t="s">
        <v>611</v>
      </c>
      <c r="B595" s="8" t="s">
        <v>591</v>
      </c>
      <c r="C595" s="8" t="s">
        <v>33</v>
      </c>
      <c r="D595" s="10">
        <v>45372</v>
      </c>
      <c r="E595" s="9">
        <v>272966</v>
      </c>
      <c r="F595" s="2" t="str">
        <f>INDEX(Vendors!E:E,MATCH(Vendor_Analysis!C595,Vendors!A:A,0))</f>
        <v xml:space="preserve">30 </v>
      </c>
      <c r="G595" s="2">
        <v>30</v>
      </c>
      <c r="H595" s="16">
        <f t="shared" si="9"/>
        <v>45402</v>
      </c>
      <c r="J595" s="2"/>
    </row>
    <row r="596" spans="1:10" x14ac:dyDescent="0.25">
      <c r="A596" s="8" t="s">
        <v>612</v>
      </c>
      <c r="B596" s="8" t="s">
        <v>591</v>
      </c>
      <c r="C596" s="8" t="s">
        <v>109</v>
      </c>
      <c r="D596" s="10">
        <v>45387</v>
      </c>
      <c r="E596" s="9">
        <v>183832</v>
      </c>
      <c r="F596" s="2" t="str">
        <f>INDEX(Vendors!E:E,MATCH(Vendor_Analysis!C596,Vendors!A:A,0))</f>
        <v xml:space="preserve">30 </v>
      </c>
      <c r="G596" s="2">
        <v>30</v>
      </c>
      <c r="H596" s="16">
        <f t="shared" si="9"/>
        <v>45417</v>
      </c>
      <c r="J596" s="2"/>
    </row>
    <row r="597" spans="1:10" x14ac:dyDescent="0.25">
      <c r="A597" s="8" t="s">
        <v>613</v>
      </c>
      <c r="B597" s="8" t="s">
        <v>591</v>
      </c>
      <c r="C597" s="8" t="s">
        <v>109</v>
      </c>
      <c r="D597" s="10">
        <v>45393</v>
      </c>
      <c r="E597" s="9">
        <v>294553</v>
      </c>
      <c r="F597" s="2" t="str">
        <f>INDEX(Vendors!E:E,MATCH(Vendor_Analysis!C597,Vendors!A:A,0))</f>
        <v xml:space="preserve">30 </v>
      </c>
      <c r="G597" s="2">
        <v>30</v>
      </c>
      <c r="H597" s="16">
        <f t="shared" si="9"/>
        <v>45423</v>
      </c>
      <c r="J597" s="2"/>
    </row>
    <row r="598" spans="1:10" x14ac:dyDescent="0.25">
      <c r="A598" s="8" t="s">
        <v>614</v>
      </c>
      <c r="B598" s="8" t="s">
        <v>591</v>
      </c>
      <c r="C598" s="8" t="s">
        <v>110</v>
      </c>
      <c r="D598" s="10">
        <v>45484</v>
      </c>
      <c r="E598" s="9">
        <v>259933</v>
      </c>
      <c r="F598" s="2" t="str">
        <f>INDEX(Vendors!E:E,MATCH(Vendor_Analysis!C598,Vendors!A:A,0))</f>
        <v xml:space="preserve">30 </v>
      </c>
      <c r="G598" s="2">
        <v>30</v>
      </c>
      <c r="H598" s="16">
        <f t="shared" si="9"/>
        <v>45514</v>
      </c>
      <c r="J598" s="2"/>
    </row>
    <row r="599" spans="1:10" x14ac:dyDescent="0.25">
      <c r="A599" s="8" t="s">
        <v>615</v>
      </c>
      <c r="B599" s="8" t="s">
        <v>591</v>
      </c>
      <c r="C599" s="8" t="s">
        <v>23</v>
      </c>
      <c r="D599" s="10">
        <v>45505</v>
      </c>
      <c r="E599" s="9">
        <v>117192</v>
      </c>
      <c r="F599" s="2" t="str">
        <f>INDEX(Vendors!E:E,MATCH(Vendor_Analysis!C599,Vendors!A:A,0))</f>
        <v xml:space="preserve"> 90</v>
      </c>
      <c r="G599" s="2">
        <v>90</v>
      </c>
      <c r="H599" s="16">
        <f t="shared" si="9"/>
        <v>45595</v>
      </c>
      <c r="J599" s="2"/>
    </row>
    <row r="600" spans="1:10" x14ac:dyDescent="0.25">
      <c r="A600" s="8" t="s">
        <v>616</v>
      </c>
      <c r="B600" s="8" t="s">
        <v>591</v>
      </c>
      <c r="C600" s="8" t="s">
        <v>25</v>
      </c>
      <c r="D600" s="10">
        <v>45512</v>
      </c>
      <c r="E600" s="9">
        <v>171289</v>
      </c>
      <c r="F600" s="2" t="str">
        <f>INDEX(Vendors!E:E,MATCH(Vendor_Analysis!C600,Vendors!A:A,0))</f>
        <v xml:space="preserve">30 </v>
      </c>
      <c r="G600" s="2">
        <v>30</v>
      </c>
      <c r="H600" s="16">
        <f t="shared" si="9"/>
        <v>45542</v>
      </c>
      <c r="J600" s="2"/>
    </row>
    <row r="601" spans="1:10" x14ac:dyDescent="0.25">
      <c r="A601" s="8" t="s">
        <v>617</v>
      </c>
      <c r="B601" s="8" t="s">
        <v>591</v>
      </c>
      <c r="C601" s="8" t="s">
        <v>29</v>
      </c>
      <c r="D601" s="10">
        <v>45518</v>
      </c>
      <c r="E601" s="9">
        <v>280861</v>
      </c>
      <c r="F601" s="2" t="str">
        <f>INDEX(Vendors!E:E,MATCH(Vendor_Analysis!C601,Vendors!A:A,0))</f>
        <v xml:space="preserve">30 </v>
      </c>
      <c r="G601" s="2">
        <v>30</v>
      </c>
      <c r="H601" s="16">
        <f t="shared" si="9"/>
        <v>45548</v>
      </c>
      <c r="J601" s="2"/>
    </row>
    <row r="602" spans="1:10" x14ac:dyDescent="0.25">
      <c r="A602" s="8" t="s">
        <v>618</v>
      </c>
      <c r="B602" s="8" t="s">
        <v>591</v>
      </c>
      <c r="C602" s="8" t="s">
        <v>25</v>
      </c>
      <c r="D602" s="10">
        <v>45525</v>
      </c>
      <c r="E602" s="9">
        <v>117169</v>
      </c>
      <c r="F602" s="2" t="str">
        <f>INDEX(Vendors!E:E,MATCH(Vendor_Analysis!C602,Vendors!A:A,0))</f>
        <v xml:space="preserve">30 </v>
      </c>
      <c r="G602" s="2">
        <v>30</v>
      </c>
      <c r="H602" s="16">
        <f t="shared" si="9"/>
        <v>45555</v>
      </c>
      <c r="J602" s="2"/>
    </row>
    <row r="603" spans="1:10" x14ac:dyDescent="0.25">
      <c r="A603" s="8" t="s">
        <v>619</v>
      </c>
      <c r="B603" s="8" t="s">
        <v>591</v>
      </c>
      <c r="C603" s="8" t="s">
        <v>110</v>
      </c>
      <c r="D603" s="10">
        <v>45537</v>
      </c>
      <c r="E603" s="9">
        <v>124636</v>
      </c>
      <c r="F603" s="2" t="str">
        <f>INDEX(Vendors!E:E,MATCH(Vendor_Analysis!C603,Vendors!A:A,0))</f>
        <v xml:space="preserve">30 </v>
      </c>
      <c r="G603" s="2">
        <v>30</v>
      </c>
      <c r="H603" s="16">
        <f t="shared" si="9"/>
        <v>45567</v>
      </c>
      <c r="J603" s="2"/>
    </row>
    <row r="604" spans="1:10" x14ac:dyDescent="0.25">
      <c r="A604" s="8" t="s">
        <v>620</v>
      </c>
      <c r="B604" s="8" t="s">
        <v>591</v>
      </c>
      <c r="C604" s="8" t="s">
        <v>21</v>
      </c>
      <c r="D604" s="10">
        <v>45541</v>
      </c>
      <c r="E604" s="9">
        <v>103399</v>
      </c>
      <c r="F604" s="2" t="str">
        <f>INDEX(Vendors!E:E,MATCH(Vendor_Analysis!C604,Vendors!A:A,0))</f>
        <v xml:space="preserve"> 90</v>
      </c>
      <c r="G604" s="2">
        <v>90</v>
      </c>
      <c r="H604" s="16">
        <f t="shared" si="9"/>
        <v>45631</v>
      </c>
      <c r="J604" s="2"/>
    </row>
    <row r="605" spans="1:10" x14ac:dyDescent="0.25">
      <c r="A605" s="8" t="s">
        <v>621</v>
      </c>
      <c r="B605" s="8" t="s">
        <v>591</v>
      </c>
      <c r="C605" s="8" t="s">
        <v>73</v>
      </c>
      <c r="D605" s="10">
        <v>45542</v>
      </c>
      <c r="E605" s="9">
        <v>255753</v>
      </c>
      <c r="F605" s="2" t="str">
        <f>INDEX(Vendors!E:E,MATCH(Vendor_Analysis!C605,Vendors!A:A,0))</f>
        <v xml:space="preserve">60 </v>
      </c>
      <c r="G605" s="2">
        <v>60</v>
      </c>
      <c r="H605" s="16">
        <f t="shared" si="9"/>
        <v>45602</v>
      </c>
      <c r="J605" s="2"/>
    </row>
    <row r="606" spans="1:10" x14ac:dyDescent="0.25">
      <c r="A606" s="8" t="s">
        <v>622</v>
      </c>
      <c r="B606" s="8" t="s">
        <v>591</v>
      </c>
      <c r="C606" s="8" t="s">
        <v>21</v>
      </c>
      <c r="D606" s="10">
        <v>45546</v>
      </c>
      <c r="E606" s="9">
        <v>298388</v>
      </c>
      <c r="F606" s="2" t="str">
        <f>INDEX(Vendors!E:E,MATCH(Vendor_Analysis!C606,Vendors!A:A,0))</f>
        <v xml:space="preserve"> 90</v>
      </c>
      <c r="G606" s="2">
        <v>90</v>
      </c>
      <c r="H606" s="16">
        <f t="shared" si="9"/>
        <v>45636</v>
      </c>
      <c r="J606" s="2"/>
    </row>
    <row r="607" spans="1:10" x14ac:dyDescent="0.25">
      <c r="A607" s="8" t="s">
        <v>623</v>
      </c>
      <c r="B607" s="8" t="s">
        <v>591</v>
      </c>
      <c r="C607" s="8" t="s">
        <v>73</v>
      </c>
      <c r="D607" s="10">
        <v>45552</v>
      </c>
      <c r="E607" s="9">
        <v>267830</v>
      </c>
      <c r="F607" s="2" t="str">
        <f>INDEX(Vendors!E:E,MATCH(Vendor_Analysis!C607,Vendors!A:A,0))</f>
        <v xml:space="preserve">60 </v>
      </c>
      <c r="G607" s="2">
        <v>60</v>
      </c>
      <c r="H607" s="16">
        <f t="shared" si="9"/>
        <v>45612</v>
      </c>
      <c r="J607" s="2"/>
    </row>
    <row r="608" spans="1:10" x14ac:dyDescent="0.25">
      <c r="A608" s="8" t="s">
        <v>624</v>
      </c>
      <c r="B608" s="8" t="s">
        <v>591</v>
      </c>
      <c r="C608" s="8" t="s">
        <v>12</v>
      </c>
      <c r="D608" s="10">
        <v>45565</v>
      </c>
      <c r="E608" s="9">
        <v>164328</v>
      </c>
      <c r="F608" s="2" t="str">
        <f>INDEX(Vendors!E:E,MATCH(Vendor_Analysis!C608,Vendors!A:A,0))</f>
        <v xml:space="preserve">30 </v>
      </c>
      <c r="G608" s="2">
        <v>30</v>
      </c>
      <c r="H608" s="16">
        <f t="shared" si="9"/>
        <v>45595</v>
      </c>
      <c r="J608" s="2"/>
    </row>
    <row r="609" spans="1:10" x14ac:dyDescent="0.25">
      <c r="A609" s="8" t="s">
        <v>625</v>
      </c>
      <c r="B609" s="8" t="s">
        <v>591</v>
      </c>
      <c r="C609" s="8" t="s">
        <v>27</v>
      </c>
      <c r="D609" s="10">
        <v>45572</v>
      </c>
      <c r="E609" s="9">
        <v>183351</v>
      </c>
      <c r="F609" s="2" t="str">
        <f>INDEX(Vendors!E:E,MATCH(Vendor_Analysis!C609,Vendors!A:A,0))</f>
        <v xml:space="preserve">45 </v>
      </c>
      <c r="G609" s="2">
        <v>45</v>
      </c>
      <c r="H609" s="16">
        <f t="shared" si="9"/>
        <v>45617</v>
      </c>
      <c r="J609" s="2"/>
    </row>
    <row r="610" spans="1:10" x14ac:dyDescent="0.25">
      <c r="A610" s="8" t="s">
        <v>626</v>
      </c>
      <c r="B610" s="8" t="s">
        <v>591</v>
      </c>
      <c r="C610" s="8" t="s">
        <v>17</v>
      </c>
      <c r="D610" s="10">
        <v>45590</v>
      </c>
      <c r="E610" s="9">
        <v>234843</v>
      </c>
      <c r="F610" s="2" t="str">
        <f>INDEX(Vendors!E:E,MATCH(Vendor_Analysis!C610,Vendors!A:A,0))</f>
        <v xml:space="preserve">45 </v>
      </c>
      <c r="G610" s="2">
        <v>45</v>
      </c>
      <c r="H610" s="16">
        <f t="shared" si="9"/>
        <v>45635</v>
      </c>
      <c r="J610" s="2"/>
    </row>
    <row r="611" spans="1:10" x14ac:dyDescent="0.25">
      <c r="A611" s="8" t="s">
        <v>627</v>
      </c>
      <c r="B611" s="8" t="s">
        <v>591</v>
      </c>
      <c r="C611" s="8" t="s">
        <v>73</v>
      </c>
      <c r="D611" s="10">
        <v>45600</v>
      </c>
      <c r="E611" s="9">
        <v>557284</v>
      </c>
      <c r="F611" s="2" t="str">
        <f>INDEX(Vendors!E:E,MATCH(Vendor_Analysis!C611,Vendors!A:A,0))</f>
        <v xml:space="preserve">60 </v>
      </c>
      <c r="G611" s="2">
        <v>60</v>
      </c>
      <c r="H611" s="16">
        <f t="shared" si="9"/>
        <v>45660</v>
      </c>
      <c r="J611" s="2"/>
    </row>
    <row r="612" spans="1:10" x14ac:dyDescent="0.25">
      <c r="A612" s="8" t="s">
        <v>628</v>
      </c>
      <c r="B612" s="8" t="s">
        <v>591</v>
      </c>
      <c r="C612" s="8" t="s">
        <v>110</v>
      </c>
      <c r="D612" s="10">
        <v>45605</v>
      </c>
      <c r="E612" s="9">
        <v>116973</v>
      </c>
      <c r="F612" s="2" t="str">
        <f>INDEX(Vendors!E:E,MATCH(Vendor_Analysis!C612,Vendors!A:A,0))</f>
        <v xml:space="preserve">30 </v>
      </c>
      <c r="G612" s="2">
        <v>30</v>
      </c>
      <c r="H612" s="16">
        <f t="shared" si="9"/>
        <v>45635</v>
      </c>
      <c r="J612" s="2"/>
    </row>
    <row r="613" spans="1:10" x14ac:dyDescent="0.25">
      <c r="A613" s="8" t="s">
        <v>629</v>
      </c>
      <c r="B613" s="8" t="s">
        <v>591</v>
      </c>
      <c r="C613" s="8" t="s">
        <v>21</v>
      </c>
      <c r="D613" s="10">
        <v>45643</v>
      </c>
      <c r="E613" s="9">
        <v>129390</v>
      </c>
      <c r="F613" s="2" t="str">
        <f>INDEX(Vendors!E:E,MATCH(Vendor_Analysis!C613,Vendors!A:A,0))</f>
        <v xml:space="preserve"> 90</v>
      </c>
      <c r="G613" s="2">
        <v>90</v>
      </c>
      <c r="H613" s="16">
        <f t="shared" si="9"/>
        <v>45733</v>
      </c>
      <c r="J613" s="2"/>
    </row>
    <row r="614" spans="1:10" x14ac:dyDescent="0.25">
      <c r="A614" s="8" t="s">
        <v>630</v>
      </c>
      <c r="B614" s="8" t="s">
        <v>591</v>
      </c>
      <c r="C614" s="8" t="s">
        <v>8</v>
      </c>
      <c r="D614" s="10">
        <v>45654</v>
      </c>
      <c r="E614" s="9">
        <v>206284</v>
      </c>
      <c r="F614" s="2" t="str">
        <f>INDEX(Vendors!E:E,MATCH(Vendor_Analysis!C614,Vendors!A:A,0))</f>
        <v xml:space="preserve">60 </v>
      </c>
      <c r="G614" s="2">
        <v>60</v>
      </c>
      <c r="H614" s="16">
        <f t="shared" si="9"/>
        <v>45714</v>
      </c>
      <c r="J614" s="2"/>
    </row>
    <row r="615" spans="1:10" x14ac:dyDescent="0.25">
      <c r="A615" s="8" t="s">
        <v>631</v>
      </c>
      <c r="B615" s="8" t="s">
        <v>591</v>
      </c>
      <c r="C615" s="8" t="s">
        <v>50</v>
      </c>
      <c r="D615" s="10">
        <v>45657</v>
      </c>
      <c r="E615" s="9">
        <v>124654</v>
      </c>
      <c r="F615" s="2" t="str">
        <f>INDEX(Vendors!E:E,MATCH(Vendor_Analysis!C615,Vendors!A:A,0))</f>
        <v xml:space="preserve"> 90</v>
      </c>
      <c r="G615" s="2">
        <v>90</v>
      </c>
      <c r="H615" s="16">
        <f t="shared" si="9"/>
        <v>45747</v>
      </c>
      <c r="J615" s="2"/>
    </row>
    <row r="616" spans="1:10" x14ac:dyDescent="0.25">
      <c r="A616" s="8" t="s">
        <v>632</v>
      </c>
      <c r="B616" s="8" t="s">
        <v>591</v>
      </c>
      <c r="C616" s="8" t="s">
        <v>37</v>
      </c>
      <c r="D616" s="10">
        <v>45666</v>
      </c>
      <c r="E616" s="9">
        <v>213339</v>
      </c>
      <c r="F616" s="2" t="str">
        <f>INDEX(Vendors!E:E,MATCH(Vendor_Analysis!C616,Vendors!A:A,0))</f>
        <v xml:space="preserve">30 </v>
      </c>
      <c r="G616" s="2">
        <v>30</v>
      </c>
      <c r="H616" s="16">
        <f t="shared" si="9"/>
        <v>45696</v>
      </c>
      <c r="J616" s="2"/>
    </row>
    <row r="617" spans="1:10" x14ac:dyDescent="0.25">
      <c r="A617" s="8" t="s">
        <v>633</v>
      </c>
      <c r="B617" s="8" t="s">
        <v>591</v>
      </c>
      <c r="C617" s="8" t="s">
        <v>19</v>
      </c>
      <c r="D617" s="10">
        <v>45682</v>
      </c>
      <c r="E617" s="9">
        <v>170006</v>
      </c>
      <c r="F617" s="2" t="str">
        <f>INDEX(Vendors!E:E,MATCH(Vendor_Analysis!C617,Vendors!A:A,0))</f>
        <v xml:space="preserve">45 </v>
      </c>
      <c r="G617" s="2">
        <v>45</v>
      </c>
      <c r="H617" s="16">
        <f t="shared" si="9"/>
        <v>45727</v>
      </c>
      <c r="J617" s="2"/>
    </row>
    <row r="618" spans="1:10" x14ac:dyDescent="0.25">
      <c r="A618" s="8" t="s">
        <v>634</v>
      </c>
      <c r="B618" s="8" t="s">
        <v>591</v>
      </c>
      <c r="C618" s="8" t="s">
        <v>110</v>
      </c>
      <c r="D618" s="10">
        <v>45700</v>
      </c>
      <c r="E618" s="9">
        <v>90248</v>
      </c>
      <c r="F618" s="2" t="str">
        <f>INDEX(Vendors!E:E,MATCH(Vendor_Analysis!C618,Vendors!A:A,0))</f>
        <v xml:space="preserve">30 </v>
      </c>
      <c r="G618" s="2">
        <v>30</v>
      </c>
      <c r="H618" s="16">
        <f t="shared" si="9"/>
        <v>45730</v>
      </c>
      <c r="J618" s="2"/>
    </row>
    <row r="619" spans="1:10" x14ac:dyDescent="0.25">
      <c r="A619" s="8" t="s">
        <v>635</v>
      </c>
      <c r="B619" s="8" t="s">
        <v>591</v>
      </c>
      <c r="C619" s="8" t="s">
        <v>109</v>
      </c>
      <c r="D619" s="10">
        <v>45714</v>
      </c>
      <c r="E619" s="9">
        <v>125479</v>
      </c>
      <c r="F619" s="2" t="str">
        <f>INDEX(Vendors!E:E,MATCH(Vendor_Analysis!C619,Vendors!A:A,0))</f>
        <v xml:space="preserve">30 </v>
      </c>
      <c r="G619" s="2">
        <v>30</v>
      </c>
      <c r="H619" s="16">
        <f t="shared" si="9"/>
        <v>45744</v>
      </c>
      <c r="J619" s="2"/>
    </row>
    <row r="620" spans="1:10" x14ac:dyDescent="0.25">
      <c r="A620" s="8" t="s">
        <v>636</v>
      </c>
      <c r="B620" s="8" t="s">
        <v>637</v>
      </c>
      <c r="C620" s="8" t="s">
        <v>108</v>
      </c>
      <c r="D620" s="10">
        <v>45191</v>
      </c>
      <c r="E620" s="9">
        <v>31135</v>
      </c>
      <c r="F620" s="2" t="str">
        <f>INDEX(Vendors!E:E,MATCH(Vendor_Analysis!C620,Vendors!A:A,0))</f>
        <v xml:space="preserve"> 90</v>
      </c>
      <c r="G620" s="2">
        <v>90</v>
      </c>
      <c r="H620" s="16">
        <f t="shared" si="9"/>
        <v>45281</v>
      </c>
      <c r="J620" s="2"/>
    </row>
    <row r="621" spans="1:10" x14ac:dyDescent="0.25">
      <c r="A621" s="8" t="s">
        <v>638</v>
      </c>
      <c r="B621" s="8" t="s">
        <v>637</v>
      </c>
      <c r="C621" s="8" t="s">
        <v>44</v>
      </c>
      <c r="D621" s="10">
        <v>45210</v>
      </c>
      <c r="E621" s="9">
        <v>18097</v>
      </c>
      <c r="F621" s="2" t="str">
        <f>INDEX(Vendors!E:E,MATCH(Vendor_Analysis!C621,Vendors!A:A,0))</f>
        <v xml:space="preserve">45 </v>
      </c>
      <c r="G621" s="2">
        <v>45</v>
      </c>
      <c r="H621" s="16">
        <f t="shared" si="9"/>
        <v>45255</v>
      </c>
      <c r="J621" s="2"/>
    </row>
    <row r="622" spans="1:10" x14ac:dyDescent="0.25">
      <c r="A622" s="8" t="s">
        <v>639</v>
      </c>
      <c r="B622" s="8" t="s">
        <v>637</v>
      </c>
      <c r="C622" s="8" t="s">
        <v>37</v>
      </c>
      <c r="D622" s="10">
        <v>45212</v>
      </c>
      <c r="E622" s="9">
        <v>26583</v>
      </c>
      <c r="F622" s="2" t="str">
        <f>INDEX(Vendors!E:E,MATCH(Vendor_Analysis!C622,Vendors!A:A,0))</f>
        <v xml:space="preserve">30 </v>
      </c>
      <c r="G622" s="2">
        <v>30</v>
      </c>
      <c r="H622" s="16">
        <f t="shared" si="9"/>
        <v>45242</v>
      </c>
      <c r="J622" s="2"/>
    </row>
    <row r="623" spans="1:10" x14ac:dyDescent="0.25">
      <c r="A623" s="8" t="s">
        <v>640</v>
      </c>
      <c r="B623" s="8" t="s">
        <v>637</v>
      </c>
      <c r="C623" s="8" t="s">
        <v>108</v>
      </c>
      <c r="D623" s="10">
        <v>45219</v>
      </c>
      <c r="E623" s="9">
        <v>19389</v>
      </c>
      <c r="F623" s="2" t="str">
        <f>INDEX(Vendors!E:E,MATCH(Vendor_Analysis!C623,Vendors!A:A,0))</f>
        <v xml:space="preserve"> 90</v>
      </c>
      <c r="G623" s="2">
        <v>90</v>
      </c>
      <c r="H623" s="16">
        <f t="shared" si="9"/>
        <v>45309</v>
      </c>
      <c r="J623" s="2"/>
    </row>
    <row r="624" spans="1:10" x14ac:dyDescent="0.25">
      <c r="A624" s="8" t="s">
        <v>641</v>
      </c>
      <c r="B624" s="8" t="s">
        <v>637</v>
      </c>
      <c r="C624" s="8" t="s">
        <v>48</v>
      </c>
      <c r="D624" s="10">
        <v>45220</v>
      </c>
      <c r="E624" s="9">
        <v>34088</v>
      </c>
      <c r="F624" s="2" t="str">
        <f>INDEX(Vendors!E:E,MATCH(Vendor_Analysis!C624,Vendors!A:A,0))</f>
        <v xml:space="preserve"> 90</v>
      </c>
      <c r="G624" s="2">
        <v>90</v>
      </c>
      <c r="H624" s="16">
        <f t="shared" si="9"/>
        <v>45310</v>
      </c>
      <c r="J624" s="2"/>
    </row>
    <row r="625" spans="1:10" x14ac:dyDescent="0.25">
      <c r="A625" s="8" t="s">
        <v>642</v>
      </c>
      <c r="B625" s="8" t="s">
        <v>637</v>
      </c>
      <c r="C625" s="8" t="s">
        <v>35</v>
      </c>
      <c r="D625" s="10">
        <v>45222</v>
      </c>
      <c r="E625" s="9">
        <v>24459</v>
      </c>
      <c r="F625" s="2" t="str">
        <f>INDEX(Vendors!E:E,MATCH(Vendor_Analysis!C625,Vendors!A:A,0))</f>
        <v xml:space="preserve">60 </v>
      </c>
      <c r="G625" s="2">
        <v>60</v>
      </c>
      <c r="H625" s="16">
        <f t="shared" si="9"/>
        <v>45282</v>
      </c>
      <c r="J625" s="2"/>
    </row>
    <row r="626" spans="1:10" x14ac:dyDescent="0.25">
      <c r="A626" s="8" t="s">
        <v>643</v>
      </c>
      <c r="B626" s="8" t="s">
        <v>637</v>
      </c>
      <c r="C626" s="8" t="s">
        <v>17</v>
      </c>
      <c r="D626" s="10">
        <v>45233</v>
      </c>
      <c r="E626" s="9">
        <v>31940</v>
      </c>
      <c r="F626" s="2" t="str">
        <f>INDEX(Vendors!E:E,MATCH(Vendor_Analysis!C626,Vendors!A:A,0))</f>
        <v xml:space="preserve">45 </v>
      </c>
      <c r="G626" s="2">
        <v>45</v>
      </c>
      <c r="H626" s="16">
        <f t="shared" si="9"/>
        <v>45278</v>
      </c>
      <c r="J626" s="2"/>
    </row>
    <row r="627" spans="1:10" x14ac:dyDescent="0.25">
      <c r="A627" s="8" t="s">
        <v>644</v>
      </c>
      <c r="B627" s="8" t="s">
        <v>637</v>
      </c>
      <c r="C627" s="8" t="s">
        <v>14</v>
      </c>
      <c r="D627" s="10">
        <v>45262</v>
      </c>
      <c r="E627" s="9">
        <v>36071</v>
      </c>
      <c r="F627" s="2" t="str">
        <f>INDEX(Vendors!E:E,MATCH(Vendor_Analysis!C627,Vendors!A:A,0))</f>
        <v xml:space="preserve"> 90</v>
      </c>
      <c r="G627" s="2">
        <v>90</v>
      </c>
      <c r="H627" s="16">
        <f t="shared" si="9"/>
        <v>45352</v>
      </c>
      <c r="J627" s="2"/>
    </row>
    <row r="628" spans="1:10" x14ac:dyDescent="0.25">
      <c r="A628" s="8" t="s">
        <v>645</v>
      </c>
      <c r="B628" s="8" t="s">
        <v>637</v>
      </c>
      <c r="C628" s="8" t="s">
        <v>17</v>
      </c>
      <c r="D628" s="10">
        <v>45274</v>
      </c>
      <c r="E628" s="9">
        <v>40349</v>
      </c>
      <c r="F628" s="2" t="str">
        <f>INDEX(Vendors!E:E,MATCH(Vendor_Analysis!C628,Vendors!A:A,0))</f>
        <v xml:space="preserve">45 </v>
      </c>
      <c r="G628" s="2">
        <v>45</v>
      </c>
      <c r="H628" s="16">
        <f t="shared" si="9"/>
        <v>45319</v>
      </c>
      <c r="J628" s="2"/>
    </row>
    <row r="629" spans="1:10" x14ac:dyDescent="0.25">
      <c r="A629" s="8" t="s">
        <v>646</v>
      </c>
      <c r="B629" s="8" t="s">
        <v>637</v>
      </c>
      <c r="C629" s="8" t="s">
        <v>6</v>
      </c>
      <c r="D629" s="10">
        <v>45295</v>
      </c>
      <c r="E629" s="9">
        <v>23671</v>
      </c>
      <c r="F629" s="2" t="str">
        <f>INDEX(Vendors!E:E,MATCH(Vendor_Analysis!C629,Vendors!A:A,0))</f>
        <v xml:space="preserve">60 </v>
      </c>
      <c r="G629" s="2">
        <v>60</v>
      </c>
      <c r="H629" s="16">
        <f t="shared" si="9"/>
        <v>45355</v>
      </c>
      <c r="J629" s="2"/>
    </row>
    <row r="630" spans="1:10" x14ac:dyDescent="0.25">
      <c r="A630" s="8" t="s">
        <v>647</v>
      </c>
      <c r="B630" s="8" t="s">
        <v>637</v>
      </c>
      <c r="C630" s="8" t="s">
        <v>35</v>
      </c>
      <c r="D630" s="10">
        <v>45311</v>
      </c>
      <c r="E630" s="9">
        <v>29733</v>
      </c>
      <c r="F630" s="2" t="str">
        <f>INDEX(Vendors!E:E,MATCH(Vendor_Analysis!C630,Vendors!A:A,0))</f>
        <v xml:space="preserve">60 </v>
      </c>
      <c r="G630" s="2">
        <v>60</v>
      </c>
      <c r="H630" s="16">
        <f t="shared" si="9"/>
        <v>45371</v>
      </c>
      <c r="J630" s="2"/>
    </row>
    <row r="631" spans="1:10" x14ac:dyDescent="0.25">
      <c r="A631" s="8" t="s">
        <v>648</v>
      </c>
      <c r="B631" s="8" t="s">
        <v>637</v>
      </c>
      <c r="C631" s="8" t="s">
        <v>35</v>
      </c>
      <c r="D631" s="10">
        <v>45325</v>
      </c>
      <c r="E631" s="9">
        <v>34230</v>
      </c>
      <c r="F631" s="2" t="str">
        <f>INDEX(Vendors!E:E,MATCH(Vendor_Analysis!C631,Vendors!A:A,0))</f>
        <v xml:space="preserve">60 </v>
      </c>
      <c r="G631" s="2">
        <v>60</v>
      </c>
      <c r="H631" s="16">
        <f t="shared" si="9"/>
        <v>45385</v>
      </c>
      <c r="J631" s="2"/>
    </row>
    <row r="632" spans="1:10" x14ac:dyDescent="0.25">
      <c r="A632" s="8" t="s">
        <v>649</v>
      </c>
      <c r="B632" s="8" t="s">
        <v>637</v>
      </c>
      <c r="C632" s="8" t="s">
        <v>108</v>
      </c>
      <c r="D632" s="10">
        <v>45330</v>
      </c>
      <c r="E632" s="9">
        <v>51509</v>
      </c>
      <c r="F632" s="2" t="str">
        <f>INDEX(Vendors!E:E,MATCH(Vendor_Analysis!C632,Vendors!A:A,0))</f>
        <v xml:space="preserve"> 90</v>
      </c>
      <c r="G632" s="2">
        <v>90</v>
      </c>
      <c r="H632" s="16">
        <f t="shared" si="9"/>
        <v>45420</v>
      </c>
      <c r="J632" s="2"/>
    </row>
    <row r="633" spans="1:10" x14ac:dyDescent="0.25">
      <c r="A633" s="8" t="s">
        <v>650</v>
      </c>
      <c r="B633" s="8" t="s">
        <v>637</v>
      </c>
      <c r="C633" s="8" t="s">
        <v>50</v>
      </c>
      <c r="D633" s="10">
        <v>45339</v>
      </c>
      <c r="E633" s="9">
        <v>51877</v>
      </c>
      <c r="F633" s="2" t="str">
        <f>INDEX(Vendors!E:E,MATCH(Vendor_Analysis!C633,Vendors!A:A,0))</f>
        <v xml:space="preserve"> 90</v>
      </c>
      <c r="G633" s="2">
        <v>90</v>
      </c>
      <c r="H633" s="16">
        <f t="shared" si="9"/>
        <v>45429</v>
      </c>
      <c r="J633" s="2"/>
    </row>
    <row r="634" spans="1:10" x14ac:dyDescent="0.25">
      <c r="A634" s="8" t="s">
        <v>651</v>
      </c>
      <c r="B634" s="8" t="s">
        <v>637</v>
      </c>
      <c r="C634" s="8" t="s">
        <v>55</v>
      </c>
      <c r="D634" s="10">
        <v>45356</v>
      </c>
      <c r="E634" s="9">
        <v>27403</v>
      </c>
      <c r="F634" s="2" t="str">
        <f>INDEX(Vendors!E:E,MATCH(Vendor_Analysis!C634,Vendors!A:A,0))</f>
        <v xml:space="preserve">30 </v>
      </c>
      <c r="G634" s="2">
        <v>30</v>
      </c>
      <c r="H634" s="16">
        <f t="shared" si="9"/>
        <v>45386</v>
      </c>
      <c r="J634" s="2"/>
    </row>
    <row r="635" spans="1:10" x14ac:dyDescent="0.25">
      <c r="A635" s="8" t="s">
        <v>652</v>
      </c>
      <c r="B635" s="8" t="s">
        <v>637</v>
      </c>
      <c r="C635" s="8" t="s">
        <v>8</v>
      </c>
      <c r="D635" s="10">
        <v>45362</v>
      </c>
      <c r="E635" s="9">
        <v>42001</v>
      </c>
      <c r="F635" s="2" t="str">
        <f>INDEX(Vendors!E:E,MATCH(Vendor_Analysis!C635,Vendors!A:A,0))</f>
        <v xml:space="preserve">60 </v>
      </c>
      <c r="G635" s="2">
        <v>60</v>
      </c>
      <c r="H635" s="16">
        <f t="shared" si="9"/>
        <v>45422</v>
      </c>
      <c r="J635" s="2"/>
    </row>
    <row r="636" spans="1:10" x14ac:dyDescent="0.25">
      <c r="A636" s="8" t="s">
        <v>653</v>
      </c>
      <c r="B636" s="8" t="s">
        <v>637</v>
      </c>
      <c r="C636" s="8" t="s">
        <v>25</v>
      </c>
      <c r="D636" s="10">
        <v>45365</v>
      </c>
      <c r="E636" s="9">
        <v>49821</v>
      </c>
      <c r="F636" s="2" t="str">
        <f>INDEX(Vendors!E:E,MATCH(Vendor_Analysis!C636,Vendors!A:A,0))</f>
        <v xml:space="preserve">30 </v>
      </c>
      <c r="G636" s="2">
        <v>30</v>
      </c>
      <c r="H636" s="16">
        <f t="shared" si="9"/>
        <v>45395</v>
      </c>
      <c r="J636" s="2"/>
    </row>
    <row r="637" spans="1:10" x14ac:dyDescent="0.25">
      <c r="A637" s="8" t="s">
        <v>654</v>
      </c>
      <c r="B637" s="8" t="s">
        <v>637</v>
      </c>
      <c r="C637" s="8" t="s">
        <v>35</v>
      </c>
      <c r="D637" s="10">
        <v>45383</v>
      </c>
      <c r="E637" s="9">
        <v>44294</v>
      </c>
      <c r="F637" s="2" t="str">
        <f>INDEX(Vendors!E:E,MATCH(Vendor_Analysis!C637,Vendors!A:A,0))</f>
        <v xml:space="preserve">60 </v>
      </c>
      <c r="G637" s="2">
        <v>60</v>
      </c>
      <c r="H637" s="16">
        <f t="shared" si="9"/>
        <v>45443</v>
      </c>
      <c r="J637" s="2"/>
    </row>
    <row r="638" spans="1:10" x14ac:dyDescent="0.25">
      <c r="A638" s="8" t="s">
        <v>655</v>
      </c>
      <c r="B638" s="8" t="s">
        <v>637</v>
      </c>
      <c r="C638" s="8" t="s">
        <v>35</v>
      </c>
      <c r="D638" s="10">
        <v>45389</v>
      </c>
      <c r="E638" s="9">
        <v>36595</v>
      </c>
      <c r="F638" s="2" t="str">
        <f>INDEX(Vendors!E:E,MATCH(Vendor_Analysis!C638,Vendors!A:A,0))</f>
        <v xml:space="preserve">60 </v>
      </c>
      <c r="G638" s="2">
        <v>60</v>
      </c>
      <c r="H638" s="16">
        <f t="shared" si="9"/>
        <v>45449</v>
      </c>
      <c r="J638" s="2"/>
    </row>
    <row r="639" spans="1:10" x14ac:dyDescent="0.25">
      <c r="A639" s="8" t="s">
        <v>656</v>
      </c>
      <c r="B639" s="8" t="s">
        <v>637</v>
      </c>
      <c r="C639" s="8" t="s">
        <v>14</v>
      </c>
      <c r="D639" s="10">
        <v>45399</v>
      </c>
      <c r="E639" s="9">
        <v>27827</v>
      </c>
      <c r="F639" s="2" t="str">
        <f>INDEX(Vendors!E:E,MATCH(Vendor_Analysis!C639,Vendors!A:A,0))</f>
        <v xml:space="preserve"> 90</v>
      </c>
      <c r="G639" s="2">
        <v>90</v>
      </c>
      <c r="H639" s="16">
        <f t="shared" si="9"/>
        <v>45489</v>
      </c>
      <c r="J639" s="2"/>
    </row>
    <row r="640" spans="1:10" x14ac:dyDescent="0.25">
      <c r="A640" s="8" t="s">
        <v>657</v>
      </c>
      <c r="B640" s="8" t="s">
        <v>637</v>
      </c>
      <c r="C640" s="8" t="s">
        <v>6</v>
      </c>
      <c r="D640" s="10">
        <v>45413</v>
      </c>
      <c r="E640" s="9">
        <v>40907</v>
      </c>
      <c r="F640" s="2" t="str">
        <f>INDEX(Vendors!E:E,MATCH(Vendor_Analysis!C640,Vendors!A:A,0))</f>
        <v xml:space="preserve">60 </v>
      </c>
      <c r="G640" s="2">
        <v>60</v>
      </c>
      <c r="H640" s="16">
        <f t="shared" si="9"/>
        <v>45473</v>
      </c>
      <c r="J640" s="2"/>
    </row>
    <row r="641" spans="1:10" x14ac:dyDescent="0.25">
      <c r="A641" s="8" t="s">
        <v>658</v>
      </c>
      <c r="B641" s="8" t="s">
        <v>637</v>
      </c>
      <c r="C641" s="8" t="s">
        <v>19</v>
      </c>
      <c r="D641" s="10">
        <v>45427</v>
      </c>
      <c r="E641" s="9">
        <v>104402</v>
      </c>
      <c r="F641" s="2" t="str">
        <f>INDEX(Vendors!E:E,MATCH(Vendor_Analysis!C641,Vendors!A:A,0))</f>
        <v xml:space="preserve">45 </v>
      </c>
      <c r="G641" s="2">
        <v>45</v>
      </c>
      <c r="H641" s="16">
        <f t="shared" si="9"/>
        <v>45472</v>
      </c>
      <c r="J641" s="2"/>
    </row>
    <row r="642" spans="1:10" x14ac:dyDescent="0.25">
      <c r="A642" s="8" t="s">
        <v>659</v>
      </c>
      <c r="B642" s="8" t="s">
        <v>660</v>
      </c>
      <c r="C642" s="8" t="s">
        <v>19</v>
      </c>
      <c r="D642" s="10">
        <v>45140</v>
      </c>
      <c r="E642" s="9">
        <v>37361</v>
      </c>
      <c r="F642" s="2" t="str">
        <f>INDEX(Vendors!E:E,MATCH(Vendor_Analysis!C642,Vendors!A:A,0))</f>
        <v xml:space="preserve">45 </v>
      </c>
      <c r="G642" s="2">
        <v>45</v>
      </c>
      <c r="H642" s="16">
        <f t="shared" si="9"/>
        <v>45185</v>
      </c>
      <c r="J642" s="2"/>
    </row>
    <row r="643" spans="1:10" x14ac:dyDescent="0.25">
      <c r="A643" s="8" t="s">
        <v>661</v>
      </c>
      <c r="B643" s="8" t="s">
        <v>660</v>
      </c>
      <c r="C643" s="8" t="s">
        <v>33</v>
      </c>
      <c r="D643" s="10">
        <v>45144</v>
      </c>
      <c r="E643" s="9">
        <v>35682</v>
      </c>
      <c r="F643" s="2" t="str">
        <f>INDEX(Vendors!E:E,MATCH(Vendor_Analysis!C643,Vendors!A:A,0))</f>
        <v xml:space="preserve">30 </v>
      </c>
      <c r="G643" s="2">
        <v>30</v>
      </c>
      <c r="H643" s="16">
        <f t="shared" ref="H643:H706" si="10">D643+F643</f>
        <v>45174</v>
      </c>
      <c r="J643" s="2"/>
    </row>
    <row r="644" spans="1:10" x14ac:dyDescent="0.25">
      <c r="A644" s="8" t="s">
        <v>662</v>
      </c>
      <c r="B644" s="8" t="s">
        <v>660</v>
      </c>
      <c r="C644" s="8" t="s">
        <v>50</v>
      </c>
      <c r="D644" s="10">
        <v>45155</v>
      </c>
      <c r="E644" s="9">
        <v>48553</v>
      </c>
      <c r="F644" s="2" t="str">
        <f>INDEX(Vendors!E:E,MATCH(Vendor_Analysis!C644,Vendors!A:A,0))</f>
        <v xml:space="preserve"> 90</v>
      </c>
      <c r="G644" s="2">
        <v>90</v>
      </c>
      <c r="H644" s="16">
        <f t="shared" si="10"/>
        <v>45245</v>
      </c>
      <c r="J644" s="2"/>
    </row>
    <row r="645" spans="1:10" x14ac:dyDescent="0.25">
      <c r="A645" s="8" t="s">
        <v>663</v>
      </c>
      <c r="B645" s="8" t="s">
        <v>660</v>
      </c>
      <c r="C645" s="8" t="s">
        <v>6</v>
      </c>
      <c r="D645" s="10">
        <v>45158</v>
      </c>
      <c r="E645" s="9">
        <v>35897</v>
      </c>
      <c r="F645" s="2" t="str">
        <f>INDEX(Vendors!E:E,MATCH(Vendor_Analysis!C645,Vendors!A:A,0))</f>
        <v xml:space="preserve">60 </v>
      </c>
      <c r="G645" s="2">
        <v>60</v>
      </c>
      <c r="H645" s="16">
        <f t="shared" si="10"/>
        <v>45218</v>
      </c>
      <c r="J645" s="2"/>
    </row>
    <row r="646" spans="1:10" x14ac:dyDescent="0.25">
      <c r="A646" s="8" t="s">
        <v>664</v>
      </c>
      <c r="B646" s="8" t="s">
        <v>660</v>
      </c>
      <c r="C646" s="8" t="s">
        <v>19</v>
      </c>
      <c r="D646" s="10">
        <v>45183</v>
      </c>
      <c r="E646" s="9">
        <v>36065</v>
      </c>
      <c r="F646" s="2" t="str">
        <f>INDEX(Vendors!E:E,MATCH(Vendor_Analysis!C646,Vendors!A:A,0))</f>
        <v xml:space="preserve">45 </v>
      </c>
      <c r="G646" s="2">
        <v>45</v>
      </c>
      <c r="H646" s="16">
        <f t="shared" si="10"/>
        <v>45228</v>
      </c>
      <c r="J646" s="2"/>
    </row>
    <row r="647" spans="1:10" x14ac:dyDescent="0.25">
      <c r="A647" s="8" t="s">
        <v>665</v>
      </c>
      <c r="B647" s="8" t="s">
        <v>660</v>
      </c>
      <c r="C647" s="8" t="s">
        <v>33</v>
      </c>
      <c r="D647" s="10">
        <v>45183</v>
      </c>
      <c r="E647" s="9">
        <v>53398</v>
      </c>
      <c r="F647" s="2" t="str">
        <f>INDEX(Vendors!E:E,MATCH(Vendor_Analysis!C647,Vendors!A:A,0))</f>
        <v xml:space="preserve">30 </v>
      </c>
      <c r="G647" s="2">
        <v>30</v>
      </c>
      <c r="H647" s="16">
        <f t="shared" si="10"/>
        <v>45213</v>
      </c>
      <c r="J647" s="2"/>
    </row>
    <row r="648" spans="1:10" x14ac:dyDescent="0.25">
      <c r="A648" s="8" t="s">
        <v>666</v>
      </c>
      <c r="B648" s="8" t="s">
        <v>660</v>
      </c>
      <c r="C648" s="8" t="s">
        <v>91</v>
      </c>
      <c r="D648" s="10">
        <v>45192</v>
      </c>
      <c r="E648" s="9">
        <v>33494</v>
      </c>
      <c r="F648" s="2" t="str">
        <f>INDEX(Vendors!E:E,MATCH(Vendor_Analysis!C648,Vendors!A:A,0))</f>
        <v xml:space="preserve">60 </v>
      </c>
      <c r="G648" s="2">
        <v>60</v>
      </c>
      <c r="H648" s="16">
        <f t="shared" si="10"/>
        <v>45252</v>
      </c>
      <c r="J648" s="2"/>
    </row>
    <row r="649" spans="1:10" x14ac:dyDescent="0.25">
      <c r="A649" s="8" t="s">
        <v>667</v>
      </c>
      <c r="B649" s="8" t="s">
        <v>660</v>
      </c>
      <c r="C649" s="8" t="s">
        <v>21</v>
      </c>
      <c r="D649" s="10">
        <v>45226</v>
      </c>
      <c r="E649" s="9">
        <v>39629</v>
      </c>
      <c r="F649" s="2" t="str">
        <f>INDEX(Vendors!E:E,MATCH(Vendor_Analysis!C649,Vendors!A:A,0))</f>
        <v xml:space="preserve"> 90</v>
      </c>
      <c r="G649" s="2">
        <v>90</v>
      </c>
      <c r="H649" s="16">
        <f t="shared" si="10"/>
        <v>45316</v>
      </c>
      <c r="J649" s="2"/>
    </row>
    <row r="650" spans="1:10" x14ac:dyDescent="0.25">
      <c r="A650" s="8" t="s">
        <v>668</v>
      </c>
      <c r="B650" s="8" t="s">
        <v>660</v>
      </c>
      <c r="C650" s="8" t="s">
        <v>17</v>
      </c>
      <c r="D650" s="10">
        <v>45244</v>
      </c>
      <c r="E650" s="9">
        <v>52153</v>
      </c>
      <c r="F650" s="2" t="str">
        <f>INDEX(Vendors!E:E,MATCH(Vendor_Analysis!C650,Vendors!A:A,0))</f>
        <v xml:space="preserve">45 </v>
      </c>
      <c r="G650" s="2">
        <v>45</v>
      </c>
      <c r="H650" s="16">
        <f t="shared" si="10"/>
        <v>45289</v>
      </c>
      <c r="J650" s="2"/>
    </row>
    <row r="651" spans="1:10" x14ac:dyDescent="0.25">
      <c r="A651" s="8" t="s">
        <v>669</v>
      </c>
      <c r="B651" s="8" t="s">
        <v>660</v>
      </c>
      <c r="C651" s="8" t="s">
        <v>110</v>
      </c>
      <c r="D651" s="10">
        <v>45252</v>
      </c>
      <c r="E651" s="9">
        <v>39246</v>
      </c>
      <c r="F651" s="2" t="str">
        <f>INDEX(Vendors!E:E,MATCH(Vendor_Analysis!C651,Vendors!A:A,0))</f>
        <v xml:space="preserve">30 </v>
      </c>
      <c r="G651" s="2">
        <v>30</v>
      </c>
      <c r="H651" s="16">
        <f t="shared" si="10"/>
        <v>45282</v>
      </c>
      <c r="J651" s="2"/>
    </row>
    <row r="652" spans="1:10" x14ac:dyDescent="0.25">
      <c r="A652" s="8" t="s">
        <v>670</v>
      </c>
      <c r="B652" s="8" t="s">
        <v>660</v>
      </c>
      <c r="C652" s="8" t="s">
        <v>73</v>
      </c>
      <c r="D652" s="10">
        <v>45263</v>
      </c>
      <c r="E652" s="9">
        <v>52290</v>
      </c>
      <c r="F652" s="2" t="str">
        <f>INDEX(Vendors!E:E,MATCH(Vendor_Analysis!C652,Vendors!A:A,0))</f>
        <v xml:space="preserve">60 </v>
      </c>
      <c r="G652" s="2">
        <v>60</v>
      </c>
      <c r="H652" s="16">
        <f t="shared" si="10"/>
        <v>45323</v>
      </c>
      <c r="J652" s="2"/>
    </row>
    <row r="653" spans="1:10" x14ac:dyDescent="0.25">
      <c r="A653" s="8" t="s">
        <v>671</v>
      </c>
      <c r="B653" s="8" t="s">
        <v>660</v>
      </c>
      <c r="C653" s="8" t="s">
        <v>35</v>
      </c>
      <c r="D653" s="10">
        <v>45280</v>
      </c>
      <c r="E653" s="9">
        <v>54988</v>
      </c>
      <c r="F653" s="2" t="str">
        <f>INDEX(Vendors!E:E,MATCH(Vendor_Analysis!C653,Vendors!A:A,0))</f>
        <v xml:space="preserve">60 </v>
      </c>
      <c r="G653" s="2">
        <v>60</v>
      </c>
      <c r="H653" s="16">
        <f t="shared" si="10"/>
        <v>45340</v>
      </c>
      <c r="J653" s="2"/>
    </row>
    <row r="654" spans="1:10" x14ac:dyDescent="0.25">
      <c r="A654" s="8" t="s">
        <v>672</v>
      </c>
      <c r="B654" s="8" t="s">
        <v>660</v>
      </c>
      <c r="C654" s="8" t="s">
        <v>8</v>
      </c>
      <c r="D654" s="10">
        <v>45281</v>
      </c>
      <c r="E654" s="9">
        <v>60541</v>
      </c>
      <c r="F654" s="2" t="str">
        <f>INDEX(Vendors!E:E,MATCH(Vendor_Analysis!C654,Vendors!A:A,0))</f>
        <v xml:space="preserve">60 </v>
      </c>
      <c r="G654" s="2">
        <v>60</v>
      </c>
      <c r="H654" s="16">
        <f t="shared" si="10"/>
        <v>45341</v>
      </c>
      <c r="J654" s="2"/>
    </row>
    <row r="655" spans="1:10" x14ac:dyDescent="0.25">
      <c r="A655" s="8" t="s">
        <v>673</v>
      </c>
      <c r="B655" s="8" t="s">
        <v>660</v>
      </c>
      <c r="C655" s="8" t="s">
        <v>23</v>
      </c>
      <c r="D655" s="10">
        <v>45286</v>
      </c>
      <c r="E655" s="9">
        <v>42380</v>
      </c>
      <c r="F655" s="2" t="str">
        <f>INDEX(Vendors!E:E,MATCH(Vendor_Analysis!C655,Vendors!A:A,0))</f>
        <v xml:space="preserve"> 90</v>
      </c>
      <c r="G655" s="2">
        <v>90</v>
      </c>
      <c r="H655" s="16">
        <f t="shared" si="10"/>
        <v>45376</v>
      </c>
      <c r="J655" s="2"/>
    </row>
    <row r="656" spans="1:10" x14ac:dyDescent="0.25">
      <c r="A656" s="8" t="s">
        <v>674</v>
      </c>
      <c r="B656" s="8" t="s">
        <v>660</v>
      </c>
      <c r="C656" s="8" t="s">
        <v>44</v>
      </c>
      <c r="D656" s="10">
        <v>45288</v>
      </c>
      <c r="E656" s="9">
        <v>25108</v>
      </c>
      <c r="F656" s="2" t="str">
        <f>INDEX(Vendors!E:E,MATCH(Vendor_Analysis!C656,Vendors!A:A,0))</f>
        <v xml:space="preserve">45 </v>
      </c>
      <c r="G656" s="2">
        <v>45</v>
      </c>
      <c r="H656" s="16">
        <f t="shared" si="10"/>
        <v>45333</v>
      </c>
      <c r="J656" s="2"/>
    </row>
    <row r="657" spans="1:10" x14ac:dyDescent="0.25">
      <c r="A657" s="8" t="s">
        <v>675</v>
      </c>
      <c r="B657" s="8" t="s">
        <v>660</v>
      </c>
      <c r="C657" s="8" t="s">
        <v>109</v>
      </c>
      <c r="D657" s="10">
        <v>45292</v>
      </c>
      <c r="E657" s="9">
        <v>65587</v>
      </c>
      <c r="F657" s="2" t="str">
        <f>INDEX(Vendors!E:E,MATCH(Vendor_Analysis!C657,Vendors!A:A,0))</f>
        <v xml:space="preserve">30 </v>
      </c>
      <c r="G657" s="2">
        <v>30</v>
      </c>
      <c r="H657" s="16">
        <f t="shared" si="10"/>
        <v>45322</v>
      </c>
      <c r="J657" s="2"/>
    </row>
    <row r="658" spans="1:10" x14ac:dyDescent="0.25">
      <c r="A658" s="8" t="s">
        <v>676</v>
      </c>
      <c r="B658" s="8" t="s">
        <v>660</v>
      </c>
      <c r="C658" s="8" t="s">
        <v>110</v>
      </c>
      <c r="D658" s="10">
        <v>45303</v>
      </c>
      <c r="E658" s="9">
        <v>41892</v>
      </c>
      <c r="F658" s="2" t="str">
        <f>INDEX(Vendors!E:E,MATCH(Vendor_Analysis!C658,Vendors!A:A,0))</f>
        <v xml:space="preserve">30 </v>
      </c>
      <c r="G658" s="2">
        <v>30</v>
      </c>
      <c r="H658" s="16">
        <f t="shared" si="10"/>
        <v>45333</v>
      </c>
      <c r="J658" s="2"/>
    </row>
    <row r="659" spans="1:10" x14ac:dyDescent="0.25">
      <c r="A659" s="8" t="s">
        <v>677</v>
      </c>
      <c r="B659" s="8" t="s">
        <v>660</v>
      </c>
      <c r="C659" s="8" t="s">
        <v>37</v>
      </c>
      <c r="D659" s="10">
        <v>45305</v>
      </c>
      <c r="E659" s="9">
        <v>33477</v>
      </c>
      <c r="F659" s="2" t="str">
        <f>INDEX(Vendors!E:E,MATCH(Vendor_Analysis!C659,Vendors!A:A,0))</f>
        <v xml:space="preserve">30 </v>
      </c>
      <c r="G659" s="2">
        <v>30</v>
      </c>
      <c r="H659" s="16">
        <f t="shared" si="10"/>
        <v>45335</v>
      </c>
      <c r="J659" s="2"/>
    </row>
    <row r="660" spans="1:10" x14ac:dyDescent="0.25">
      <c r="A660" s="8" t="s">
        <v>678</v>
      </c>
      <c r="B660" s="8" t="s">
        <v>660</v>
      </c>
      <c r="C660" s="8" t="s">
        <v>33</v>
      </c>
      <c r="D660" s="10">
        <v>45308</v>
      </c>
      <c r="E660" s="9">
        <v>28871</v>
      </c>
      <c r="F660" s="2" t="str">
        <f>INDEX(Vendors!E:E,MATCH(Vendor_Analysis!C660,Vendors!A:A,0))</f>
        <v xml:space="preserve">30 </v>
      </c>
      <c r="G660" s="2">
        <v>30</v>
      </c>
      <c r="H660" s="16">
        <f t="shared" si="10"/>
        <v>45338</v>
      </c>
      <c r="J660" s="2"/>
    </row>
    <row r="661" spans="1:10" x14ac:dyDescent="0.25">
      <c r="A661" s="8" t="s">
        <v>679</v>
      </c>
      <c r="B661" s="8" t="s">
        <v>660</v>
      </c>
      <c r="C661" s="8" t="s">
        <v>35</v>
      </c>
      <c r="D661" s="10">
        <v>45330</v>
      </c>
      <c r="E661" s="9">
        <v>53404</v>
      </c>
      <c r="F661" s="2" t="str">
        <f>INDEX(Vendors!E:E,MATCH(Vendor_Analysis!C661,Vendors!A:A,0))</f>
        <v xml:space="preserve">60 </v>
      </c>
      <c r="G661" s="2">
        <v>60</v>
      </c>
      <c r="H661" s="16">
        <f t="shared" si="10"/>
        <v>45390</v>
      </c>
      <c r="J661" s="2"/>
    </row>
    <row r="662" spans="1:10" x14ac:dyDescent="0.25">
      <c r="A662" s="8" t="s">
        <v>680</v>
      </c>
      <c r="B662" s="8" t="s">
        <v>660</v>
      </c>
      <c r="C662" s="8" t="s">
        <v>73</v>
      </c>
      <c r="D662" s="10">
        <v>45337</v>
      </c>
      <c r="E662" s="9">
        <v>101220</v>
      </c>
      <c r="F662" s="2" t="str">
        <f>INDEX(Vendors!E:E,MATCH(Vendor_Analysis!C662,Vendors!A:A,0))</f>
        <v xml:space="preserve">60 </v>
      </c>
      <c r="G662" s="2">
        <v>60</v>
      </c>
      <c r="H662" s="16">
        <f t="shared" si="10"/>
        <v>45397</v>
      </c>
      <c r="J662" s="2"/>
    </row>
    <row r="663" spans="1:10" x14ac:dyDescent="0.25">
      <c r="A663" s="8" t="s">
        <v>681</v>
      </c>
      <c r="B663" s="8" t="s">
        <v>660</v>
      </c>
      <c r="C663" s="8" t="s">
        <v>14</v>
      </c>
      <c r="D663" s="10">
        <v>45343</v>
      </c>
      <c r="E663" s="9">
        <v>35093</v>
      </c>
      <c r="F663" s="2" t="str">
        <f>INDEX(Vendors!E:E,MATCH(Vendor_Analysis!C663,Vendors!A:A,0))</f>
        <v xml:space="preserve"> 90</v>
      </c>
      <c r="G663" s="2">
        <v>90</v>
      </c>
      <c r="H663" s="16">
        <f t="shared" si="10"/>
        <v>45433</v>
      </c>
      <c r="J663" s="2"/>
    </row>
    <row r="664" spans="1:10" x14ac:dyDescent="0.25">
      <c r="A664" s="8" t="s">
        <v>682</v>
      </c>
      <c r="B664" s="8" t="s">
        <v>660</v>
      </c>
      <c r="C664" s="8" t="s">
        <v>110</v>
      </c>
      <c r="D664" s="10">
        <v>45366</v>
      </c>
      <c r="E664" s="9">
        <v>60736</v>
      </c>
      <c r="F664" s="2" t="str">
        <f>INDEX(Vendors!E:E,MATCH(Vendor_Analysis!C664,Vendors!A:A,0))</f>
        <v xml:space="preserve">30 </v>
      </c>
      <c r="G664" s="2">
        <v>30</v>
      </c>
      <c r="H664" s="16">
        <f t="shared" si="10"/>
        <v>45396</v>
      </c>
      <c r="J664" s="2"/>
    </row>
    <row r="665" spans="1:10" x14ac:dyDescent="0.25">
      <c r="A665" s="8" t="s">
        <v>683</v>
      </c>
      <c r="B665" s="8" t="s">
        <v>660</v>
      </c>
      <c r="C665" s="8" t="s">
        <v>44</v>
      </c>
      <c r="D665" s="10">
        <v>45383</v>
      </c>
      <c r="E665" s="9">
        <v>43111</v>
      </c>
      <c r="F665" s="2" t="str">
        <f>INDEX(Vendors!E:E,MATCH(Vendor_Analysis!C665,Vendors!A:A,0))</f>
        <v xml:space="preserve">45 </v>
      </c>
      <c r="G665" s="2">
        <v>45</v>
      </c>
      <c r="H665" s="16">
        <f t="shared" si="10"/>
        <v>45428</v>
      </c>
      <c r="J665" s="2"/>
    </row>
    <row r="666" spans="1:10" x14ac:dyDescent="0.25">
      <c r="A666" s="8" t="s">
        <v>684</v>
      </c>
      <c r="B666" s="8" t="s">
        <v>660</v>
      </c>
      <c r="C666" s="8" t="s">
        <v>110</v>
      </c>
      <c r="D666" s="10">
        <v>45385</v>
      </c>
      <c r="E666" s="9">
        <v>37111</v>
      </c>
      <c r="F666" s="2" t="str">
        <f>INDEX(Vendors!E:E,MATCH(Vendor_Analysis!C666,Vendors!A:A,0))</f>
        <v xml:space="preserve">30 </v>
      </c>
      <c r="G666" s="2">
        <v>30</v>
      </c>
      <c r="H666" s="16">
        <f t="shared" si="10"/>
        <v>45415</v>
      </c>
      <c r="J666" s="2"/>
    </row>
    <row r="667" spans="1:10" x14ac:dyDescent="0.25">
      <c r="A667" s="8" t="s">
        <v>1848</v>
      </c>
      <c r="B667" s="8" t="s">
        <v>660</v>
      </c>
      <c r="C667" s="8" t="s">
        <v>23</v>
      </c>
      <c r="D667" s="10">
        <v>45430</v>
      </c>
      <c r="E667" s="9">
        <v>37044</v>
      </c>
      <c r="F667" s="2" t="str">
        <f>INDEX(Vendors!E:E,MATCH(Vendor_Analysis!C667,Vendors!A:A,0))</f>
        <v xml:space="preserve"> 90</v>
      </c>
      <c r="G667" s="2">
        <v>90</v>
      </c>
      <c r="H667" s="16">
        <f t="shared" si="10"/>
        <v>45520</v>
      </c>
      <c r="J667" s="2"/>
    </row>
    <row r="668" spans="1:10" x14ac:dyDescent="0.25">
      <c r="A668" s="8" t="s">
        <v>1849</v>
      </c>
      <c r="B668" s="8" t="s">
        <v>660</v>
      </c>
      <c r="C668" s="8" t="s">
        <v>10</v>
      </c>
      <c r="D668" s="10">
        <v>45432</v>
      </c>
      <c r="E668" s="9">
        <v>186597</v>
      </c>
      <c r="F668" s="2" t="str">
        <f>INDEX(Vendors!E:E,MATCH(Vendor_Analysis!C668,Vendors!A:A,0))</f>
        <v xml:space="preserve">60 </v>
      </c>
      <c r="G668" s="2">
        <v>60</v>
      </c>
      <c r="H668" s="16">
        <f t="shared" si="10"/>
        <v>45492</v>
      </c>
      <c r="J668" s="2"/>
    </row>
    <row r="669" spans="1:10" x14ac:dyDescent="0.25">
      <c r="A669" s="8" t="s">
        <v>1850</v>
      </c>
      <c r="B669" s="8" t="s">
        <v>660</v>
      </c>
      <c r="C669" s="8" t="s">
        <v>33</v>
      </c>
      <c r="D669" s="10">
        <v>45434</v>
      </c>
      <c r="E669" s="9">
        <v>46199</v>
      </c>
      <c r="F669" s="2" t="str">
        <f>INDEX(Vendors!E:E,MATCH(Vendor_Analysis!C669,Vendors!A:A,0))</f>
        <v xml:space="preserve">30 </v>
      </c>
      <c r="G669" s="2">
        <v>30</v>
      </c>
      <c r="H669" s="16">
        <f t="shared" si="10"/>
        <v>45464</v>
      </c>
      <c r="J669" s="2"/>
    </row>
    <row r="670" spans="1:10" x14ac:dyDescent="0.25">
      <c r="A670" s="8" t="s">
        <v>1851</v>
      </c>
      <c r="B670" s="8" t="s">
        <v>660</v>
      </c>
      <c r="C670" s="8" t="s">
        <v>27</v>
      </c>
      <c r="D670" s="10">
        <v>45465</v>
      </c>
      <c r="E670" s="9">
        <v>72277</v>
      </c>
      <c r="F670" s="2" t="str">
        <f>INDEX(Vendors!E:E,MATCH(Vendor_Analysis!C670,Vendors!A:A,0))</f>
        <v xml:space="preserve">45 </v>
      </c>
      <c r="G670" s="2">
        <v>45</v>
      </c>
      <c r="H670" s="16">
        <f t="shared" si="10"/>
        <v>45510</v>
      </c>
      <c r="J670" s="2"/>
    </row>
    <row r="671" spans="1:10" x14ac:dyDescent="0.25">
      <c r="A671" s="8" t="s">
        <v>1852</v>
      </c>
      <c r="B671" s="8" t="s">
        <v>660</v>
      </c>
      <c r="C671" s="8" t="s">
        <v>35</v>
      </c>
      <c r="D671" s="10">
        <v>45496</v>
      </c>
      <c r="E671" s="9">
        <v>35837</v>
      </c>
      <c r="F671" s="2" t="str">
        <f>INDEX(Vendors!E:E,MATCH(Vendor_Analysis!C671,Vendors!A:A,0))</f>
        <v xml:space="preserve">60 </v>
      </c>
      <c r="G671" s="2">
        <v>60</v>
      </c>
      <c r="H671" s="16">
        <f t="shared" si="10"/>
        <v>45556</v>
      </c>
      <c r="J671" s="2"/>
    </row>
    <row r="672" spans="1:10" x14ac:dyDescent="0.25">
      <c r="A672" s="8" t="s">
        <v>1853</v>
      </c>
      <c r="B672" s="8" t="s">
        <v>660</v>
      </c>
      <c r="C672" s="8" t="s">
        <v>33</v>
      </c>
      <c r="D672" s="10">
        <v>45508</v>
      </c>
      <c r="E672" s="9">
        <v>34933</v>
      </c>
      <c r="F672" s="2" t="str">
        <f>INDEX(Vendors!E:E,MATCH(Vendor_Analysis!C672,Vendors!A:A,0))</f>
        <v xml:space="preserve">30 </v>
      </c>
      <c r="G672" s="2">
        <v>30</v>
      </c>
      <c r="H672" s="16">
        <f t="shared" si="10"/>
        <v>45538</v>
      </c>
      <c r="J672" s="2"/>
    </row>
    <row r="673" spans="1:10" x14ac:dyDescent="0.25">
      <c r="A673" s="8" t="s">
        <v>1854</v>
      </c>
      <c r="B673" s="8" t="s">
        <v>660</v>
      </c>
      <c r="C673" s="8" t="s">
        <v>73</v>
      </c>
      <c r="D673" s="10">
        <v>45519</v>
      </c>
      <c r="E673" s="9">
        <v>62716</v>
      </c>
      <c r="F673" s="2" t="str">
        <f>INDEX(Vendors!E:E,MATCH(Vendor_Analysis!C673,Vendors!A:A,0))</f>
        <v xml:space="preserve">60 </v>
      </c>
      <c r="G673" s="2">
        <v>60</v>
      </c>
      <c r="H673" s="16">
        <f t="shared" si="10"/>
        <v>45579</v>
      </c>
      <c r="J673" s="2"/>
    </row>
    <row r="674" spans="1:10" x14ac:dyDescent="0.25">
      <c r="A674" s="8" t="s">
        <v>1855</v>
      </c>
      <c r="B674" s="8" t="s">
        <v>660</v>
      </c>
      <c r="C674" s="8" t="s">
        <v>33</v>
      </c>
      <c r="D674" s="10">
        <v>45522</v>
      </c>
      <c r="E674" s="9">
        <v>61550</v>
      </c>
      <c r="F674" s="2" t="str">
        <f>INDEX(Vendors!E:E,MATCH(Vendor_Analysis!C674,Vendors!A:A,0))</f>
        <v xml:space="preserve">30 </v>
      </c>
      <c r="G674" s="2">
        <v>30</v>
      </c>
      <c r="H674" s="16">
        <f t="shared" si="10"/>
        <v>45552</v>
      </c>
      <c r="J674" s="2"/>
    </row>
    <row r="675" spans="1:10" x14ac:dyDescent="0.25">
      <c r="A675" s="8" t="s">
        <v>1856</v>
      </c>
      <c r="B675" s="8" t="s">
        <v>660</v>
      </c>
      <c r="C675" s="8" t="s">
        <v>37</v>
      </c>
      <c r="D675" s="10">
        <v>45530</v>
      </c>
      <c r="E675" s="9">
        <v>59220</v>
      </c>
      <c r="F675" s="2" t="str">
        <f>INDEX(Vendors!E:E,MATCH(Vendor_Analysis!C675,Vendors!A:A,0))</f>
        <v xml:space="preserve">30 </v>
      </c>
      <c r="G675" s="2">
        <v>30</v>
      </c>
      <c r="H675" s="16">
        <f t="shared" si="10"/>
        <v>45560</v>
      </c>
      <c r="J675" s="2"/>
    </row>
    <row r="676" spans="1:10" x14ac:dyDescent="0.25">
      <c r="A676" s="8" t="s">
        <v>1857</v>
      </c>
      <c r="B676" s="8" t="s">
        <v>660</v>
      </c>
      <c r="C676" s="8" t="s">
        <v>23</v>
      </c>
      <c r="D676" s="10">
        <v>45534</v>
      </c>
      <c r="E676" s="9">
        <v>228508</v>
      </c>
      <c r="F676" s="2" t="str">
        <f>INDEX(Vendors!E:E,MATCH(Vendor_Analysis!C676,Vendors!A:A,0))</f>
        <v xml:space="preserve"> 90</v>
      </c>
      <c r="G676" s="2">
        <v>90</v>
      </c>
      <c r="H676" s="16">
        <f t="shared" si="10"/>
        <v>45624</v>
      </c>
      <c r="J676" s="2"/>
    </row>
    <row r="677" spans="1:10" x14ac:dyDescent="0.25">
      <c r="A677" s="8" t="s">
        <v>1858</v>
      </c>
      <c r="B677" s="8" t="s">
        <v>660</v>
      </c>
      <c r="C677" s="8" t="s">
        <v>8</v>
      </c>
      <c r="D677" s="10">
        <v>45538</v>
      </c>
      <c r="E677" s="9">
        <v>45225</v>
      </c>
      <c r="F677" s="2" t="str">
        <f>INDEX(Vendors!E:E,MATCH(Vendor_Analysis!C677,Vendors!A:A,0))</f>
        <v xml:space="preserve">60 </v>
      </c>
      <c r="G677" s="2">
        <v>60</v>
      </c>
      <c r="H677" s="16">
        <f t="shared" si="10"/>
        <v>45598</v>
      </c>
      <c r="J677" s="2"/>
    </row>
    <row r="678" spans="1:10" x14ac:dyDescent="0.25">
      <c r="A678" s="8" t="s">
        <v>1859</v>
      </c>
      <c r="B678" s="8" t="s">
        <v>660</v>
      </c>
      <c r="C678" s="8" t="s">
        <v>71</v>
      </c>
      <c r="D678" s="10">
        <v>45563</v>
      </c>
      <c r="E678" s="9">
        <v>53809</v>
      </c>
      <c r="F678" s="2" t="str">
        <f>INDEX(Vendors!E:E,MATCH(Vendor_Analysis!C678,Vendors!A:A,0))</f>
        <v xml:space="preserve">45 </v>
      </c>
      <c r="G678" s="2">
        <v>45</v>
      </c>
      <c r="H678" s="16">
        <f t="shared" si="10"/>
        <v>45608</v>
      </c>
      <c r="J678" s="2"/>
    </row>
    <row r="679" spans="1:10" x14ac:dyDescent="0.25">
      <c r="A679" s="8" t="s">
        <v>1860</v>
      </c>
      <c r="B679" s="8" t="s">
        <v>660</v>
      </c>
      <c r="C679" s="8" t="s">
        <v>14</v>
      </c>
      <c r="D679" s="10">
        <v>45567</v>
      </c>
      <c r="E679" s="9">
        <v>27984</v>
      </c>
      <c r="F679" s="2" t="str">
        <f>INDEX(Vendors!E:E,MATCH(Vendor_Analysis!C679,Vendors!A:A,0))</f>
        <v xml:space="preserve"> 90</v>
      </c>
      <c r="G679" s="2">
        <v>90</v>
      </c>
      <c r="H679" s="16">
        <f t="shared" si="10"/>
        <v>45657</v>
      </c>
      <c r="J679" s="2"/>
    </row>
    <row r="680" spans="1:10" x14ac:dyDescent="0.25">
      <c r="A680" s="8" t="s">
        <v>1861</v>
      </c>
      <c r="B680" s="8" t="s">
        <v>660</v>
      </c>
      <c r="C680" s="8" t="s">
        <v>35</v>
      </c>
      <c r="D680" s="10">
        <v>45568</v>
      </c>
      <c r="E680" s="9">
        <v>74874</v>
      </c>
      <c r="F680" s="2" t="str">
        <f>INDEX(Vendors!E:E,MATCH(Vendor_Analysis!C680,Vendors!A:A,0))</f>
        <v xml:space="preserve">60 </v>
      </c>
      <c r="G680" s="2">
        <v>60</v>
      </c>
      <c r="H680" s="16">
        <f t="shared" si="10"/>
        <v>45628</v>
      </c>
      <c r="J680" s="2"/>
    </row>
    <row r="681" spans="1:10" x14ac:dyDescent="0.25">
      <c r="A681" s="8" t="s">
        <v>1862</v>
      </c>
      <c r="B681" s="8" t="s">
        <v>660</v>
      </c>
      <c r="C681" s="8" t="s">
        <v>17</v>
      </c>
      <c r="D681" s="10">
        <v>45572</v>
      </c>
      <c r="E681" s="9">
        <v>39042</v>
      </c>
      <c r="F681" s="2" t="str">
        <f>INDEX(Vendors!E:E,MATCH(Vendor_Analysis!C681,Vendors!A:A,0))</f>
        <v xml:space="preserve">45 </v>
      </c>
      <c r="G681" s="2">
        <v>45</v>
      </c>
      <c r="H681" s="16">
        <f t="shared" si="10"/>
        <v>45617</v>
      </c>
      <c r="J681" s="2"/>
    </row>
    <row r="682" spans="1:10" x14ac:dyDescent="0.25">
      <c r="A682" s="8" t="s">
        <v>1863</v>
      </c>
      <c r="B682" s="8" t="s">
        <v>660</v>
      </c>
      <c r="C682" s="8" t="s">
        <v>35</v>
      </c>
      <c r="D682" s="10">
        <v>45586</v>
      </c>
      <c r="E682" s="9">
        <v>58109</v>
      </c>
      <c r="F682" s="2" t="str">
        <f>INDEX(Vendors!E:E,MATCH(Vendor_Analysis!C682,Vendors!A:A,0))</f>
        <v xml:space="preserve">60 </v>
      </c>
      <c r="G682" s="2">
        <v>60</v>
      </c>
      <c r="H682" s="16">
        <f t="shared" si="10"/>
        <v>45646</v>
      </c>
      <c r="J682" s="2"/>
    </row>
    <row r="683" spans="1:10" x14ac:dyDescent="0.25">
      <c r="A683" s="8" t="s">
        <v>1864</v>
      </c>
      <c r="B683" s="8" t="s">
        <v>660</v>
      </c>
      <c r="C683" s="8" t="s">
        <v>73</v>
      </c>
      <c r="D683" s="10">
        <v>45593</v>
      </c>
      <c r="E683" s="9">
        <v>62527</v>
      </c>
      <c r="F683" s="2" t="str">
        <f>INDEX(Vendors!E:E,MATCH(Vendor_Analysis!C683,Vendors!A:A,0))</f>
        <v xml:space="preserve">60 </v>
      </c>
      <c r="G683" s="2">
        <v>60</v>
      </c>
      <c r="H683" s="16">
        <f t="shared" si="10"/>
        <v>45653</v>
      </c>
      <c r="J683" s="2"/>
    </row>
    <row r="684" spans="1:10" x14ac:dyDescent="0.25">
      <c r="A684" s="8" t="s">
        <v>1865</v>
      </c>
      <c r="B684" s="8" t="s">
        <v>660</v>
      </c>
      <c r="C684" s="8" t="s">
        <v>35</v>
      </c>
      <c r="D684" s="10">
        <v>45598</v>
      </c>
      <c r="E684" s="9">
        <v>25557</v>
      </c>
      <c r="F684" s="2" t="str">
        <f>INDEX(Vendors!E:E,MATCH(Vendor_Analysis!C684,Vendors!A:A,0))</f>
        <v xml:space="preserve">60 </v>
      </c>
      <c r="G684" s="2">
        <v>60</v>
      </c>
      <c r="H684" s="16">
        <f t="shared" si="10"/>
        <v>45658</v>
      </c>
      <c r="J684" s="2"/>
    </row>
    <row r="685" spans="1:10" x14ac:dyDescent="0.25">
      <c r="A685" s="8" t="s">
        <v>1866</v>
      </c>
      <c r="B685" s="8" t="s">
        <v>660</v>
      </c>
      <c r="C685" s="8" t="s">
        <v>91</v>
      </c>
      <c r="D685" s="10">
        <v>45611</v>
      </c>
      <c r="E685" s="9">
        <v>23968</v>
      </c>
      <c r="F685" s="2" t="str">
        <f>INDEX(Vendors!E:E,MATCH(Vendor_Analysis!C685,Vendors!A:A,0))</f>
        <v xml:space="preserve">60 </v>
      </c>
      <c r="G685" s="2">
        <v>60</v>
      </c>
      <c r="H685" s="16">
        <f t="shared" si="10"/>
        <v>45671</v>
      </c>
      <c r="J685" s="2"/>
    </row>
    <row r="686" spans="1:10" x14ac:dyDescent="0.25">
      <c r="A686" s="8" t="s">
        <v>1867</v>
      </c>
      <c r="B686" s="8" t="s">
        <v>660</v>
      </c>
      <c r="C686" s="8" t="s">
        <v>73</v>
      </c>
      <c r="D686" s="10">
        <v>45619</v>
      </c>
      <c r="E686" s="9">
        <v>22424</v>
      </c>
      <c r="F686" s="2" t="str">
        <f>INDEX(Vendors!E:E,MATCH(Vendor_Analysis!C686,Vendors!A:A,0))</f>
        <v xml:space="preserve">60 </v>
      </c>
      <c r="G686" s="2">
        <v>60</v>
      </c>
      <c r="H686" s="16">
        <f t="shared" si="10"/>
        <v>45679</v>
      </c>
      <c r="J686" s="2"/>
    </row>
    <row r="687" spans="1:10" x14ac:dyDescent="0.25">
      <c r="A687" s="8" t="s">
        <v>1868</v>
      </c>
      <c r="B687" s="8" t="s">
        <v>660</v>
      </c>
      <c r="C687" s="8" t="s">
        <v>25</v>
      </c>
      <c r="D687" s="10">
        <v>45619</v>
      </c>
      <c r="E687" s="9">
        <v>52749</v>
      </c>
      <c r="F687" s="2" t="str">
        <f>INDEX(Vendors!E:E,MATCH(Vendor_Analysis!C687,Vendors!A:A,0))</f>
        <v xml:space="preserve">30 </v>
      </c>
      <c r="G687" s="2">
        <v>30</v>
      </c>
      <c r="H687" s="16">
        <f t="shared" si="10"/>
        <v>45649</v>
      </c>
      <c r="J687" s="2"/>
    </row>
    <row r="688" spans="1:10" x14ac:dyDescent="0.25">
      <c r="A688" s="8" t="s">
        <v>1869</v>
      </c>
      <c r="B688" s="8" t="s">
        <v>660</v>
      </c>
      <c r="C688" s="8" t="s">
        <v>48</v>
      </c>
      <c r="D688" s="10">
        <v>45622</v>
      </c>
      <c r="E688" s="9">
        <v>41982</v>
      </c>
      <c r="F688" s="2" t="str">
        <f>INDEX(Vendors!E:E,MATCH(Vendor_Analysis!C688,Vendors!A:A,0))</f>
        <v xml:space="preserve"> 90</v>
      </c>
      <c r="G688" s="2">
        <v>90</v>
      </c>
      <c r="H688" s="16">
        <f t="shared" si="10"/>
        <v>45712</v>
      </c>
      <c r="J688" s="2"/>
    </row>
    <row r="689" spans="1:10" x14ac:dyDescent="0.25">
      <c r="A689" s="8" t="s">
        <v>1870</v>
      </c>
      <c r="B689" s="8" t="s">
        <v>660</v>
      </c>
      <c r="C689" s="8" t="s">
        <v>33</v>
      </c>
      <c r="D689" s="10">
        <v>45650</v>
      </c>
      <c r="E689" s="9">
        <v>22306</v>
      </c>
      <c r="F689" s="2" t="str">
        <f>INDEX(Vendors!E:E,MATCH(Vendor_Analysis!C689,Vendors!A:A,0))</f>
        <v xml:space="preserve">30 </v>
      </c>
      <c r="G689" s="2">
        <v>30</v>
      </c>
      <c r="H689" s="16">
        <f t="shared" si="10"/>
        <v>45680</v>
      </c>
      <c r="J689" s="2"/>
    </row>
    <row r="690" spans="1:10" x14ac:dyDescent="0.25">
      <c r="A690" s="8" t="s">
        <v>1871</v>
      </c>
      <c r="B690" s="8" t="s">
        <v>660</v>
      </c>
      <c r="C690" s="8" t="s">
        <v>91</v>
      </c>
      <c r="D690" s="10">
        <v>45653</v>
      </c>
      <c r="E690" s="9">
        <v>24172</v>
      </c>
      <c r="F690" s="2" t="str">
        <f>INDEX(Vendors!E:E,MATCH(Vendor_Analysis!C690,Vendors!A:A,0))</f>
        <v xml:space="preserve">60 </v>
      </c>
      <c r="G690" s="2">
        <v>60</v>
      </c>
      <c r="H690" s="16">
        <f t="shared" si="10"/>
        <v>45713</v>
      </c>
      <c r="J690" s="2"/>
    </row>
    <row r="691" spans="1:10" x14ac:dyDescent="0.25">
      <c r="A691" s="8" t="s">
        <v>1872</v>
      </c>
      <c r="B691" s="8" t="s">
        <v>660</v>
      </c>
      <c r="C691" s="8" t="s">
        <v>21</v>
      </c>
      <c r="D691" s="10">
        <v>45658</v>
      </c>
      <c r="E691" s="9">
        <v>44135</v>
      </c>
      <c r="F691" s="2" t="str">
        <f>INDEX(Vendors!E:E,MATCH(Vendor_Analysis!C691,Vendors!A:A,0))</f>
        <v xml:space="preserve"> 90</v>
      </c>
      <c r="G691" s="2">
        <v>90</v>
      </c>
      <c r="H691" s="16">
        <f t="shared" si="10"/>
        <v>45748</v>
      </c>
      <c r="J691" s="2"/>
    </row>
    <row r="692" spans="1:10" x14ac:dyDescent="0.25">
      <c r="A692" s="8" t="s">
        <v>1873</v>
      </c>
      <c r="B692" s="8" t="s">
        <v>660</v>
      </c>
      <c r="C692" s="8" t="s">
        <v>14</v>
      </c>
      <c r="D692" s="10">
        <v>45664</v>
      </c>
      <c r="E692" s="9">
        <v>44137</v>
      </c>
      <c r="F692" s="2" t="str">
        <f>INDEX(Vendors!E:E,MATCH(Vendor_Analysis!C692,Vendors!A:A,0))</f>
        <v xml:space="preserve"> 90</v>
      </c>
      <c r="G692" s="2">
        <v>90</v>
      </c>
      <c r="H692" s="16">
        <f t="shared" si="10"/>
        <v>45754</v>
      </c>
      <c r="J692" s="2"/>
    </row>
    <row r="693" spans="1:10" x14ac:dyDescent="0.25">
      <c r="A693" s="8" t="s">
        <v>1874</v>
      </c>
      <c r="B693" s="8" t="s">
        <v>660</v>
      </c>
      <c r="C693" s="8" t="s">
        <v>91</v>
      </c>
      <c r="D693" s="10">
        <v>45667</v>
      </c>
      <c r="E693" s="9">
        <v>27021</v>
      </c>
      <c r="F693" s="2" t="str">
        <f>INDEX(Vendors!E:E,MATCH(Vendor_Analysis!C693,Vendors!A:A,0))</f>
        <v xml:space="preserve">60 </v>
      </c>
      <c r="G693" s="2">
        <v>60</v>
      </c>
      <c r="H693" s="16">
        <f t="shared" si="10"/>
        <v>45727</v>
      </c>
      <c r="J693" s="2"/>
    </row>
    <row r="694" spans="1:10" x14ac:dyDescent="0.25">
      <c r="A694" s="8" t="s">
        <v>1875</v>
      </c>
      <c r="B694" s="8" t="s">
        <v>660</v>
      </c>
      <c r="C694" s="8" t="s">
        <v>109</v>
      </c>
      <c r="D694" s="10">
        <v>45677</v>
      </c>
      <c r="E694" s="9">
        <v>38661</v>
      </c>
      <c r="F694" s="2" t="str">
        <f>INDEX(Vendors!E:E,MATCH(Vendor_Analysis!C694,Vendors!A:A,0))</f>
        <v xml:space="preserve">30 </v>
      </c>
      <c r="G694" s="2">
        <v>30</v>
      </c>
      <c r="H694" s="16">
        <f t="shared" si="10"/>
        <v>45707</v>
      </c>
      <c r="J694" s="2"/>
    </row>
    <row r="695" spans="1:10" x14ac:dyDescent="0.25">
      <c r="A695" s="8" t="s">
        <v>1876</v>
      </c>
      <c r="B695" s="8" t="s">
        <v>660</v>
      </c>
      <c r="C695" s="8" t="s">
        <v>91</v>
      </c>
      <c r="D695" s="10">
        <v>45723</v>
      </c>
      <c r="E695" s="9">
        <v>23520</v>
      </c>
      <c r="F695" s="2" t="str">
        <f>INDEX(Vendors!E:E,MATCH(Vendor_Analysis!C695,Vendors!A:A,0))</f>
        <v xml:space="preserve">60 </v>
      </c>
      <c r="G695" s="2">
        <v>60</v>
      </c>
      <c r="H695" s="16">
        <f t="shared" si="10"/>
        <v>45783</v>
      </c>
      <c r="J695" s="2"/>
    </row>
    <row r="696" spans="1:10" x14ac:dyDescent="0.25">
      <c r="A696" s="8" t="s">
        <v>1877</v>
      </c>
      <c r="B696" s="8" t="s">
        <v>660</v>
      </c>
      <c r="C696" s="8" t="s">
        <v>109</v>
      </c>
      <c r="D696" s="10">
        <v>45727</v>
      </c>
      <c r="E696" s="9">
        <v>48574</v>
      </c>
      <c r="F696" s="2" t="str">
        <f>INDEX(Vendors!E:E,MATCH(Vendor_Analysis!C696,Vendors!A:A,0))</f>
        <v xml:space="preserve">30 </v>
      </c>
      <c r="G696" s="2">
        <v>30</v>
      </c>
      <c r="H696" s="16">
        <f t="shared" si="10"/>
        <v>45757</v>
      </c>
      <c r="J696" s="2"/>
    </row>
    <row r="697" spans="1:10" x14ac:dyDescent="0.25">
      <c r="A697" s="8" t="s">
        <v>1878</v>
      </c>
      <c r="B697" s="8" t="s">
        <v>660</v>
      </c>
      <c r="C697" s="8" t="s">
        <v>19</v>
      </c>
      <c r="D697" s="10">
        <v>45776</v>
      </c>
      <c r="E697" s="9">
        <v>34631</v>
      </c>
      <c r="F697" s="2" t="str">
        <f>INDEX(Vendors!E:E,MATCH(Vendor_Analysis!C697,Vendors!A:A,0))</f>
        <v xml:space="preserve">45 </v>
      </c>
      <c r="G697" s="2">
        <v>45</v>
      </c>
      <c r="H697" s="16">
        <f t="shared" si="10"/>
        <v>45821</v>
      </c>
      <c r="J697" s="2"/>
    </row>
    <row r="698" spans="1:10" x14ac:dyDescent="0.25">
      <c r="A698" s="8" t="s">
        <v>1879</v>
      </c>
      <c r="B698" s="8" t="s">
        <v>660</v>
      </c>
      <c r="C698" s="8" t="s">
        <v>10</v>
      </c>
      <c r="D698" s="10">
        <v>45831</v>
      </c>
      <c r="E698" s="9">
        <v>34095</v>
      </c>
      <c r="F698" s="2" t="str">
        <f>INDEX(Vendors!E:E,MATCH(Vendor_Analysis!C698,Vendors!A:A,0))</f>
        <v xml:space="preserve">60 </v>
      </c>
      <c r="G698" s="2">
        <v>60</v>
      </c>
      <c r="H698" s="16">
        <f t="shared" si="10"/>
        <v>45891</v>
      </c>
      <c r="J698" s="2"/>
    </row>
    <row r="699" spans="1:10" x14ac:dyDescent="0.25">
      <c r="A699" s="8" t="s">
        <v>1880</v>
      </c>
      <c r="B699" s="8" t="s">
        <v>660</v>
      </c>
      <c r="C699" s="8" t="s">
        <v>109</v>
      </c>
      <c r="D699" s="10">
        <v>45848</v>
      </c>
      <c r="E699" s="9">
        <v>32363</v>
      </c>
      <c r="F699" s="2" t="str">
        <f>INDEX(Vendors!E:E,MATCH(Vendor_Analysis!C699,Vendors!A:A,0))</f>
        <v xml:space="preserve">30 </v>
      </c>
      <c r="G699" s="2">
        <v>30</v>
      </c>
      <c r="H699" s="16">
        <f t="shared" si="10"/>
        <v>45878</v>
      </c>
      <c r="J699" s="2"/>
    </row>
    <row r="700" spans="1:10" x14ac:dyDescent="0.25">
      <c r="A700" s="8" t="s">
        <v>1881</v>
      </c>
      <c r="B700" s="8" t="s">
        <v>660</v>
      </c>
      <c r="C700" s="8" t="s">
        <v>35</v>
      </c>
      <c r="D700" s="10">
        <v>45870</v>
      </c>
      <c r="E700" s="9">
        <v>30728</v>
      </c>
      <c r="F700" s="2" t="str">
        <f>INDEX(Vendors!E:E,MATCH(Vendor_Analysis!C700,Vendors!A:A,0))</f>
        <v xml:space="preserve">60 </v>
      </c>
      <c r="G700" s="2">
        <v>60</v>
      </c>
      <c r="H700" s="16">
        <f t="shared" si="10"/>
        <v>45930</v>
      </c>
      <c r="J700" s="2"/>
    </row>
    <row r="701" spans="1:10" x14ac:dyDescent="0.25">
      <c r="A701" s="8" t="s">
        <v>1882</v>
      </c>
      <c r="B701" s="8" t="s">
        <v>660</v>
      </c>
      <c r="C701" s="8" t="s">
        <v>44</v>
      </c>
      <c r="D701" s="10">
        <v>45883</v>
      </c>
      <c r="E701" s="9">
        <v>49265</v>
      </c>
      <c r="F701" s="2" t="str">
        <f>INDEX(Vendors!E:E,MATCH(Vendor_Analysis!C701,Vendors!A:A,0))</f>
        <v xml:space="preserve">45 </v>
      </c>
      <c r="G701" s="2">
        <v>45</v>
      </c>
      <c r="H701" s="16">
        <f t="shared" si="10"/>
        <v>45928</v>
      </c>
      <c r="J701" s="2"/>
    </row>
    <row r="702" spans="1:10" x14ac:dyDescent="0.25">
      <c r="A702" s="8" t="s">
        <v>685</v>
      </c>
      <c r="B702" s="8" t="s">
        <v>686</v>
      </c>
      <c r="C702" s="8" t="s">
        <v>17</v>
      </c>
      <c r="D702" s="10">
        <v>45252</v>
      </c>
      <c r="E702" s="9">
        <v>45390</v>
      </c>
      <c r="F702" s="2" t="str">
        <f>INDEX(Vendors!E:E,MATCH(Vendor_Analysis!C702,Vendors!A:A,0))</f>
        <v xml:space="preserve">45 </v>
      </c>
      <c r="G702" s="2">
        <v>45</v>
      </c>
      <c r="H702" s="16">
        <f t="shared" si="10"/>
        <v>45297</v>
      </c>
      <c r="J702" s="2"/>
    </row>
    <row r="703" spans="1:10" x14ac:dyDescent="0.25">
      <c r="A703" s="8" t="s">
        <v>687</v>
      </c>
      <c r="B703" s="8" t="s">
        <v>686</v>
      </c>
      <c r="C703" s="8" t="s">
        <v>91</v>
      </c>
      <c r="D703" s="10">
        <v>45269</v>
      </c>
      <c r="E703" s="9">
        <v>23859</v>
      </c>
      <c r="F703" s="2" t="str">
        <f>INDEX(Vendors!E:E,MATCH(Vendor_Analysis!C703,Vendors!A:A,0))</f>
        <v xml:space="preserve">60 </v>
      </c>
      <c r="G703" s="2">
        <v>60</v>
      </c>
      <c r="H703" s="16">
        <f t="shared" si="10"/>
        <v>45329</v>
      </c>
      <c r="J703" s="2"/>
    </row>
    <row r="704" spans="1:10" x14ac:dyDescent="0.25">
      <c r="A704" s="8" t="s">
        <v>688</v>
      </c>
      <c r="B704" s="8" t="s">
        <v>686</v>
      </c>
      <c r="C704" s="8" t="s">
        <v>73</v>
      </c>
      <c r="D704" s="10">
        <v>45279</v>
      </c>
      <c r="E704" s="9">
        <v>52386</v>
      </c>
      <c r="F704" s="2" t="str">
        <f>INDEX(Vendors!E:E,MATCH(Vendor_Analysis!C704,Vendors!A:A,0))</f>
        <v xml:space="preserve">60 </v>
      </c>
      <c r="G704" s="2">
        <v>60</v>
      </c>
      <c r="H704" s="16">
        <f t="shared" si="10"/>
        <v>45339</v>
      </c>
      <c r="J704" s="2"/>
    </row>
    <row r="705" spans="1:10" x14ac:dyDescent="0.25">
      <c r="A705" s="8" t="s">
        <v>689</v>
      </c>
      <c r="B705" s="8" t="s">
        <v>686</v>
      </c>
      <c r="C705" s="8" t="s">
        <v>110</v>
      </c>
      <c r="D705" s="10">
        <v>45284</v>
      </c>
      <c r="E705" s="9">
        <v>28636</v>
      </c>
      <c r="F705" s="2" t="str">
        <f>INDEX(Vendors!E:E,MATCH(Vendor_Analysis!C705,Vendors!A:A,0))</f>
        <v xml:space="preserve">30 </v>
      </c>
      <c r="G705" s="2">
        <v>30</v>
      </c>
      <c r="H705" s="16">
        <f t="shared" si="10"/>
        <v>45314</v>
      </c>
      <c r="J705" s="2"/>
    </row>
    <row r="706" spans="1:10" x14ac:dyDescent="0.25">
      <c r="A706" s="8" t="s">
        <v>690</v>
      </c>
      <c r="B706" s="8" t="s">
        <v>686</v>
      </c>
      <c r="C706" s="8" t="s">
        <v>73</v>
      </c>
      <c r="D706" s="10">
        <v>45294</v>
      </c>
      <c r="E706" s="9">
        <v>46842</v>
      </c>
      <c r="F706" s="2" t="str">
        <f>INDEX(Vendors!E:E,MATCH(Vendor_Analysis!C706,Vendors!A:A,0))</f>
        <v xml:space="preserve">60 </v>
      </c>
      <c r="G706" s="2">
        <v>60</v>
      </c>
      <c r="H706" s="16">
        <f t="shared" si="10"/>
        <v>45354</v>
      </c>
      <c r="J706" s="2"/>
    </row>
    <row r="707" spans="1:10" x14ac:dyDescent="0.25">
      <c r="A707" s="8" t="s">
        <v>691</v>
      </c>
      <c r="B707" s="8" t="s">
        <v>686</v>
      </c>
      <c r="C707" s="8" t="s">
        <v>12</v>
      </c>
      <c r="D707" s="10">
        <v>45304</v>
      </c>
      <c r="E707" s="9">
        <v>31610</v>
      </c>
      <c r="F707" s="2" t="str">
        <f>INDEX(Vendors!E:E,MATCH(Vendor_Analysis!C707,Vendors!A:A,0))</f>
        <v xml:space="preserve">30 </v>
      </c>
      <c r="G707" s="2">
        <v>30</v>
      </c>
      <c r="H707" s="16">
        <f t="shared" ref="H707:H770" si="11">D707+F707</f>
        <v>45334</v>
      </c>
      <c r="J707" s="2"/>
    </row>
    <row r="708" spans="1:10" x14ac:dyDescent="0.25">
      <c r="A708" s="8" t="s">
        <v>692</v>
      </c>
      <c r="B708" s="8" t="s">
        <v>686</v>
      </c>
      <c r="C708" s="8" t="s">
        <v>6</v>
      </c>
      <c r="D708" s="10">
        <v>45305</v>
      </c>
      <c r="E708" s="9">
        <v>42082</v>
      </c>
      <c r="F708" s="2" t="str">
        <f>INDEX(Vendors!E:E,MATCH(Vendor_Analysis!C708,Vendors!A:A,0))</f>
        <v xml:space="preserve">60 </v>
      </c>
      <c r="G708" s="2">
        <v>60</v>
      </c>
      <c r="H708" s="16">
        <f t="shared" si="11"/>
        <v>45365</v>
      </c>
      <c r="J708" s="2"/>
    </row>
    <row r="709" spans="1:10" x14ac:dyDescent="0.25">
      <c r="A709" s="8" t="s">
        <v>693</v>
      </c>
      <c r="B709" s="8" t="s">
        <v>686</v>
      </c>
      <c r="C709" s="8" t="s">
        <v>33</v>
      </c>
      <c r="D709" s="10">
        <v>45314</v>
      </c>
      <c r="E709" s="9">
        <v>23521</v>
      </c>
      <c r="F709" s="2" t="str">
        <f>INDEX(Vendors!E:E,MATCH(Vendor_Analysis!C709,Vendors!A:A,0))</f>
        <v xml:space="preserve">30 </v>
      </c>
      <c r="G709" s="2">
        <v>30</v>
      </c>
      <c r="H709" s="16">
        <f t="shared" si="11"/>
        <v>45344</v>
      </c>
      <c r="J709" s="2"/>
    </row>
    <row r="710" spans="1:10" x14ac:dyDescent="0.25">
      <c r="A710" s="8" t="s">
        <v>694</v>
      </c>
      <c r="B710" s="8" t="s">
        <v>686</v>
      </c>
      <c r="C710" s="8" t="s">
        <v>17</v>
      </c>
      <c r="D710" s="10">
        <v>45316</v>
      </c>
      <c r="E710" s="9">
        <v>26211</v>
      </c>
      <c r="F710" s="2" t="str">
        <f>INDEX(Vendors!E:E,MATCH(Vendor_Analysis!C710,Vendors!A:A,0))</f>
        <v xml:space="preserve">45 </v>
      </c>
      <c r="G710" s="2">
        <v>45</v>
      </c>
      <c r="H710" s="16">
        <f t="shared" si="11"/>
        <v>45361</v>
      </c>
      <c r="J710" s="2"/>
    </row>
    <row r="711" spans="1:10" x14ac:dyDescent="0.25">
      <c r="A711" s="8" t="s">
        <v>695</v>
      </c>
      <c r="B711" s="8" t="s">
        <v>686</v>
      </c>
      <c r="C711" s="8" t="s">
        <v>29</v>
      </c>
      <c r="D711" s="10">
        <v>45320</v>
      </c>
      <c r="E711" s="9">
        <v>26524</v>
      </c>
      <c r="F711" s="2" t="str">
        <f>INDEX(Vendors!E:E,MATCH(Vendor_Analysis!C711,Vendors!A:A,0))</f>
        <v xml:space="preserve">30 </v>
      </c>
      <c r="G711" s="2">
        <v>30</v>
      </c>
      <c r="H711" s="16">
        <f t="shared" si="11"/>
        <v>45350</v>
      </c>
      <c r="J711" s="2"/>
    </row>
    <row r="712" spans="1:10" x14ac:dyDescent="0.25">
      <c r="A712" s="8" t="s">
        <v>696</v>
      </c>
      <c r="B712" s="8" t="s">
        <v>686</v>
      </c>
      <c r="C712" s="8" t="s">
        <v>27</v>
      </c>
      <c r="D712" s="10">
        <v>45342</v>
      </c>
      <c r="E712" s="9">
        <v>44730</v>
      </c>
      <c r="F712" s="2" t="str">
        <f>INDEX(Vendors!E:E,MATCH(Vendor_Analysis!C712,Vendors!A:A,0))</f>
        <v xml:space="preserve">45 </v>
      </c>
      <c r="G712" s="2">
        <v>45</v>
      </c>
      <c r="H712" s="16">
        <f t="shared" si="11"/>
        <v>45387</v>
      </c>
      <c r="J712" s="2"/>
    </row>
    <row r="713" spans="1:10" x14ac:dyDescent="0.25">
      <c r="A713" s="8" t="s">
        <v>697</v>
      </c>
      <c r="B713" s="8" t="s">
        <v>686</v>
      </c>
      <c r="C713" s="8" t="s">
        <v>44</v>
      </c>
      <c r="D713" s="10">
        <v>45374</v>
      </c>
      <c r="E713" s="9">
        <v>30088</v>
      </c>
      <c r="F713" s="2" t="str">
        <f>INDEX(Vendors!E:E,MATCH(Vendor_Analysis!C713,Vendors!A:A,0))</f>
        <v xml:space="preserve">45 </v>
      </c>
      <c r="G713" s="2">
        <v>45</v>
      </c>
      <c r="H713" s="16">
        <f t="shared" si="11"/>
        <v>45419</v>
      </c>
      <c r="J713" s="2"/>
    </row>
    <row r="714" spans="1:10" x14ac:dyDescent="0.25">
      <c r="A714" s="8" t="s">
        <v>698</v>
      </c>
      <c r="B714" s="8" t="s">
        <v>686</v>
      </c>
      <c r="C714" s="8" t="s">
        <v>91</v>
      </c>
      <c r="D714" s="10">
        <v>45382</v>
      </c>
      <c r="E714" s="9">
        <v>49007</v>
      </c>
      <c r="F714" s="2" t="str">
        <f>INDEX(Vendors!E:E,MATCH(Vendor_Analysis!C714,Vendors!A:A,0))</f>
        <v xml:space="preserve">60 </v>
      </c>
      <c r="G714" s="2">
        <v>60</v>
      </c>
      <c r="H714" s="16">
        <f t="shared" si="11"/>
        <v>45442</v>
      </c>
      <c r="J714" s="2"/>
    </row>
    <row r="715" spans="1:10" x14ac:dyDescent="0.25">
      <c r="A715" s="8" t="s">
        <v>699</v>
      </c>
      <c r="B715" s="8" t="s">
        <v>686</v>
      </c>
      <c r="C715" s="8" t="s">
        <v>12</v>
      </c>
      <c r="D715" s="10">
        <v>45399</v>
      </c>
      <c r="E715" s="9">
        <v>70516</v>
      </c>
      <c r="F715" s="2" t="str">
        <f>INDEX(Vendors!E:E,MATCH(Vendor_Analysis!C715,Vendors!A:A,0))</f>
        <v xml:space="preserve">30 </v>
      </c>
      <c r="G715" s="2">
        <v>30</v>
      </c>
      <c r="H715" s="16">
        <f t="shared" si="11"/>
        <v>45429</v>
      </c>
      <c r="J715" s="2"/>
    </row>
    <row r="716" spans="1:10" x14ac:dyDescent="0.25">
      <c r="A716" s="8" t="s">
        <v>700</v>
      </c>
      <c r="B716" s="8" t="s">
        <v>686</v>
      </c>
      <c r="C716" s="8" t="s">
        <v>55</v>
      </c>
      <c r="D716" s="10">
        <v>45415</v>
      </c>
      <c r="E716" s="9">
        <v>20485</v>
      </c>
      <c r="F716" s="2" t="str">
        <f>INDEX(Vendors!E:E,MATCH(Vendor_Analysis!C716,Vendors!A:A,0))</f>
        <v xml:space="preserve">30 </v>
      </c>
      <c r="G716" s="2">
        <v>30</v>
      </c>
      <c r="H716" s="16">
        <f t="shared" si="11"/>
        <v>45445</v>
      </c>
      <c r="J716" s="2"/>
    </row>
    <row r="717" spans="1:10" x14ac:dyDescent="0.25">
      <c r="A717" s="8" t="s">
        <v>701</v>
      </c>
      <c r="B717" s="8" t="s">
        <v>686</v>
      </c>
      <c r="C717" s="8" t="s">
        <v>29</v>
      </c>
      <c r="D717" s="10">
        <v>45420</v>
      </c>
      <c r="E717" s="9">
        <v>26740</v>
      </c>
      <c r="F717" s="2" t="str">
        <f>INDEX(Vendors!E:E,MATCH(Vendor_Analysis!C717,Vendors!A:A,0))</f>
        <v xml:space="preserve">30 </v>
      </c>
      <c r="G717" s="2">
        <v>30</v>
      </c>
      <c r="H717" s="16">
        <f t="shared" si="11"/>
        <v>45450</v>
      </c>
      <c r="J717" s="2"/>
    </row>
    <row r="718" spans="1:10" x14ac:dyDescent="0.25">
      <c r="A718" s="8" t="s">
        <v>702</v>
      </c>
      <c r="B718" s="8" t="s">
        <v>686</v>
      </c>
      <c r="C718" s="8" t="s">
        <v>6</v>
      </c>
      <c r="D718" s="10">
        <v>45427</v>
      </c>
      <c r="E718" s="9">
        <v>26654</v>
      </c>
      <c r="F718" s="2" t="str">
        <f>INDEX(Vendors!E:E,MATCH(Vendor_Analysis!C718,Vendors!A:A,0))</f>
        <v xml:space="preserve">60 </v>
      </c>
      <c r="G718" s="2">
        <v>60</v>
      </c>
      <c r="H718" s="16">
        <f t="shared" si="11"/>
        <v>45487</v>
      </c>
      <c r="J718" s="2"/>
    </row>
    <row r="719" spans="1:10" x14ac:dyDescent="0.25">
      <c r="A719" s="8" t="s">
        <v>703</v>
      </c>
      <c r="B719" s="8" t="s">
        <v>686</v>
      </c>
      <c r="C719" s="8" t="s">
        <v>91</v>
      </c>
      <c r="D719" s="10">
        <v>45431</v>
      </c>
      <c r="E719" s="9">
        <v>52982</v>
      </c>
      <c r="F719" s="2" t="str">
        <f>INDEX(Vendors!E:E,MATCH(Vendor_Analysis!C719,Vendors!A:A,0))</f>
        <v xml:space="preserve">60 </v>
      </c>
      <c r="G719" s="2">
        <v>60</v>
      </c>
      <c r="H719" s="16">
        <f t="shared" si="11"/>
        <v>45491</v>
      </c>
      <c r="J719" s="2"/>
    </row>
    <row r="720" spans="1:10" x14ac:dyDescent="0.25">
      <c r="A720" s="8" t="s">
        <v>704</v>
      </c>
      <c r="B720" s="8" t="s">
        <v>686</v>
      </c>
      <c r="C720" s="8" t="s">
        <v>23</v>
      </c>
      <c r="D720" s="10">
        <v>45440</v>
      </c>
      <c r="E720" s="9">
        <v>46973</v>
      </c>
      <c r="F720" s="2" t="str">
        <f>INDEX(Vendors!E:E,MATCH(Vendor_Analysis!C720,Vendors!A:A,0))</f>
        <v xml:space="preserve"> 90</v>
      </c>
      <c r="G720" s="2">
        <v>90</v>
      </c>
      <c r="H720" s="16">
        <f t="shared" si="11"/>
        <v>45530</v>
      </c>
      <c r="J720" s="2"/>
    </row>
    <row r="721" spans="1:10" x14ac:dyDescent="0.25">
      <c r="A721" s="8" t="s">
        <v>705</v>
      </c>
      <c r="B721" s="8" t="s">
        <v>686</v>
      </c>
      <c r="C721" s="8" t="s">
        <v>33</v>
      </c>
      <c r="D721" s="10">
        <v>45442</v>
      </c>
      <c r="E721" s="9">
        <v>32214</v>
      </c>
      <c r="F721" s="2" t="str">
        <f>INDEX(Vendors!E:E,MATCH(Vendor_Analysis!C721,Vendors!A:A,0))</f>
        <v xml:space="preserve">30 </v>
      </c>
      <c r="G721" s="2">
        <v>30</v>
      </c>
      <c r="H721" s="16">
        <f t="shared" si="11"/>
        <v>45472</v>
      </c>
      <c r="J721" s="2"/>
    </row>
    <row r="722" spans="1:10" x14ac:dyDescent="0.25">
      <c r="A722" s="8" t="s">
        <v>706</v>
      </c>
      <c r="B722" s="8" t="s">
        <v>686</v>
      </c>
      <c r="C722" s="8" t="s">
        <v>19</v>
      </c>
      <c r="D722" s="10">
        <v>45549</v>
      </c>
      <c r="E722" s="9">
        <v>52414</v>
      </c>
      <c r="F722" s="2" t="str">
        <f>INDEX(Vendors!E:E,MATCH(Vendor_Analysis!C722,Vendors!A:A,0))</f>
        <v xml:space="preserve">45 </v>
      </c>
      <c r="G722" s="2">
        <v>45</v>
      </c>
      <c r="H722" s="16">
        <f t="shared" si="11"/>
        <v>45594</v>
      </c>
      <c r="J722" s="2"/>
    </row>
    <row r="723" spans="1:10" x14ac:dyDescent="0.25">
      <c r="A723" s="8" t="s">
        <v>707</v>
      </c>
      <c r="B723" s="8" t="s">
        <v>686</v>
      </c>
      <c r="C723" s="8" t="s">
        <v>110</v>
      </c>
      <c r="D723" s="10">
        <v>45559</v>
      </c>
      <c r="E723" s="9">
        <v>43619</v>
      </c>
      <c r="F723" s="2" t="str">
        <f>INDEX(Vendors!E:E,MATCH(Vendor_Analysis!C723,Vendors!A:A,0))</f>
        <v xml:space="preserve">30 </v>
      </c>
      <c r="G723" s="2">
        <v>30</v>
      </c>
      <c r="H723" s="16">
        <f t="shared" si="11"/>
        <v>45589</v>
      </c>
      <c r="J723" s="2"/>
    </row>
    <row r="724" spans="1:10" x14ac:dyDescent="0.25">
      <c r="A724" s="8" t="s">
        <v>708</v>
      </c>
      <c r="B724" s="8" t="s">
        <v>686</v>
      </c>
      <c r="C724" s="8" t="s">
        <v>10</v>
      </c>
      <c r="D724" s="10">
        <v>45564</v>
      </c>
      <c r="E724" s="9">
        <v>34458</v>
      </c>
      <c r="F724" s="2" t="str">
        <f>INDEX(Vendors!E:E,MATCH(Vendor_Analysis!C724,Vendors!A:A,0))</f>
        <v xml:space="preserve">60 </v>
      </c>
      <c r="G724" s="2">
        <v>60</v>
      </c>
      <c r="H724" s="16">
        <f t="shared" si="11"/>
        <v>45624</v>
      </c>
      <c r="J724" s="2"/>
    </row>
    <row r="725" spans="1:10" x14ac:dyDescent="0.25">
      <c r="A725" s="8" t="s">
        <v>709</v>
      </c>
      <c r="B725" s="8" t="s">
        <v>686</v>
      </c>
      <c r="C725" s="8" t="s">
        <v>8</v>
      </c>
      <c r="D725" s="10">
        <v>45571</v>
      </c>
      <c r="E725" s="9">
        <v>43442</v>
      </c>
      <c r="F725" s="2" t="str">
        <f>INDEX(Vendors!E:E,MATCH(Vendor_Analysis!C725,Vendors!A:A,0))</f>
        <v xml:space="preserve">60 </v>
      </c>
      <c r="G725" s="2">
        <v>60</v>
      </c>
      <c r="H725" s="16">
        <f t="shared" si="11"/>
        <v>45631</v>
      </c>
      <c r="J725" s="2"/>
    </row>
    <row r="726" spans="1:10" x14ac:dyDescent="0.25">
      <c r="A726" s="8" t="s">
        <v>710</v>
      </c>
      <c r="B726" s="8" t="s">
        <v>686</v>
      </c>
      <c r="C726" s="8" t="s">
        <v>17</v>
      </c>
      <c r="D726" s="10">
        <v>45575</v>
      </c>
      <c r="E726" s="9">
        <v>41580</v>
      </c>
      <c r="F726" s="2" t="str">
        <f>INDEX(Vendors!E:E,MATCH(Vendor_Analysis!C726,Vendors!A:A,0))</f>
        <v xml:space="preserve">45 </v>
      </c>
      <c r="G726" s="2">
        <v>45</v>
      </c>
      <c r="H726" s="16">
        <f t="shared" si="11"/>
        <v>45620</v>
      </c>
      <c r="J726" s="2"/>
    </row>
    <row r="727" spans="1:10" x14ac:dyDescent="0.25">
      <c r="A727" s="8" t="s">
        <v>711</v>
      </c>
      <c r="B727" s="8" t="s">
        <v>686</v>
      </c>
      <c r="C727" s="8" t="s">
        <v>50</v>
      </c>
      <c r="D727" s="10">
        <v>45576</v>
      </c>
      <c r="E727" s="9">
        <v>44420</v>
      </c>
      <c r="F727" s="2" t="str">
        <f>INDEX(Vendors!E:E,MATCH(Vendor_Analysis!C727,Vendors!A:A,0))</f>
        <v xml:space="preserve"> 90</v>
      </c>
      <c r="G727" s="2">
        <v>90</v>
      </c>
      <c r="H727" s="16">
        <f t="shared" si="11"/>
        <v>45666</v>
      </c>
      <c r="J727" s="2"/>
    </row>
    <row r="728" spans="1:10" x14ac:dyDescent="0.25">
      <c r="A728" s="8" t="s">
        <v>712</v>
      </c>
      <c r="B728" s="8" t="s">
        <v>686</v>
      </c>
      <c r="C728" s="8" t="s">
        <v>71</v>
      </c>
      <c r="D728" s="10">
        <v>45596</v>
      </c>
      <c r="E728" s="9">
        <v>51145</v>
      </c>
      <c r="F728" s="2" t="str">
        <f>INDEX(Vendors!E:E,MATCH(Vendor_Analysis!C728,Vendors!A:A,0))</f>
        <v xml:space="preserve">45 </v>
      </c>
      <c r="G728" s="2">
        <v>45</v>
      </c>
      <c r="H728" s="16">
        <f t="shared" si="11"/>
        <v>45641</v>
      </c>
      <c r="J728" s="2"/>
    </row>
    <row r="729" spans="1:10" x14ac:dyDescent="0.25">
      <c r="A729" s="8" t="s">
        <v>713</v>
      </c>
      <c r="B729" s="8" t="s">
        <v>686</v>
      </c>
      <c r="C729" s="8" t="s">
        <v>55</v>
      </c>
      <c r="D729" s="10">
        <v>45597</v>
      </c>
      <c r="E729" s="9">
        <v>69175</v>
      </c>
      <c r="F729" s="2" t="str">
        <f>INDEX(Vendors!E:E,MATCH(Vendor_Analysis!C729,Vendors!A:A,0))</f>
        <v xml:space="preserve">30 </v>
      </c>
      <c r="G729" s="2">
        <v>30</v>
      </c>
      <c r="H729" s="16">
        <f t="shared" si="11"/>
        <v>45627</v>
      </c>
      <c r="J729" s="2"/>
    </row>
    <row r="730" spans="1:10" x14ac:dyDescent="0.25">
      <c r="A730" s="8" t="s">
        <v>714</v>
      </c>
      <c r="B730" s="8" t="s">
        <v>686</v>
      </c>
      <c r="C730" s="8" t="s">
        <v>73</v>
      </c>
      <c r="D730" s="10">
        <v>45611</v>
      </c>
      <c r="E730" s="9">
        <v>47860</v>
      </c>
      <c r="F730" s="2" t="str">
        <f>INDEX(Vendors!E:E,MATCH(Vendor_Analysis!C730,Vendors!A:A,0))</f>
        <v xml:space="preserve">60 </v>
      </c>
      <c r="G730" s="2">
        <v>60</v>
      </c>
      <c r="H730" s="16">
        <f t="shared" si="11"/>
        <v>45671</v>
      </c>
      <c r="J730" s="2"/>
    </row>
    <row r="731" spans="1:10" x14ac:dyDescent="0.25">
      <c r="A731" s="8" t="s">
        <v>715</v>
      </c>
      <c r="B731" s="8" t="s">
        <v>686</v>
      </c>
      <c r="C731" s="8" t="s">
        <v>44</v>
      </c>
      <c r="D731" s="10">
        <v>45612</v>
      </c>
      <c r="E731" s="9">
        <v>42571</v>
      </c>
      <c r="F731" s="2" t="str">
        <f>INDEX(Vendors!E:E,MATCH(Vendor_Analysis!C731,Vendors!A:A,0))</f>
        <v xml:space="preserve">45 </v>
      </c>
      <c r="G731" s="2">
        <v>45</v>
      </c>
      <c r="H731" s="16">
        <f t="shared" si="11"/>
        <v>45657</v>
      </c>
      <c r="J731" s="2"/>
    </row>
    <row r="732" spans="1:10" x14ac:dyDescent="0.25">
      <c r="A732" s="8" t="s">
        <v>716</v>
      </c>
      <c r="B732" s="8" t="s">
        <v>686</v>
      </c>
      <c r="C732" s="8" t="s">
        <v>21</v>
      </c>
      <c r="D732" s="10">
        <v>45616</v>
      </c>
      <c r="E732" s="9">
        <v>21020</v>
      </c>
      <c r="F732" s="2" t="str">
        <f>INDEX(Vendors!E:E,MATCH(Vendor_Analysis!C732,Vendors!A:A,0))</f>
        <v xml:space="preserve"> 90</v>
      </c>
      <c r="G732" s="2">
        <v>90</v>
      </c>
      <c r="H732" s="16">
        <f t="shared" si="11"/>
        <v>45706</v>
      </c>
      <c r="J732" s="2"/>
    </row>
    <row r="733" spans="1:10" x14ac:dyDescent="0.25">
      <c r="A733" s="8" t="s">
        <v>717</v>
      </c>
      <c r="B733" s="8" t="s">
        <v>686</v>
      </c>
      <c r="C733" s="8" t="s">
        <v>21</v>
      </c>
      <c r="D733" s="10">
        <v>45618</v>
      </c>
      <c r="E733" s="9">
        <v>19073</v>
      </c>
      <c r="F733" s="2" t="str">
        <f>INDEX(Vendors!E:E,MATCH(Vendor_Analysis!C733,Vendors!A:A,0))</f>
        <v xml:space="preserve"> 90</v>
      </c>
      <c r="G733" s="2">
        <v>90</v>
      </c>
      <c r="H733" s="16">
        <f t="shared" si="11"/>
        <v>45708</v>
      </c>
      <c r="J733" s="2"/>
    </row>
    <row r="734" spans="1:10" x14ac:dyDescent="0.25">
      <c r="A734" s="8" t="s">
        <v>718</v>
      </c>
      <c r="B734" s="8" t="s">
        <v>686</v>
      </c>
      <c r="C734" s="8" t="s">
        <v>21</v>
      </c>
      <c r="D734" s="10">
        <v>45631</v>
      </c>
      <c r="E734" s="9">
        <v>45545</v>
      </c>
      <c r="F734" s="2" t="str">
        <f>INDEX(Vendors!E:E,MATCH(Vendor_Analysis!C734,Vendors!A:A,0))</f>
        <v xml:space="preserve"> 90</v>
      </c>
      <c r="G734" s="2">
        <v>90</v>
      </c>
      <c r="H734" s="16">
        <f t="shared" si="11"/>
        <v>45721</v>
      </c>
      <c r="J734" s="2"/>
    </row>
    <row r="735" spans="1:10" x14ac:dyDescent="0.25">
      <c r="A735" s="8" t="s">
        <v>719</v>
      </c>
      <c r="B735" s="8" t="s">
        <v>686</v>
      </c>
      <c r="C735" s="8" t="s">
        <v>10</v>
      </c>
      <c r="D735" s="10">
        <v>45645</v>
      </c>
      <c r="E735" s="9">
        <v>37408</v>
      </c>
      <c r="F735" s="2" t="str">
        <f>INDEX(Vendors!E:E,MATCH(Vendor_Analysis!C735,Vendors!A:A,0))</f>
        <v xml:space="preserve">60 </v>
      </c>
      <c r="G735" s="2">
        <v>60</v>
      </c>
      <c r="H735" s="16">
        <f t="shared" si="11"/>
        <v>45705</v>
      </c>
      <c r="J735" s="2"/>
    </row>
    <row r="736" spans="1:10" x14ac:dyDescent="0.25">
      <c r="A736" s="8" t="s">
        <v>720</v>
      </c>
      <c r="B736" s="8" t="s">
        <v>686</v>
      </c>
      <c r="C736" s="8" t="s">
        <v>19</v>
      </c>
      <c r="D736" s="10">
        <v>45651</v>
      </c>
      <c r="E736" s="9">
        <v>21290</v>
      </c>
      <c r="F736" s="2" t="str">
        <f>INDEX(Vendors!E:E,MATCH(Vendor_Analysis!C736,Vendors!A:A,0))</f>
        <v xml:space="preserve">45 </v>
      </c>
      <c r="G736" s="2">
        <v>45</v>
      </c>
      <c r="H736" s="16">
        <f t="shared" si="11"/>
        <v>45696</v>
      </c>
      <c r="J736" s="2"/>
    </row>
    <row r="737" spans="1:10" x14ac:dyDescent="0.25">
      <c r="A737" s="8" t="s">
        <v>721</v>
      </c>
      <c r="B737" s="8" t="s">
        <v>686</v>
      </c>
      <c r="C737" s="8" t="s">
        <v>73</v>
      </c>
      <c r="D737" s="10">
        <v>45672</v>
      </c>
      <c r="E737" s="9">
        <v>19200</v>
      </c>
      <c r="F737" s="2" t="str">
        <f>INDEX(Vendors!E:E,MATCH(Vendor_Analysis!C737,Vendors!A:A,0))</f>
        <v xml:space="preserve">60 </v>
      </c>
      <c r="G737" s="2">
        <v>60</v>
      </c>
      <c r="H737" s="16">
        <f t="shared" si="11"/>
        <v>45732</v>
      </c>
      <c r="J737" s="2"/>
    </row>
    <row r="738" spans="1:10" x14ac:dyDescent="0.25">
      <c r="A738" s="8" t="s">
        <v>722</v>
      </c>
      <c r="B738" s="8" t="s">
        <v>686</v>
      </c>
      <c r="C738" s="8" t="s">
        <v>91</v>
      </c>
      <c r="D738" s="10">
        <v>45681</v>
      </c>
      <c r="E738" s="9">
        <v>24817</v>
      </c>
      <c r="F738" s="2" t="str">
        <f>INDEX(Vendors!E:E,MATCH(Vendor_Analysis!C738,Vendors!A:A,0))</f>
        <v xml:space="preserve">60 </v>
      </c>
      <c r="G738" s="2">
        <v>60</v>
      </c>
      <c r="H738" s="16">
        <f t="shared" si="11"/>
        <v>45741</v>
      </c>
      <c r="J738" s="2"/>
    </row>
    <row r="739" spans="1:10" x14ac:dyDescent="0.25">
      <c r="A739" s="8" t="s">
        <v>723</v>
      </c>
      <c r="B739" s="8" t="s">
        <v>686</v>
      </c>
      <c r="C739" s="8" t="s">
        <v>44</v>
      </c>
      <c r="D739" s="10">
        <v>45684</v>
      </c>
      <c r="E739" s="9">
        <v>18486</v>
      </c>
      <c r="F739" s="2" t="str">
        <f>INDEX(Vendors!E:E,MATCH(Vendor_Analysis!C739,Vendors!A:A,0))</f>
        <v xml:space="preserve">45 </v>
      </c>
      <c r="G739" s="2">
        <v>45</v>
      </c>
      <c r="H739" s="16">
        <f t="shared" si="11"/>
        <v>45729</v>
      </c>
      <c r="J739" s="2"/>
    </row>
    <row r="740" spans="1:10" x14ac:dyDescent="0.25">
      <c r="A740" s="8" t="s">
        <v>724</v>
      </c>
      <c r="B740" s="8" t="s">
        <v>686</v>
      </c>
      <c r="C740" s="8" t="s">
        <v>37</v>
      </c>
      <c r="D740" s="10">
        <v>45690</v>
      </c>
      <c r="E740" s="9">
        <v>18436</v>
      </c>
      <c r="F740" s="2" t="str">
        <f>INDEX(Vendors!E:E,MATCH(Vendor_Analysis!C740,Vendors!A:A,0))</f>
        <v xml:space="preserve">30 </v>
      </c>
      <c r="G740" s="2">
        <v>30</v>
      </c>
      <c r="H740" s="16">
        <f t="shared" si="11"/>
        <v>45720</v>
      </c>
      <c r="J740" s="2"/>
    </row>
    <row r="741" spans="1:10" x14ac:dyDescent="0.25">
      <c r="A741" s="8" t="s">
        <v>725</v>
      </c>
      <c r="B741" s="8" t="s">
        <v>686</v>
      </c>
      <c r="C741" s="8" t="s">
        <v>109</v>
      </c>
      <c r="D741" s="10">
        <v>45696</v>
      </c>
      <c r="E741" s="9">
        <v>29299</v>
      </c>
      <c r="F741" s="2" t="str">
        <f>INDEX(Vendors!E:E,MATCH(Vendor_Analysis!C741,Vendors!A:A,0))</f>
        <v xml:space="preserve">30 </v>
      </c>
      <c r="G741" s="2">
        <v>30</v>
      </c>
      <c r="H741" s="16">
        <f t="shared" si="11"/>
        <v>45726</v>
      </c>
      <c r="J741" s="2"/>
    </row>
    <row r="742" spans="1:10" x14ac:dyDescent="0.25">
      <c r="A742" s="8" t="s">
        <v>726</v>
      </c>
      <c r="B742" s="8" t="s">
        <v>686</v>
      </c>
      <c r="C742" s="8" t="s">
        <v>23</v>
      </c>
      <c r="D742" s="10">
        <v>45704</v>
      </c>
      <c r="E742" s="9">
        <v>40835</v>
      </c>
      <c r="F742" s="2" t="str">
        <f>INDEX(Vendors!E:E,MATCH(Vendor_Analysis!C742,Vendors!A:A,0))</f>
        <v xml:space="preserve"> 90</v>
      </c>
      <c r="G742" s="2">
        <v>90</v>
      </c>
      <c r="H742" s="16">
        <f t="shared" si="11"/>
        <v>45794</v>
      </c>
      <c r="J742" s="2"/>
    </row>
    <row r="743" spans="1:10" x14ac:dyDescent="0.25">
      <c r="A743" s="8" t="s">
        <v>727</v>
      </c>
      <c r="B743" s="8" t="s">
        <v>686</v>
      </c>
      <c r="C743" s="8" t="s">
        <v>50</v>
      </c>
      <c r="D743" s="10">
        <v>45711</v>
      </c>
      <c r="E743" s="9">
        <v>41881</v>
      </c>
      <c r="F743" s="2" t="str">
        <f>INDEX(Vendors!E:E,MATCH(Vendor_Analysis!C743,Vendors!A:A,0))</f>
        <v xml:space="preserve"> 90</v>
      </c>
      <c r="G743" s="2">
        <v>90</v>
      </c>
      <c r="H743" s="16">
        <f t="shared" si="11"/>
        <v>45801</v>
      </c>
      <c r="J743" s="2"/>
    </row>
    <row r="744" spans="1:10" x14ac:dyDescent="0.25">
      <c r="A744" s="8" t="s">
        <v>728</v>
      </c>
      <c r="B744" s="8" t="s">
        <v>686</v>
      </c>
      <c r="C744" s="8" t="s">
        <v>25</v>
      </c>
      <c r="D744" s="10">
        <v>45720</v>
      </c>
      <c r="E744" s="9">
        <v>37527</v>
      </c>
      <c r="F744" s="2" t="str">
        <f>INDEX(Vendors!E:E,MATCH(Vendor_Analysis!C744,Vendors!A:A,0))</f>
        <v xml:space="preserve">30 </v>
      </c>
      <c r="G744" s="2">
        <v>30</v>
      </c>
      <c r="H744" s="16">
        <f t="shared" si="11"/>
        <v>45750</v>
      </c>
      <c r="J744" s="2"/>
    </row>
    <row r="745" spans="1:10" x14ac:dyDescent="0.25">
      <c r="A745" s="8" t="s">
        <v>729</v>
      </c>
      <c r="B745" s="8" t="s">
        <v>686</v>
      </c>
      <c r="C745" s="8" t="s">
        <v>25</v>
      </c>
      <c r="D745" s="10">
        <v>45726</v>
      </c>
      <c r="E745" s="9">
        <v>36774</v>
      </c>
      <c r="F745" s="2" t="str">
        <f>INDEX(Vendors!E:E,MATCH(Vendor_Analysis!C745,Vendors!A:A,0))</f>
        <v xml:space="preserve">30 </v>
      </c>
      <c r="G745" s="2">
        <v>30</v>
      </c>
      <c r="H745" s="16">
        <f t="shared" si="11"/>
        <v>45756</v>
      </c>
      <c r="J745" s="2"/>
    </row>
    <row r="746" spans="1:10" x14ac:dyDescent="0.25">
      <c r="A746" s="8" t="s">
        <v>730</v>
      </c>
      <c r="B746" s="8" t="s">
        <v>686</v>
      </c>
      <c r="C746" s="8" t="s">
        <v>110</v>
      </c>
      <c r="D746" s="10">
        <v>45745</v>
      </c>
      <c r="E746" s="9">
        <v>23599</v>
      </c>
      <c r="F746" s="2" t="str">
        <f>INDEX(Vendors!E:E,MATCH(Vendor_Analysis!C746,Vendors!A:A,0))</f>
        <v xml:space="preserve">30 </v>
      </c>
      <c r="G746" s="2">
        <v>30</v>
      </c>
      <c r="H746" s="16">
        <f t="shared" si="11"/>
        <v>45775</v>
      </c>
      <c r="J746" s="2"/>
    </row>
    <row r="747" spans="1:10" x14ac:dyDescent="0.25">
      <c r="A747" s="8" t="s">
        <v>731</v>
      </c>
      <c r="B747" s="8" t="s">
        <v>686</v>
      </c>
      <c r="C747" s="8" t="s">
        <v>37</v>
      </c>
      <c r="D747" s="10">
        <v>45763</v>
      </c>
      <c r="E747" s="9">
        <v>34766</v>
      </c>
      <c r="F747" s="2" t="str">
        <f>INDEX(Vendors!E:E,MATCH(Vendor_Analysis!C747,Vendors!A:A,0))</f>
        <v xml:space="preserve">30 </v>
      </c>
      <c r="G747" s="2">
        <v>30</v>
      </c>
      <c r="H747" s="16">
        <f t="shared" si="11"/>
        <v>45793</v>
      </c>
      <c r="J747" s="2"/>
    </row>
    <row r="748" spans="1:10" x14ac:dyDescent="0.25">
      <c r="A748" s="8" t="s">
        <v>732</v>
      </c>
      <c r="B748" s="8" t="s">
        <v>686</v>
      </c>
      <c r="C748" s="8" t="s">
        <v>110</v>
      </c>
      <c r="D748" s="10">
        <v>45767</v>
      </c>
      <c r="E748" s="9">
        <v>33316</v>
      </c>
      <c r="F748" s="2" t="str">
        <f>INDEX(Vendors!E:E,MATCH(Vendor_Analysis!C748,Vendors!A:A,0))</f>
        <v xml:space="preserve">30 </v>
      </c>
      <c r="G748" s="2">
        <v>30</v>
      </c>
      <c r="H748" s="16">
        <f t="shared" si="11"/>
        <v>45797</v>
      </c>
      <c r="J748" s="2"/>
    </row>
    <row r="749" spans="1:10" x14ac:dyDescent="0.25">
      <c r="A749" s="8" t="s">
        <v>733</v>
      </c>
      <c r="B749" s="8" t="s">
        <v>734</v>
      </c>
      <c r="C749" s="8" t="s">
        <v>17</v>
      </c>
      <c r="D749" s="10">
        <v>45220</v>
      </c>
      <c r="E749" s="9">
        <v>46669</v>
      </c>
      <c r="F749" s="2" t="str">
        <f>INDEX(Vendors!E:E,MATCH(Vendor_Analysis!C749,Vendors!A:A,0))</f>
        <v xml:space="preserve">45 </v>
      </c>
      <c r="G749" s="2">
        <v>45</v>
      </c>
      <c r="H749" s="16">
        <f t="shared" si="11"/>
        <v>45265</v>
      </c>
      <c r="J749" s="2"/>
    </row>
    <row r="750" spans="1:10" x14ac:dyDescent="0.25">
      <c r="A750" s="8" t="s">
        <v>735</v>
      </c>
      <c r="B750" s="8" t="s">
        <v>734</v>
      </c>
      <c r="C750" s="8" t="s">
        <v>25</v>
      </c>
      <c r="D750" s="10">
        <v>45223</v>
      </c>
      <c r="E750" s="9">
        <v>45244</v>
      </c>
      <c r="F750" s="2" t="str">
        <f>INDEX(Vendors!E:E,MATCH(Vendor_Analysis!C750,Vendors!A:A,0))</f>
        <v xml:space="preserve">30 </v>
      </c>
      <c r="G750" s="2">
        <v>30</v>
      </c>
      <c r="H750" s="16">
        <f t="shared" si="11"/>
        <v>45253</v>
      </c>
      <c r="J750" s="2"/>
    </row>
    <row r="751" spans="1:10" x14ac:dyDescent="0.25">
      <c r="A751" s="8" t="s">
        <v>736</v>
      </c>
      <c r="B751" s="8" t="s">
        <v>734</v>
      </c>
      <c r="C751" s="8" t="s">
        <v>25</v>
      </c>
      <c r="D751" s="10">
        <v>45250</v>
      </c>
      <c r="E751" s="9">
        <v>52124</v>
      </c>
      <c r="F751" s="2" t="str">
        <f>INDEX(Vendors!E:E,MATCH(Vendor_Analysis!C751,Vendors!A:A,0))</f>
        <v xml:space="preserve">30 </v>
      </c>
      <c r="G751" s="2">
        <v>30</v>
      </c>
      <c r="H751" s="16">
        <f t="shared" si="11"/>
        <v>45280</v>
      </c>
      <c r="J751" s="2"/>
    </row>
    <row r="752" spans="1:10" x14ac:dyDescent="0.25">
      <c r="A752" s="8" t="s">
        <v>737</v>
      </c>
      <c r="B752" s="8" t="s">
        <v>734</v>
      </c>
      <c r="C752" s="8" t="s">
        <v>29</v>
      </c>
      <c r="D752" s="10">
        <v>45260</v>
      </c>
      <c r="E752" s="9">
        <v>26306</v>
      </c>
      <c r="F752" s="2" t="str">
        <f>INDEX(Vendors!E:E,MATCH(Vendor_Analysis!C752,Vendors!A:A,0))</f>
        <v xml:space="preserve">30 </v>
      </c>
      <c r="G752" s="2">
        <v>30</v>
      </c>
      <c r="H752" s="16">
        <f t="shared" si="11"/>
        <v>45290</v>
      </c>
      <c r="J752" s="2"/>
    </row>
    <row r="753" spans="1:10" x14ac:dyDescent="0.25">
      <c r="A753" s="8" t="s">
        <v>738</v>
      </c>
      <c r="B753" s="8" t="s">
        <v>734</v>
      </c>
      <c r="C753" s="8" t="s">
        <v>44</v>
      </c>
      <c r="D753" s="10">
        <v>45269</v>
      </c>
      <c r="E753" s="9">
        <v>53493</v>
      </c>
      <c r="F753" s="2" t="str">
        <f>INDEX(Vendors!E:E,MATCH(Vendor_Analysis!C753,Vendors!A:A,0))</f>
        <v xml:space="preserve">45 </v>
      </c>
      <c r="G753" s="2">
        <v>45</v>
      </c>
      <c r="H753" s="16">
        <f t="shared" si="11"/>
        <v>45314</v>
      </c>
      <c r="J753" s="2"/>
    </row>
    <row r="754" spans="1:10" x14ac:dyDescent="0.25">
      <c r="A754" s="8" t="s">
        <v>739</v>
      </c>
      <c r="B754" s="8" t="s">
        <v>734</v>
      </c>
      <c r="C754" s="8" t="s">
        <v>71</v>
      </c>
      <c r="D754" s="10">
        <v>45274</v>
      </c>
      <c r="E754" s="9">
        <v>40850</v>
      </c>
      <c r="F754" s="2" t="str">
        <f>INDEX(Vendors!E:E,MATCH(Vendor_Analysis!C754,Vendors!A:A,0))</f>
        <v xml:space="preserve">45 </v>
      </c>
      <c r="G754" s="2">
        <v>45</v>
      </c>
      <c r="H754" s="16">
        <f t="shared" si="11"/>
        <v>45319</v>
      </c>
      <c r="J754" s="2"/>
    </row>
    <row r="755" spans="1:10" x14ac:dyDescent="0.25">
      <c r="A755" s="8" t="s">
        <v>740</v>
      </c>
      <c r="B755" s="8" t="s">
        <v>734</v>
      </c>
      <c r="C755" s="8" t="s">
        <v>35</v>
      </c>
      <c r="D755" s="10">
        <v>45282</v>
      </c>
      <c r="E755" s="9">
        <v>21591</v>
      </c>
      <c r="F755" s="2" t="str">
        <f>INDEX(Vendors!E:E,MATCH(Vendor_Analysis!C755,Vendors!A:A,0))</f>
        <v xml:space="preserve">60 </v>
      </c>
      <c r="G755" s="2">
        <v>60</v>
      </c>
      <c r="H755" s="16">
        <f t="shared" si="11"/>
        <v>45342</v>
      </c>
      <c r="J755" s="2"/>
    </row>
    <row r="756" spans="1:10" x14ac:dyDescent="0.25">
      <c r="A756" s="8" t="s">
        <v>741</v>
      </c>
      <c r="B756" s="8" t="s">
        <v>734</v>
      </c>
      <c r="C756" s="8" t="s">
        <v>17</v>
      </c>
      <c r="D756" s="10">
        <v>45289</v>
      </c>
      <c r="E756" s="9">
        <v>45171</v>
      </c>
      <c r="F756" s="2" t="str">
        <f>INDEX(Vendors!E:E,MATCH(Vendor_Analysis!C756,Vendors!A:A,0))</f>
        <v xml:space="preserve">45 </v>
      </c>
      <c r="G756" s="2">
        <v>45</v>
      </c>
      <c r="H756" s="16">
        <f t="shared" si="11"/>
        <v>45334</v>
      </c>
      <c r="J756" s="2"/>
    </row>
    <row r="757" spans="1:10" x14ac:dyDescent="0.25">
      <c r="A757" s="8" t="s">
        <v>742</v>
      </c>
      <c r="B757" s="8" t="s">
        <v>734</v>
      </c>
      <c r="C757" s="8" t="s">
        <v>27</v>
      </c>
      <c r="D757" s="10">
        <v>45318</v>
      </c>
      <c r="E757" s="9">
        <v>62269</v>
      </c>
      <c r="F757" s="2" t="str">
        <f>INDEX(Vendors!E:E,MATCH(Vendor_Analysis!C757,Vendors!A:A,0))</f>
        <v xml:space="preserve">45 </v>
      </c>
      <c r="G757" s="2">
        <v>45</v>
      </c>
      <c r="H757" s="16">
        <f t="shared" si="11"/>
        <v>45363</v>
      </c>
      <c r="J757" s="2"/>
    </row>
    <row r="758" spans="1:10" x14ac:dyDescent="0.25">
      <c r="A758" s="8" t="s">
        <v>743</v>
      </c>
      <c r="B758" s="8" t="s">
        <v>734</v>
      </c>
      <c r="C758" s="8" t="s">
        <v>48</v>
      </c>
      <c r="D758" s="10">
        <v>45326</v>
      </c>
      <c r="E758" s="9">
        <v>43430</v>
      </c>
      <c r="F758" s="2" t="str">
        <f>INDEX(Vendors!E:E,MATCH(Vendor_Analysis!C758,Vendors!A:A,0))</f>
        <v xml:space="preserve"> 90</v>
      </c>
      <c r="G758" s="2">
        <v>90</v>
      </c>
      <c r="H758" s="16">
        <f t="shared" si="11"/>
        <v>45416</v>
      </c>
      <c r="J758" s="2"/>
    </row>
    <row r="759" spans="1:10" x14ac:dyDescent="0.25">
      <c r="A759" s="8" t="s">
        <v>744</v>
      </c>
      <c r="B759" s="8" t="s">
        <v>734</v>
      </c>
      <c r="C759" s="8" t="s">
        <v>33</v>
      </c>
      <c r="D759" s="10">
        <v>45332</v>
      </c>
      <c r="E759" s="9">
        <v>22307</v>
      </c>
      <c r="F759" s="2" t="str">
        <f>INDEX(Vendors!E:E,MATCH(Vendor_Analysis!C759,Vendors!A:A,0))</f>
        <v xml:space="preserve">30 </v>
      </c>
      <c r="G759" s="2">
        <v>30</v>
      </c>
      <c r="H759" s="16">
        <f t="shared" si="11"/>
        <v>45362</v>
      </c>
      <c r="J759" s="2"/>
    </row>
    <row r="760" spans="1:10" x14ac:dyDescent="0.25">
      <c r="A760" s="8" t="s">
        <v>745</v>
      </c>
      <c r="B760" s="8" t="s">
        <v>734</v>
      </c>
      <c r="C760" s="8" t="s">
        <v>108</v>
      </c>
      <c r="D760" s="10">
        <v>45336</v>
      </c>
      <c r="E760" s="9">
        <v>33882</v>
      </c>
      <c r="F760" s="2" t="str">
        <f>INDEX(Vendors!E:E,MATCH(Vendor_Analysis!C760,Vendors!A:A,0))</f>
        <v xml:space="preserve"> 90</v>
      </c>
      <c r="G760" s="2">
        <v>90</v>
      </c>
      <c r="H760" s="16">
        <f t="shared" si="11"/>
        <v>45426</v>
      </c>
      <c r="J760" s="2"/>
    </row>
    <row r="761" spans="1:10" x14ac:dyDescent="0.25">
      <c r="A761" s="8" t="s">
        <v>746</v>
      </c>
      <c r="B761" s="8" t="s">
        <v>734</v>
      </c>
      <c r="C761" s="8" t="s">
        <v>71</v>
      </c>
      <c r="D761" s="10">
        <v>45355</v>
      </c>
      <c r="E761" s="9">
        <v>44909</v>
      </c>
      <c r="F761" s="2" t="str">
        <f>INDEX(Vendors!E:E,MATCH(Vendor_Analysis!C761,Vendors!A:A,0))</f>
        <v xml:space="preserve">45 </v>
      </c>
      <c r="G761" s="2">
        <v>45</v>
      </c>
      <c r="H761" s="16">
        <f t="shared" si="11"/>
        <v>45400</v>
      </c>
      <c r="J761" s="2"/>
    </row>
    <row r="762" spans="1:10" x14ac:dyDescent="0.25">
      <c r="A762" s="8" t="s">
        <v>747</v>
      </c>
      <c r="B762" s="8" t="s">
        <v>734</v>
      </c>
      <c r="C762" s="8" t="s">
        <v>48</v>
      </c>
      <c r="D762" s="10">
        <v>45362</v>
      </c>
      <c r="E762" s="9">
        <v>62815</v>
      </c>
      <c r="F762" s="2" t="str">
        <f>INDEX(Vendors!E:E,MATCH(Vendor_Analysis!C762,Vendors!A:A,0))</f>
        <v xml:space="preserve"> 90</v>
      </c>
      <c r="G762" s="2">
        <v>90</v>
      </c>
      <c r="H762" s="16">
        <f t="shared" si="11"/>
        <v>45452</v>
      </c>
      <c r="J762" s="2"/>
    </row>
    <row r="763" spans="1:10" x14ac:dyDescent="0.25">
      <c r="A763" s="8" t="s">
        <v>748</v>
      </c>
      <c r="B763" s="8" t="s">
        <v>734</v>
      </c>
      <c r="C763" s="8" t="s">
        <v>44</v>
      </c>
      <c r="D763" s="10">
        <v>45366</v>
      </c>
      <c r="E763" s="9">
        <v>40108</v>
      </c>
      <c r="F763" s="2" t="str">
        <f>INDEX(Vendors!E:E,MATCH(Vendor_Analysis!C763,Vendors!A:A,0))</f>
        <v xml:space="preserve">45 </v>
      </c>
      <c r="G763" s="2">
        <v>45</v>
      </c>
      <c r="H763" s="16">
        <f t="shared" si="11"/>
        <v>45411</v>
      </c>
      <c r="J763" s="2"/>
    </row>
    <row r="764" spans="1:10" x14ac:dyDescent="0.25">
      <c r="A764" s="8" t="s">
        <v>749</v>
      </c>
      <c r="B764" s="8" t="s">
        <v>734</v>
      </c>
      <c r="C764" s="8" t="s">
        <v>110</v>
      </c>
      <c r="D764" s="10">
        <v>45380</v>
      </c>
      <c r="E764" s="9">
        <v>54128</v>
      </c>
      <c r="F764" s="2" t="str">
        <f>INDEX(Vendors!E:E,MATCH(Vendor_Analysis!C764,Vendors!A:A,0))</f>
        <v xml:space="preserve">30 </v>
      </c>
      <c r="G764" s="2">
        <v>30</v>
      </c>
      <c r="H764" s="16">
        <f t="shared" si="11"/>
        <v>45410</v>
      </c>
      <c r="J764" s="2"/>
    </row>
    <row r="765" spans="1:10" x14ac:dyDescent="0.25">
      <c r="A765" s="8" t="s">
        <v>750</v>
      </c>
      <c r="B765" s="8" t="s">
        <v>734</v>
      </c>
      <c r="C765" s="8" t="s">
        <v>108</v>
      </c>
      <c r="D765" s="10">
        <v>45413</v>
      </c>
      <c r="E765" s="9">
        <v>49595</v>
      </c>
      <c r="F765" s="2" t="str">
        <f>INDEX(Vendors!E:E,MATCH(Vendor_Analysis!C765,Vendors!A:A,0))</f>
        <v xml:space="preserve"> 90</v>
      </c>
      <c r="G765" s="2">
        <v>90</v>
      </c>
      <c r="H765" s="16">
        <f t="shared" si="11"/>
        <v>45503</v>
      </c>
      <c r="J765" s="2"/>
    </row>
    <row r="766" spans="1:10" x14ac:dyDescent="0.25">
      <c r="A766" s="8" t="s">
        <v>751</v>
      </c>
      <c r="B766" s="8" t="s">
        <v>734</v>
      </c>
      <c r="C766" s="8" t="s">
        <v>48</v>
      </c>
      <c r="D766" s="10">
        <v>45424</v>
      </c>
      <c r="E766" s="9">
        <v>25211</v>
      </c>
      <c r="F766" s="2" t="str">
        <f>INDEX(Vendors!E:E,MATCH(Vendor_Analysis!C766,Vendors!A:A,0))</f>
        <v xml:space="preserve"> 90</v>
      </c>
      <c r="G766" s="2">
        <v>90</v>
      </c>
      <c r="H766" s="16">
        <f t="shared" si="11"/>
        <v>45514</v>
      </c>
      <c r="J766" s="2"/>
    </row>
    <row r="767" spans="1:10" x14ac:dyDescent="0.25">
      <c r="A767" s="8" t="s">
        <v>752</v>
      </c>
      <c r="B767" s="8" t="s">
        <v>734</v>
      </c>
      <c r="C767" s="8" t="s">
        <v>73</v>
      </c>
      <c r="D767" s="10">
        <v>45449</v>
      </c>
      <c r="E767" s="9">
        <v>24343</v>
      </c>
      <c r="F767" s="2" t="str">
        <f>INDEX(Vendors!E:E,MATCH(Vendor_Analysis!C767,Vendors!A:A,0))</f>
        <v xml:space="preserve">60 </v>
      </c>
      <c r="G767" s="2">
        <v>60</v>
      </c>
      <c r="H767" s="16">
        <f t="shared" si="11"/>
        <v>45509</v>
      </c>
      <c r="J767" s="2"/>
    </row>
    <row r="768" spans="1:10" x14ac:dyDescent="0.25">
      <c r="A768" s="8" t="s">
        <v>753</v>
      </c>
      <c r="B768" s="8" t="s">
        <v>734</v>
      </c>
      <c r="C768" s="8" t="s">
        <v>55</v>
      </c>
      <c r="D768" s="10">
        <v>45460</v>
      </c>
      <c r="E768" s="9">
        <v>32542</v>
      </c>
      <c r="F768" s="2" t="str">
        <f>INDEX(Vendors!E:E,MATCH(Vendor_Analysis!C768,Vendors!A:A,0))</f>
        <v xml:space="preserve">30 </v>
      </c>
      <c r="G768" s="2">
        <v>30</v>
      </c>
      <c r="H768" s="16">
        <f t="shared" si="11"/>
        <v>45490</v>
      </c>
      <c r="J768" s="2"/>
    </row>
    <row r="769" spans="1:10" x14ac:dyDescent="0.25">
      <c r="A769" s="8" t="s">
        <v>754</v>
      </c>
      <c r="B769" s="8" t="s">
        <v>734</v>
      </c>
      <c r="C769" s="8" t="s">
        <v>55</v>
      </c>
      <c r="D769" s="10">
        <v>45465</v>
      </c>
      <c r="E769" s="9">
        <v>58720</v>
      </c>
      <c r="F769" s="2" t="str">
        <f>INDEX(Vendors!E:E,MATCH(Vendor_Analysis!C769,Vendors!A:A,0))</f>
        <v xml:space="preserve">30 </v>
      </c>
      <c r="G769" s="2">
        <v>30</v>
      </c>
      <c r="H769" s="16">
        <f t="shared" si="11"/>
        <v>45495</v>
      </c>
      <c r="J769" s="2"/>
    </row>
    <row r="770" spans="1:10" x14ac:dyDescent="0.25">
      <c r="A770" s="8" t="s">
        <v>755</v>
      </c>
      <c r="B770" s="8" t="s">
        <v>734</v>
      </c>
      <c r="C770" s="8" t="s">
        <v>23</v>
      </c>
      <c r="D770" s="10">
        <v>45475</v>
      </c>
      <c r="E770" s="9">
        <v>25298</v>
      </c>
      <c r="F770" s="2" t="str">
        <f>INDEX(Vendors!E:E,MATCH(Vendor_Analysis!C770,Vendors!A:A,0))</f>
        <v xml:space="preserve"> 90</v>
      </c>
      <c r="G770" s="2">
        <v>90</v>
      </c>
      <c r="H770" s="16">
        <f t="shared" si="11"/>
        <v>45565</v>
      </c>
      <c r="J770" s="2"/>
    </row>
    <row r="771" spans="1:10" x14ac:dyDescent="0.25">
      <c r="A771" s="8" t="s">
        <v>756</v>
      </c>
      <c r="B771" s="8" t="s">
        <v>734</v>
      </c>
      <c r="C771" s="8" t="s">
        <v>27</v>
      </c>
      <c r="D771" s="10">
        <v>45486</v>
      </c>
      <c r="E771" s="9">
        <v>55658</v>
      </c>
      <c r="F771" s="2" t="str">
        <f>INDEX(Vendors!E:E,MATCH(Vendor_Analysis!C771,Vendors!A:A,0))</f>
        <v xml:space="preserve">45 </v>
      </c>
      <c r="G771" s="2">
        <v>45</v>
      </c>
      <c r="H771" s="16">
        <f t="shared" ref="H771:H834" si="12">D771+F771</f>
        <v>45531</v>
      </c>
      <c r="J771" s="2"/>
    </row>
    <row r="772" spans="1:10" x14ac:dyDescent="0.25">
      <c r="A772" s="8" t="s">
        <v>757</v>
      </c>
      <c r="B772" s="8" t="s">
        <v>734</v>
      </c>
      <c r="C772" s="8" t="s">
        <v>71</v>
      </c>
      <c r="D772" s="10">
        <v>45491</v>
      </c>
      <c r="E772" s="9">
        <v>43064</v>
      </c>
      <c r="F772" s="2" t="str">
        <f>INDEX(Vendors!E:E,MATCH(Vendor_Analysis!C772,Vendors!A:A,0))</f>
        <v xml:space="preserve">45 </v>
      </c>
      <c r="G772" s="2">
        <v>45</v>
      </c>
      <c r="H772" s="16">
        <f t="shared" si="12"/>
        <v>45536</v>
      </c>
      <c r="J772" s="2"/>
    </row>
    <row r="773" spans="1:10" x14ac:dyDescent="0.25">
      <c r="A773" s="8" t="s">
        <v>758</v>
      </c>
      <c r="B773" s="8" t="s">
        <v>734</v>
      </c>
      <c r="C773" s="8" t="s">
        <v>25</v>
      </c>
      <c r="D773" s="10">
        <v>45504</v>
      </c>
      <c r="E773" s="9">
        <v>38772</v>
      </c>
      <c r="F773" s="2" t="str">
        <f>INDEX(Vendors!E:E,MATCH(Vendor_Analysis!C773,Vendors!A:A,0))</f>
        <v xml:space="preserve">30 </v>
      </c>
      <c r="G773" s="2">
        <v>30</v>
      </c>
      <c r="H773" s="16">
        <f t="shared" si="12"/>
        <v>45534</v>
      </c>
      <c r="J773" s="2"/>
    </row>
    <row r="774" spans="1:10" x14ac:dyDescent="0.25">
      <c r="A774" s="8" t="s">
        <v>759</v>
      </c>
      <c r="B774" s="8" t="s">
        <v>734</v>
      </c>
      <c r="C774" s="8" t="s">
        <v>12</v>
      </c>
      <c r="D774" s="10">
        <v>45515</v>
      </c>
      <c r="E774" s="9">
        <v>25945</v>
      </c>
      <c r="F774" s="2" t="str">
        <f>INDEX(Vendors!E:E,MATCH(Vendor_Analysis!C774,Vendors!A:A,0))</f>
        <v xml:space="preserve">30 </v>
      </c>
      <c r="G774" s="2">
        <v>30</v>
      </c>
      <c r="H774" s="16">
        <f t="shared" si="12"/>
        <v>45545</v>
      </c>
      <c r="J774" s="2"/>
    </row>
    <row r="775" spans="1:10" x14ac:dyDescent="0.25">
      <c r="A775" s="8" t="s">
        <v>760</v>
      </c>
      <c r="B775" s="8" t="s">
        <v>734</v>
      </c>
      <c r="C775" s="8" t="s">
        <v>33</v>
      </c>
      <c r="D775" s="10">
        <v>45518</v>
      </c>
      <c r="E775" s="9">
        <v>55985</v>
      </c>
      <c r="F775" s="2" t="str">
        <f>INDEX(Vendors!E:E,MATCH(Vendor_Analysis!C775,Vendors!A:A,0))</f>
        <v xml:space="preserve">30 </v>
      </c>
      <c r="G775" s="2">
        <v>30</v>
      </c>
      <c r="H775" s="16">
        <f t="shared" si="12"/>
        <v>45548</v>
      </c>
      <c r="J775" s="2"/>
    </row>
    <row r="776" spans="1:10" x14ac:dyDescent="0.25">
      <c r="A776" s="8" t="s">
        <v>761</v>
      </c>
      <c r="B776" s="8" t="s">
        <v>734</v>
      </c>
      <c r="C776" s="8" t="s">
        <v>91</v>
      </c>
      <c r="D776" s="10">
        <v>45521</v>
      </c>
      <c r="E776" s="9">
        <v>50916</v>
      </c>
      <c r="F776" s="2" t="str">
        <f>INDEX(Vendors!E:E,MATCH(Vendor_Analysis!C776,Vendors!A:A,0))</f>
        <v xml:space="preserve">60 </v>
      </c>
      <c r="G776" s="2">
        <v>60</v>
      </c>
      <c r="H776" s="16">
        <f t="shared" si="12"/>
        <v>45581</v>
      </c>
      <c r="J776" s="2"/>
    </row>
    <row r="777" spans="1:10" x14ac:dyDescent="0.25">
      <c r="A777" s="8" t="s">
        <v>762</v>
      </c>
      <c r="B777" s="8" t="s">
        <v>734</v>
      </c>
      <c r="C777" s="8" t="s">
        <v>25</v>
      </c>
      <c r="D777" s="10">
        <v>45564</v>
      </c>
      <c r="E777" s="9">
        <v>53829</v>
      </c>
      <c r="F777" s="2" t="str">
        <f>INDEX(Vendors!E:E,MATCH(Vendor_Analysis!C777,Vendors!A:A,0))</f>
        <v xml:space="preserve">30 </v>
      </c>
      <c r="G777" s="2">
        <v>30</v>
      </c>
      <c r="H777" s="16">
        <f t="shared" si="12"/>
        <v>45594</v>
      </c>
      <c r="J777" s="2"/>
    </row>
    <row r="778" spans="1:10" x14ac:dyDescent="0.25">
      <c r="A778" s="8" t="s">
        <v>763</v>
      </c>
      <c r="B778" s="8" t="s">
        <v>734</v>
      </c>
      <c r="C778" s="8" t="s">
        <v>91</v>
      </c>
      <c r="D778" s="10">
        <v>45601</v>
      </c>
      <c r="E778" s="9">
        <v>49307</v>
      </c>
      <c r="F778" s="2" t="str">
        <f>INDEX(Vendors!E:E,MATCH(Vendor_Analysis!C778,Vendors!A:A,0))</f>
        <v xml:space="preserve">60 </v>
      </c>
      <c r="G778" s="2">
        <v>60</v>
      </c>
      <c r="H778" s="16">
        <f t="shared" si="12"/>
        <v>45661</v>
      </c>
      <c r="J778" s="2"/>
    </row>
    <row r="779" spans="1:10" x14ac:dyDescent="0.25">
      <c r="A779" s="8" t="s">
        <v>764</v>
      </c>
      <c r="B779" s="8" t="s">
        <v>734</v>
      </c>
      <c r="C779" s="8" t="s">
        <v>35</v>
      </c>
      <c r="D779" s="10">
        <v>45613</v>
      </c>
      <c r="E779" s="9">
        <v>51463</v>
      </c>
      <c r="F779" s="2" t="str">
        <f>INDEX(Vendors!E:E,MATCH(Vendor_Analysis!C779,Vendors!A:A,0))</f>
        <v xml:space="preserve">60 </v>
      </c>
      <c r="G779" s="2">
        <v>60</v>
      </c>
      <c r="H779" s="16">
        <f t="shared" si="12"/>
        <v>45673</v>
      </c>
      <c r="J779" s="2"/>
    </row>
    <row r="780" spans="1:10" x14ac:dyDescent="0.25">
      <c r="A780" s="8" t="s">
        <v>765</v>
      </c>
      <c r="B780" s="8" t="s">
        <v>734</v>
      </c>
      <c r="C780" s="8" t="s">
        <v>91</v>
      </c>
      <c r="D780" s="10">
        <v>45649</v>
      </c>
      <c r="E780" s="9">
        <v>50669</v>
      </c>
      <c r="F780" s="2" t="str">
        <f>INDEX(Vendors!E:E,MATCH(Vendor_Analysis!C780,Vendors!A:A,0))</f>
        <v xml:space="preserve">60 </v>
      </c>
      <c r="G780" s="2">
        <v>60</v>
      </c>
      <c r="H780" s="16">
        <f t="shared" si="12"/>
        <v>45709</v>
      </c>
      <c r="J780" s="2"/>
    </row>
    <row r="781" spans="1:10" x14ac:dyDescent="0.25">
      <c r="A781" s="8" t="s">
        <v>766</v>
      </c>
      <c r="B781" s="8" t="s">
        <v>734</v>
      </c>
      <c r="C781" s="8" t="s">
        <v>33</v>
      </c>
      <c r="D781" s="10">
        <v>45654</v>
      </c>
      <c r="E781" s="9">
        <v>39168</v>
      </c>
      <c r="F781" s="2" t="str">
        <f>INDEX(Vendors!E:E,MATCH(Vendor_Analysis!C781,Vendors!A:A,0))</f>
        <v xml:space="preserve">30 </v>
      </c>
      <c r="G781" s="2">
        <v>30</v>
      </c>
      <c r="H781" s="16">
        <f t="shared" si="12"/>
        <v>45684</v>
      </c>
      <c r="J781" s="2"/>
    </row>
    <row r="782" spans="1:10" x14ac:dyDescent="0.25">
      <c r="A782" s="8" t="s">
        <v>767</v>
      </c>
      <c r="B782" s="8" t="s">
        <v>734</v>
      </c>
      <c r="C782" s="8" t="s">
        <v>29</v>
      </c>
      <c r="D782" s="10">
        <v>45656</v>
      </c>
      <c r="E782" s="9">
        <v>47863</v>
      </c>
      <c r="F782" s="2" t="str">
        <f>INDEX(Vendors!E:E,MATCH(Vendor_Analysis!C782,Vendors!A:A,0))</f>
        <v xml:space="preserve">30 </v>
      </c>
      <c r="G782" s="2">
        <v>30</v>
      </c>
      <c r="H782" s="16">
        <f t="shared" si="12"/>
        <v>45686</v>
      </c>
      <c r="J782" s="2"/>
    </row>
    <row r="783" spans="1:10" x14ac:dyDescent="0.25">
      <c r="A783" s="8" t="s">
        <v>768</v>
      </c>
      <c r="B783" s="8" t="s">
        <v>734</v>
      </c>
      <c r="C783" s="8" t="s">
        <v>50</v>
      </c>
      <c r="D783" s="10">
        <v>45672</v>
      </c>
      <c r="E783" s="9">
        <v>49692</v>
      </c>
      <c r="F783" s="2" t="str">
        <f>INDEX(Vendors!E:E,MATCH(Vendor_Analysis!C783,Vendors!A:A,0))</f>
        <v xml:space="preserve"> 90</v>
      </c>
      <c r="G783" s="2">
        <v>90</v>
      </c>
      <c r="H783" s="16">
        <f t="shared" si="12"/>
        <v>45762</v>
      </c>
      <c r="J783" s="2"/>
    </row>
    <row r="784" spans="1:10" x14ac:dyDescent="0.25">
      <c r="A784" s="8" t="s">
        <v>769</v>
      </c>
      <c r="B784" s="8" t="s">
        <v>734</v>
      </c>
      <c r="C784" s="8" t="s">
        <v>44</v>
      </c>
      <c r="D784" s="10">
        <v>45684</v>
      </c>
      <c r="E784" s="9">
        <v>20561</v>
      </c>
      <c r="F784" s="2" t="str">
        <f>INDEX(Vendors!E:E,MATCH(Vendor_Analysis!C784,Vendors!A:A,0))</f>
        <v xml:space="preserve">45 </v>
      </c>
      <c r="G784" s="2">
        <v>45</v>
      </c>
      <c r="H784" s="16">
        <f t="shared" si="12"/>
        <v>45729</v>
      </c>
      <c r="J784" s="2"/>
    </row>
    <row r="785" spans="1:10" x14ac:dyDescent="0.25">
      <c r="A785" s="8" t="s">
        <v>770</v>
      </c>
      <c r="B785" s="8" t="s">
        <v>734</v>
      </c>
      <c r="C785" s="8" t="s">
        <v>110</v>
      </c>
      <c r="D785" s="10">
        <v>45688</v>
      </c>
      <c r="E785" s="9">
        <v>29940</v>
      </c>
      <c r="F785" s="2" t="str">
        <f>INDEX(Vendors!E:E,MATCH(Vendor_Analysis!C785,Vendors!A:A,0))</f>
        <v xml:space="preserve">30 </v>
      </c>
      <c r="G785" s="2">
        <v>30</v>
      </c>
      <c r="H785" s="16">
        <f t="shared" si="12"/>
        <v>45718</v>
      </c>
      <c r="J785" s="2"/>
    </row>
    <row r="786" spans="1:10" x14ac:dyDescent="0.25">
      <c r="A786" s="8" t="s">
        <v>771</v>
      </c>
      <c r="B786" s="8" t="s">
        <v>734</v>
      </c>
      <c r="C786" s="8" t="s">
        <v>29</v>
      </c>
      <c r="D786" s="10">
        <v>45696</v>
      </c>
      <c r="E786" s="9">
        <v>107366</v>
      </c>
      <c r="F786" s="2" t="str">
        <f>INDEX(Vendors!E:E,MATCH(Vendor_Analysis!C786,Vendors!A:A,0))</f>
        <v xml:space="preserve">30 </v>
      </c>
      <c r="G786" s="2">
        <v>30</v>
      </c>
      <c r="H786" s="16">
        <f t="shared" si="12"/>
        <v>45726</v>
      </c>
      <c r="J786" s="2"/>
    </row>
    <row r="787" spans="1:10" x14ac:dyDescent="0.25">
      <c r="A787" s="8" t="s">
        <v>772</v>
      </c>
      <c r="B787" s="8" t="s">
        <v>734</v>
      </c>
      <c r="C787" s="8" t="s">
        <v>71</v>
      </c>
      <c r="D787" s="10">
        <v>45699</v>
      </c>
      <c r="E787" s="9">
        <v>27785</v>
      </c>
      <c r="F787" s="2" t="str">
        <f>INDEX(Vendors!E:E,MATCH(Vendor_Analysis!C787,Vendors!A:A,0))</f>
        <v xml:space="preserve">45 </v>
      </c>
      <c r="G787" s="2">
        <v>45</v>
      </c>
      <c r="H787" s="16">
        <f t="shared" si="12"/>
        <v>45744</v>
      </c>
      <c r="J787" s="2"/>
    </row>
    <row r="788" spans="1:10" x14ac:dyDescent="0.25">
      <c r="A788" s="8" t="s">
        <v>773</v>
      </c>
      <c r="B788" s="8" t="s">
        <v>734</v>
      </c>
      <c r="C788" s="8" t="s">
        <v>23</v>
      </c>
      <c r="D788" s="10">
        <v>45705</v>
      </c>
      <c r="E788" s="9">
        <v>31152</v>
      </c>
      <c r="F788" s="2" t="str">
        <f>INDEX(Vendors!E:E,MATCH(Vendor_Analysis!C788,Vendors!A:A,0))</f>
        <v xml:space="preserve"> 90</v>
      </c>
      <c r="G788" s="2">
        <v>90</v>
      </c>
      <c r="H788" s="16">
        <f t="shared" si="12"/>
        <v>45795</v>
      </c>
      <c r="J788" s="2"/>
    </row>
    <row r="789" spans="1:10" x14ac:dyDescent="0.25">
      <c r="A789" s="8" t="s">
        <v>774</v>
      </c>
      <c r="B789" s="8" t="s">
        <v>734</v>
      </c>
      <c r="C789" s="8" t="s">
        <v>23</v>
      </c>
      <c r="D789" s="10">
        <v>45723</v>
      </c>
      <c r="E789" s="9">
        <v>31181</v>
      </c>
      <c r="F789" s="2" t="str">
        <f>INDEX(Vendors!E:E,MATCH(Vendor_Analysis!C789,Vendors!A:A,0))</f>
        <v xml:space="preserve"> 90</v>
      </c>
      <c r="G789" s="2">
        <v>90</v>
      </c>
      <c r="H789" s="16">
        <f t="shared" si="12"/>
        <v>45813</v>
      </c>
      <c r="J789" s="2"/>
    </row>
    <row r="790" spans="1:10" x14ac:dyDescent="0.25">
      <c r="A790" s="8" t="s">
        <v>775</v>
      </c>
      <c r="B790" s="8" t="s">
        <v>734</v>
      </c>
      <c r="C790" s="8" t="s">
        <v>73</v>
      </c>
      <c r="D790" s="10">
        <v>45724</v>
      </c>
      <c r="E790" s="9">
        <v>41445</v>
      </c>
      <c r="F790" s="2" t="str">
        <f>INDEX(Vendors!E:E,MATCH(Vendor_Analysis!C790,Vendors!A:A,0))</f>
        <v xml:space="preserve">60 </v>
      </c>
      <c r="G790" s="2">
        <v>60</v>
      </c>
      <c r="H790" s="16">
        <f t="shared" si="12"/>
        <v>45784</v>
      </c>
      <c r="J790" s="2"/>
    </row>
    <row r="791" spans="1:10" x14ac:dyDescent="0.25">
      <c r="A791" s="8" t="s">
        <v>776</v>
      </c>
      <c r="B791" s="8" t="s">
        <v>734</v>
      </c>
      <c r="C791" s="8" t="s">
        <v>44</v>
      </c>
      <c r="D791" s="10">
        <v>45725</v>
      </c>
      <c r="E791" s="9">
        <v>21736</v>
      </c>
      <c r="F791" s="2" t="str">
        <f>INDEX(Vendors!E:E,MATCH(Vendor_Analysis!C791,Vendors!A:A,0))</f>
        <v xml:space="preserve">45 </v>
      </c>
      <c r="G791" s="2">
        <v>45</v>
      </c>
      <c r="H791" s="16">
        <f t="shared" si="12"/>
        <v>45770</v>
      </c>
      <c r="J791" s="2"/>
    </row>
    <row r="792" spans="1:10" x14ac:dyDescent="0.25">
      <c r="A792" s="8" t="s">
        <v>777</v>
      </c>
      <c r="B792" s="8" t="s">
        <v>734</v>
      </c>
      <c r="C792" s="8" t="s">
        <v>48</v>
      </c>
      <c r="D792" s="10">
        <v>45736</v>
      </c>
      <c r="E792" s="9">
        <v>30304</v>
      </c>
      <c r="F792" s="2" t="str">
        <f>INDEX(Vendors!E:E,MATCH(Vendor_Analysis!C792,Vendors!A:A,0))</f>
        <v xml:space="preserve"> 90</v>
      </c>
      <c r="G792" s="2">
        <v>90</v>
      </c>
      <c r="H792" s="16">
        <f t="shared" si="12"/>
        <v>45826</v>
      </c>
      <c r="J792" s="2"/>
    </row>
    <row r="793" spans="1:10" x14ac:dyDescent="0.25">
      <c r="A793" s="8" t="s">
        <v>778</v>
      </c>
      <c r="B793" s="8" t="s">
        <v>734</v>
      </c>
      <c r="C793" s="8" t="s">
        <v>8</v>
      </c>
      <c r="D793" s="10">
        <v>45758</v>
      </c>
      <c r="E793" s="9">
        <v>51400</v>
      </c>
      <c r="F793" s="2" t="str">
        <f>INDEX(Vendors!E:E,MATCH(Vendor_Analysis!C793,Vendors!A:A,0))</f>
        <v xml:space="preserve">60 </v>
      </c>
      <c r="G793" s="2">
        <v>60</v>
      </c>
      <c r="H793" s="16">
        <f t="shared" si="12"/>
        <v>45818</v>
      </c>
      <c r="J793" s="2"/>
    </row>
    <row r="794" spans="1:10" x14ac:dyDescent="0.25">
      <c r="A794" s="8" t="s">
        <v>779</v>
      </c>
      <c r="B794" s="8" t="s">
        <v>734</v>
      </c>
      <c r="C794" s="8" t="s">
        <v>8</v>
      </c>
      <c r="D794" s="10">
        <v>45758</v>
      </c>
      <c r="E794" s="9">
        <v>53242</v>
      </c>
      <c r="F794" s="2" t="str">
        <f>INDEX(Vendors!E:E,MATCH(Vendor_Analysis!C794,Vendors!A:A,0))</f>
        <v xml:space="preserve">60 </v>
      </c>
      <c r="G794" s="2">
        <v>60</v>
      </c>
      <c r="H794" s="16">
        <f t="shared" si="12"/>
        <v>45818</v>
      </c>
      <c r="J794" s="2"/>
    </row>
    <row r="795" spans="1:10" x14ac:dyDescent="0.25">
      <c r="A795" s="8" t="s">
        <v>780</v>
      </c>
      <c r="B795" s="8" t="s">
        <v>734</v>
      </c>
      <c r="C795" s="8" t="s">
        <v>91</v>
      </c>
      <c r="D795" s="10">
        <v>45761</v>
      </c>
      <c r="E795" s="9">
        <v>37443</v>
      </c>
      <c r="F795" s="2" t="str">
        <f>INDEX(Vendors!E:E,MATCH(Vendor_Analysis!C795,Vendors!A:A,0))</f>
        <v xml:space="preserve">60 </v>
      </c>
      <c r="G795" s="2">
        <v>60</v>
      </c>
      <c r="H795" s="16">
        <f t="shared" si="12"/>
        <v>45821</v>
      </c>
      <c r="J795" s="2"/>
    </row>
    <row r="796" spans="1:10" x14ac:dyDescent="0.25">
      <c r="A796" s="8" t="s">
        <v>781</v>
      </c>
      <c r="B796" s="8" t="s">
        <v>734</v>
      </c>
      <c r="C796" s="8" t="s">
        <v>27</v>
      </c>
      <c r="D796" s="10">
        <v>45769</v>
      </c>
      <c r="E796" s="9">
        <v>52980</v>
      </c>
      <c r="F796" s="2" t="str">
        <f>INDEX(Vendors!E:E,MATCH(Vendor_Analysis!C796,Vendors!A:A,0))</f>
        <v xml:space="preserve">45 </v>
      </c>
      <c r="G796" s="2">
        <v>45</v>
      </c>
      <c r="H796" s="16">
        <f t="shared" si="12"/>
        <v>45814</v>
      </c>
      <c r="J796" s="2"/>
    </row>
    <row r="797" spans="1:10" x14ac:dyDescent="0.25">
      <c r="A797" s="8" t="s">
        <v>782</v>
      </c>
      <c r="B797" s="8" t="s">
        <v>734</v>
      </c>
      <c r="C797" s="8" t="s">
        <v>12</v>
      </c>
      <c r="D797" s="10">
        <v>45771</v>
      </c>
      <c r="E797" s="9">
        <v>54448</v>
      </c>
      <c r="F797" s="2" t="str">
        <f>INDEX(Vendors!E:E,MATCH(Vendor_Analysis!C797,Vendors!A:A,0))</f>
        <v xml:space="preserve">30 </v>
      </c>
      <c r="G797" s="2">
        <v>30</v>
      </c>
      <c r="H797" s="16">
        <f t="shared" si="12"/>
        <v>45801</v>
      </c>
      <c r="J797" s="2"/>
    </row>
    <row r="798" spans="1:10" x14ac:dyDescent="0.25">
      <c r="A798" s="8" t="s">
        <v>783</v>
      </c>
      <c r="B798" s="8" t="s">
        <v>734</v>
      </c>
      <c r="C798" s="8" t="s">
        <v>71</v>
      </c>
      <c r="D798" s="10">
        <v>45779</v>
      </c>
      <c r="E798" s="9">
        <v>20304</v>
      </c>
      <c r="F798" s="2" t="str">
        <f>INDEX(Vendors!E:E,MATCH(Vendor_Analysis!C798,Vendors!A:A,0))</f>
        <v xml:space="preserve">45 </v>
      </c>
      <c r="G798" s="2">
        <v>45</v>
      </c>
      <c r="H798" s="16">
        <f t="shared" si="12"/>
        <v>45824</v>
      </c>
      <c r="J798" s="2"/>
    </row>
    <row r="799" spans="1:10" x14ac:dyDescent="0.25">
      <c r="A799" s="8" t="s">
        <v>784</v>
      </c>
      <c r="B799" s="8" t="s">
        <v>734</v>
      </c>
      <c r="C799" s="8" t="s">
        <v>110</v>
      </c>
      <c r="D799" s="10">
        <v>45788</v>
      </c>
      <c r="E799" s="9">
        <v>19275</v>
      </c>
      <c r="F799" s="2" t="str">
        <f>INDEX(Vendors!E:E,MATCH(Vendor_Analysis!C799,Vendors!A:A,0))</f>
        <v xml:space="preserve">30 </v>
      </c>
      <c r="G799" s="2">
        <v>30</v>
      </c>
      <c r="H799" s="16">
        <f t="shared" si="12"/>
        <v>45818</v>
      </c>
      <c r="J799" s="2"/>
    </row>
    <row r="800" spans="1:10" x14ac:dyDescent="0.25">
      <c r="A800" s="8" t="s">
        <v>785</v>
      </c>
      <c r="B800" s="8" t="s">
        <v>734</v>
      </c>
      <c r="C800" s="8" t="s">
        <v>23</v>
      </c>
      <c r="D800" s="10">
        <v>45813</v>
      </c>
      <c r="E800" s="9">
        <v>39466</v>
      </c>
      <c r="F800" s="2" t="str">
        <f>INDEX(Vendors!E:E,MATCH(Vendor_Analysis!C800,Vendors!A:A,0))</f>
        <v xml:space="preserve"> 90</v>
      </c>
      <c r="G800" s="2">
        <v>90</v>
      </c>
      <c r="H800" s="16">
        <f t="shared" si="12"/>
        <v>45903</v>
      </c>
      <c r="J800" s="2"/>
    </row>
    <row r="801" spans="1:10" x14ac:dyDescent="0.25">
      <c r="A801" s="8" t="s">
        <v>786</v>
      </c>
      <c r="B801" s="8" t="s">
        <v>734</v>
      </c>
      <c r="C801" s="8" t="s">
        <v>29</v>
      </c>
      <c r="D801" s="10">
        <v>45836</v>
      </c>
      <c r="E801" s="9">
        <v>52231</v>
      </c>
      <c r="F801" s="2" t="str">
        <f>INDEX(Vendors!E:E,MATCH(Vendor_Analysis!C801,Vendors!A:A,0))</f>
        <v xml:space="preserve">30 </v>
      </c>
      <c r="G801" s="2">
        <v>30</v>
      </c>
      <c r="H801" s="16">
        <f t="shared" si="12"/>
        <v>45866</v>
      </c>
      <c r="J801" s="2"/>
    </row>
    <row r="802" spans="1:10" x14ac:dyDescent="0.25">
      <c r="A802" s="8" t="s">
        <v>787</v>
      </c>
      <c r="B802" s="8" t="s">
        <v>734</v>
      </c>
      <c r="C802" s="8" t="s">
        <v>109</v>
      </c>
      <c r="D802" s="10">
        <v>45844</v>
      </c>
      <c r="E802" s="9">
        <v>32192</v>
      </c>
      <c r="F802" s="2" t="str">
        <f>INDEX(Vendors!E:E,MATCH(Vendor_Analysis!C802,Vendors!A:A,0))</f>
        <v xml:space="preserve">30 </v>
      </c>
      <c r="G802" s="2">
        <v>30</v>
      </c>
      <c r="H802" s="16">
        <f t="shared" si="12"/>
        <v>45874</v>
      </c>
      <c r="J802" s="2"/>
    </row>
    <row r="803" spans="1:10" x14ac:dyDescent="0.25">
      <c r="A803" s="8" t="s">
        <v>788</v>
      </c>
      <c r="B803" s="8" t="s">
        <v>734</v>
      </c>
      <c r="C803" s="8" t="s">
        <v>25</v>
      </c>
      <c r="D803" s="10">
        <v>45847</v>
      </c>
      <c r="E803" s="9">
        <v>46242</v>
      </c>
      <c r="F803" s="2" t="str">
        <f>INDEX(Vendors!E:E,MATCH(Vendor_Analysis!C803,Vendors!A:A,0))</f>
        <v xml:space="preserve">30 </v>
      </c>
      <c r="G803" s="2">
        <v>30</v>
      </c>
      <c r="H803" s="16">
        <f t="shared" si="12"/>
        <v>45877</v>
      </c>
      <c r="J803" s="2"/>
    </row>
    <row r="804" spans="1:10" x14ac:dyDescent="0.25">
      <c r="A804" s="8" t="s">
        <v>789</v>
      </c>
      <c r="B804" s="8" t="s">
        <v>734</v>
      </c>
      <c r="C804" s="8" t="s">
        <v>25</v>
      </c>
      <c r="D804" s="10">
        <v>45848</v>
      </c>
      <c r="E804" s="9">
        <v>48048</v>
      </c>
      <c r="F804" s="2" t="str">
        <f>INDEX(Vendors!E:E,MATCH(Vendor_Analysis!C804,Vendors!A:A,0))</f>
        <v xml:space="preserve">30 </v>
      </c>
      <c r="G804" s="2">
        <v>30</v>
      </c>
      <c r="H804" s="16">
        <f t="shared" si="12"/>
        <v>45878</v>
      </c>
      <c r="J804" s="2"/>
    </row>
    <row r="805" spans="1:10" x14ac:dyDescent="0.25">
      <c r="A805" s="8" t="s">
        <v>790</v>
      </c>
      <c r="B805" s="8" t="s">
        <v>734</v>
      </c>
      <c r="C805" s="8" t="s">
        <v>23</v>
      </c>
      <c r="D805" s="10">
        <v>45850</v>
      </c>
      <c r="E805" s="9">
        <v>43042</v>
      </c>
      <c r="F805" s="2" t="str">
        <f>INDEX(Vendors!E:E,MATCH(Vendor_Analysis!C805,Vendors!A:A,0))</f>
        <v xml:space="preserve"> 90</v>
      </c>
      <c r="G805" s="2">
        <v>90</v>
      </c>
      <c r="H805" s="16">
        <f t="shared" si="12"/>
        <v>45940</v>
      </c>
      <c r="J805" s="2"/>
    </row>
    <row r="806" spans="1:10" x14ac:dyDescent="0.25">
      <c r="A806" s="8" t="s">
        <v>791</v>
      </c>
      <c r="B806" s="8" t="s">
        <v>734</v>
      </c>
      <c r="C806" s="8" t="s">
        <v>14</v>
      </c>
      <c r="D806" s="10">
        <v>45851</v>
      </c>
      <c r="E806" s="9">
        <v>42816</v>
      </c>
      <c r="F806" s="2" t="str">
        <f>INDEX(Vendors!E:E,MATCH(Vendor_Analysis!C806,Vendors!A:A,0))</f>
        <v xml:space="preserve"> 90</v>
      </c>
      <c r="G806" s="2">
        <v>90</v>
      </c>
      <c r="H806" s="16">
        <f t="shared" si="12"/>
        <v>45941</v>
      </c>
      <c r="J806" s="2"/>
    </row>
    <row r="807" spans="1:10" x14ac:dyDescent="0.25">
      <c r="A807" s="8" t="s">
        <v>792</v>
      </c>
      <c r="B807" s="8" t="s">
        <v>734</v>
      </c>
      <c r="C807" s="8" t="s">
        <v>48</v>
      </c>
      <c r="D807" s="10">
        <v>45868</v>
      </c>
      <c r="E807" s="9">
        <v>40550</v>
      </c>
      <c r="F807" s="2" t="str">
        <f>INDEX(Vendors!E:E,MATCH(Vendor_Analysis!C807,Vendors!A:A,0))</f>
        <v xml:space="preserve"> 90</v>
      </c>
      <c r="G807" s="2">
        <v>90</v>
      </c>
      <c r="H807" s="16">
        <f t="shared" si="12"/>
        <v>45958</v>
      </c>
      <c r="J807" s="2"/>
    </row>
    <row r="808" spans="1:10" x14ac:dyDescent="0.25">
      <c r="A808" s="8" t="s">
        <v>793</v>
      </c>
      <c r="B808" s="8" t="s">
        <v>734</v>
      </c>
      <c r="C808" s="8" t="s">
        <v>55</v>
      </c>
      <c r="D808" s="10">
        <v>45892</v>
      </c>
      <c r="E808" s="9">
        <v>47080</v>
      </c>
      <c r="F808" s="2" t="str">
        <f>INDEX(Vendors!E:E,MATCH(Vendor_Analysis!C808,Vendors!A:A,0))</f>
        <v xml:space="preserve">30 </v>
      </c>
      <c r="G808" s="2">
        <v>30</v>
      </c>
      <c r="H808" s="16">
        <f t="shared" si="12"/>
        <v>45922</v>
      </c>
      <c r="J808" s="2"/>
    </row>
    <row r="809" spans="1:10" x14ac:dyDescent="0.25">
      <c r="A809" s="8" t="s">
        <v>794</v>
      </c>
      <c r="B809" s="8" t="s">
        <v>795</v>
      </c>
      <c r="C809" s="8" t="s">
        <v>37</v>
      </c>
      <c r="D809" s="10">
        <v>45185</v>
      </c>
      <c r="E809" s="9">
        <v>93126</v>
      </c>
      <c r="F809" s="2" t="str">
        <f>INDEX(Vendors!E:E,MATCH(Vendor_Analysis!C809,Vendors!A:A,0))</f>
        <v xml:space="preserve">30 </v>
      </c>
      <c r="G809" s="2">
        <v>30</v>
      </c>
      <c r="H809" s="16">
        <f t="shared" si="12"/>
        <v>45215</v>
      </c>
      <c r="J809" s="2"/>
    </row>
    <row r="810" spans="1:10" x14ac:dyDescent="0.25">
      <c r="A810" s="8" t="s">
        <v>796</v>
      </c>
      <c r="B810" s="8" t="s">
        <v>795</v>
      </c>
      <c r="C810" s="8" t="s">
        <v>6</v>
      </c>
      <c r="D810" s="10">
        <v>45190</v>
      </c>
      <c r="E810" s="9">
        <v>169373</v>
      </c>
      <c r="F810" s="2" t="str">
        <f>INDEX(Vendors!E:E,MATCH(Vendor_Analysis!C810,Vendors!A:A,0))</f>
        <v xml:space="preserve">60 </v>
      </c>
      <c r="G810" s="2">
        <v>60</v>
      </c>
      <c r="H810" s="16">
        <f t="shared" si="12"/>
        <v>45250</v>
      </c>
      <c r="J810" s="2"/>
    </row>
    <row r="811" spans="1:10" x14ac:dyDescent="0.25">
      <c r="A811" s="8" t="s">
        <v>797</v>
      </c>
      <c r="B811" s="8" t="s">
        <v>795</v>
      </c>
      <c r="C811" s="8" t="s">
        <v>29</v>
      </c>
      <c r="D811" s="10">
        <v>45200</v>
      </c>
      <c r="E811" s="9">
        <v>34891</v>
      </c>
      <c r="F811" s="2" t="str">
        <f>INDEX(Vendors!E:E,MATCH(Vendor_Analysis!C811,Vendors!A:A,0))</f>
        <v xml:space="preserve">30 </v>
      </c>
      <c r="G811" s="2">
        <v>30</v>
      </c>
      <c r="H811" s="16">
        <f t="shared" si="12"/>
        <v>45230</v>
      </c>
      <c r="J811" s="2"/>
    </row>
    <row r="812" spans="1:10" x14ac:dyDescent="0.25">
      <c r="A812" s="8" t="s">
        <v>798</v>
      </c>
      <c r="B812" s="8" t="s">
        <v>795</v>
      </c>
      <c r="C812" s="8" t="s">
        <v>91</v>
      </c>
      <c r="D812" s="10">
        <v>45231</v>
      </c>
      <c r="E812" s="9">
        <v>99532</v>
      </c>
      <c r="F812" s="2" t="str">
        <f>INDEX(Vendors!E:E,MATCH(Vendor_Analysis!C812,Vendors!A:A,0))</f>
        <v xml:space="preserve">60 </v>
      </c>
      <c r="G812" s="2">
        <v>60</v>
      </c>
      <c r="H812" s="16">
        <f t="shared" si="12"/>
        <v>45291</v>
      </c>
      <c r="J812" s="2"/>
    </row>
    <row r="813" spans="1:10" x14ac:dyDescent="0.25">
      <c r="A813" s="8" t="s">
        <v>799</v>
      </c>
      <c r="B813" s="8" t="s">
        <v>795</v>
      </c>
      <c r="C813" s="8" t="s">
        <v>109</v>
      </c>
      <c r="D813" s="10">
        <v>45238</v>
      </c>
      <c r="E813" s="9">
        <v>56294</v>
      </c>
      <c r="F813" s="2" t="str">
        <f>INDEX(Vendors!E:E,MATCH(Vendor_Analysis!C813,Vendors!A:A,0))</f>
        <v xml:space="preserve">30 </v>
      </c>
      <c r="G813" s="2">
        <v>30</v>
      </c>
      <c r="H813" s="16">
        <f t="shared" si="12"/>
        <v>45268</v>
      </c>
      <c r="J813" s="2"/>
    </row>
    <row r="814" spans="1:10" x14ac:dyDescent="0.25">
      <c r="A814" s="8" t="s">
        <v>800</v>
      </c>
      <c r="B814" s="8" t="s">
        <v>795</v>
      </c>
      <c r="C814" s="8" t="s">
        <v>71</v>
      </c>
      <c r="D814" s="10">
        <v>45249</v>
      </c>
      <c r="E814" s="9">
        <v>94570</v>
      </c>
      <c r="F814" s="2" t="str">
        <f>INDEX(Vendors!E:E,MATCH(Vendor_Analysis!C814,Vendors!A:A,0))</f>
        <v xml:space="preserve">45 </v>
      </c>
      <c r="G814" s="2">
        <v>45</v>
      </c>
      <c r="H814" s="16">
        <f t="shared" si="12"/>
        <v>45294</v>
      </c>
      <c r="J814" s="2"/>
    </row>
    <row r="815" spans="1:10" x14ac:dyDescent="0.25">
      <c r="A815" s="8" t="s">
        <v>801</v>
      </c>
      <c r="B815" s="8" t="s">
        <v>795</v>
      </c>
      <c r="C815" s="8" t="s">
        <v>109</v>
      </c>
      <c r="D815" s="10">
        <v>45251</v>
      </c>
      <c r="E815" s="9">
        <v>41045</v>
      </c>
      <c r="F815" s="2" t="str">
        <f>INDEX(Vendors!E:E,MATCH(Vendor_Analysis!C815,Vendors!A:A,0))</f>
        <v xml:space="preserve">30 </v>
      </c>
      <c r="G815" s="2">
        <v>30</v>
      </c>
      <c r="H815" s="16">
        <f t="shared" si="12"/>
        <v>45281</v>
      </c>
      <c r="J815" s="2"/>
    </row>
    <row r="816" spans="1:10" x14ac:dyDescent="0.25">
      <c r="A816" s="8" t="s">
        <v>802</v>
      </c>
      <c r="B816" s="8" t="s">
        <v>795</v>
      </c>
      <c r="C816" s="8" t="s">
        <v>10</v>
      </c>
      <c r="D816" s="10">
        <v>45260</v>
      </c>
      <c r="E816" s="9">
        <v>59407</v>
      </c>
      <c r="F816" s="2" t="str">
        <f>INDEX(Vendors!E:E,MATCH(Vendor_Analysis!C816,Vendors!A:A,0))</f>
        <v xml:space="preserve">60 </v>
      </c>
      <c r="G816" s="2">
        <v>60</v>
      </c>
      <c r="H816" s="16">
        <f t="shared" si="12"/>
        <v>45320</v>
      </c>
      <c r="J816" s="2"/>
    </row>
    <row r="817" spans="1:10" x14ac:dyDescent="0.25">
      <c r="A817" s="8" t="s">
        <v>803</v>
      </c>
      <c r="B817" s="8" t="s">
        <v>795</v>
      </c>
      <c r="C817" s="8" t="s">
        <v>71</v>
      </c>
      <c r="D817" s="10">
        <v>45264</v>
      </c>
      <c r="E817" s="9">
        <v>52389</v>
      </c>
      <c r="F817" s="2" t="str">
        <f>INDEX(Vendors!E:E,MATCH(Vendor_Analysis!C817,Vendors!A:A,0))</f>
        <v xml:space="preserve">45 </v>
      </c>
      <c r="G817" s="2">
        <v>45</v>
      </c>
      <c r="H817" s="16">
        <f t="shared" si="12"/>
        <v>45309</v>
      </c>
      <c r="J817" s="2"/>
    </row>
    <row r="818" spans="1:10" x14ac:dyDescent="0.25">
      <c r="A818" s="8" t="s">
        <v>804</v>
      </c>
      <c r="B818" s="8" t="s">
        <v>795</v>
      </c>
      <c r="C818" s="8" t="s">
        <v>91</v>
      </c>
      <c r="D818" s="10">
        <v>45272</v>
      </c>
      <c r="E818" s="9">
        <v>97011</v>
      </c>
      <c r="F818" s="2" t="str">
        <f>INDEX(Vendors!E:E,MATCH(Vendor_Analysis!C818,Vendors!A:A,0))</f>
        <v xml:space="preserve">60 </v>
      </c>
      <c r="G818" s="2">
        <v>60</v>
      </c>
      <c r="H818" s="16">
        <f t="shared" si="12"/>
        <v>45332</v>
      </c>
      <c r="J818" s="2"/>
    </row>
    <row r="819" spans="1:10" x14ac:dyDescent="0.25">
      <c r="A819" s="8" t="s">
        <v>805</v>
      </c>
      <c r="B819" s="8" t="s">
        <v>795</v>
      </c>
      <c r="C819" s="8" t="s">
        <v>12</v>
      </c>
      <c r="D819" s="10">
        <v>45286</v>
      </c>
      <c r="E819" s="9">
        <v>48029</v>
      </c>
      <c r="F819" s="2" t="str">
        <f>INDEX(Vendors!E:E,MATCH(Vendor_Analysis!C819,Vendors!A:A,0))</f>
        <v xml:space="preserve">30 </v>
      </c>
      <c r="G819" s="2">
        <v>30</v>
      </c>
      <c r="H819" s="16">
        <f t="shared" si="12"/>
        <v>45316</v>
      </c>
      <c r="J819" s="2"/>
    </row>
    <row r="820" spans="1:10" x14ac:dyDescent="0.25">
      <c r="A820" s="8" t="s">
        <v>806</v>
      </c>
      <c r="B820" s="8" t="s">
        <v>795</v>
      </c>
      <c r="C820" s="8" t="s">
        <v>55</v>
      </c>
      <c r="D820" s="10">
        <v>45291</v>
      </c>
      <c r="E820" s="9">
        <v>37346</v>
      </c>
      <c r="F820" s="2" t="str">
        <f>INDEX(Vendors!E:E,MATCH(Vendor_Analysis!C820,Vendors!A:A,0))</f>
        <v xml:space="preserve">30 </v>
      </c>
      <c r="G820" s="2">
        <v>30</v>
      </c>
      <c r="H820" s="16">
        <f t="shared" si="12"/>
        <v>45321</v>
      </c>
      <c r="J820" s="2"/>
    </row>
    <row r="821" spans="1:10" x14ac:dyDescent="0.25">
      <c r="A821" s="8" t="s">
        <v>807</v>
      </c>
      <c r="B821" s="8" t="s">
        <v>795</v>
      </c>
      <c r="C821" s="8" t="s">
        <v>17</v>
      </c>
      <c r="D821" s="10">
        <v>45302</v>
      </c>
      <c r="E821" s="9">
        <v>40284</v>
      </c>
      <c r="F821" s="2" t="str">
        <f>INDEX(Vendors!E:E,MATCH(Vendor_Analysis!C821,Vendors!A:A,0))</f>
        <v xml:space="preserve">45 </v>
      </c>
      <c r="G821" s="2">
        <v>45</v>
      </c>
      <c r="H821" s="16">
        <f t="shared" si="12"/>
        <v>45347</v>
      </c>
      <c r="J821" s="2"/>
    </row>
    <row r="822" spans="1:10" x14ac:dyDescent="0.25">
      <c r="A822" s="8" t="s">
        <v>808</v>
      </c>
      <c r="B822" s="8" t="s">
        <v>795</v>
      </c>
      <c r="C822" s="8" t="s">
        <v>17</v>
      </c>
      <c r="D822" s="10">
        <v>45333</v>
      </c>
      <c r="E822" s="9">
        <v>43206</v>
      </c>
      <c r="F822" s="2" t="str">
        <f>INDEX(Vendors!E:E,MATCH(Vendor_Analysis!C822,Vendors!A:A,0))</f>
        <v xml:space="preserve">45 </v>
      </c>
      <c r="G822" s="2">
        <v>45</v>
      </c>
      <c r="H822" s="16">
        <f t="shared" si="12"/>
        <v>45378</v>
      </c>
      <c r="J822" s="2"/>
    </row>
    <row r="823" spans="1:10" x14ac:dyDescent="0.25">
      <c r="A823" s="8" t="s">
        <v>809</v>
      </c>
      <c r="B823" s="8" t="s">
        <v>795</v>
      </c>
      <c r="C823" s="8" t="s">
        <v>6</v>
      </c>
      <c r="D823" s="10">
        <v>45342</v>
      </c>
      <c r="E823" s="9">
        <v>113448</v>
      </c>
      <c r="F823" s="2" t="str">
        <f>INDEX(Vendors!E:E,MATCH(Vendor_Analysis!C823,Vendors!A:A,0))</f>
        <v xml:space="preserve">60 </v>
      </c>
      <c r="G823" s="2">
        <v>60</v>
      </c>
      <c r="H823" s="16">
        <f t="shared" si="12"/>
        <v>45402</v>
      </c>
      <c r="J823" s="2"/>
    </row>
    <row r="824" spans="1:10" x14ac:dyDescent="0.25">
      <c r="A824" s="8" t="s">
        <v>810</v>
      </c>
      <c r="B824" s="8" t="s">
        <v>795</v>
      </c>
      <c r="C824" s="8" t="s">
        <v>91</v>
      </c>
      <c r="D824" s="10">
        <v>45347</v>
      </c>
      <c r="E824" s="9">
        <v>54618</v>
      </c>
      <c r="F824" s="2" t="str">
        <f>INDEX(Vendors!E:E,MATCH(Vendor_Analysis!C824,Vendors!A:A,0))</f>
        <v xml:space="preserve">60 </v>
      </c>
      <c r="G824" s="2">
        <v>60</v>
      </c>
      <c r="H824" s="16">
        <f t="shared" si="12"/>
        <v>45407</v>
      </c>
      <c r="J824" s="2"/>
    </row>
    <row r="825" spans="1:10" x14ac:dyDescent="0.25">
      <c r="A825" s="8" t="s">
        <v>811</v>
      </c>
      <c r="B825" s="8" t="s">
        <v>795</v>
      </c>
      <c r="C825" s="8" t="s">
        <v>109</v>
      </c>
      <c r="D825" s="10">
        <v>45385</v>
      </c>
      <c r="E825" s="9">
        <v>57862</v>
      </c>
      <c r="F825" s="2" t="str">
        <f>INDEX(Vendors!E:E,MATCH(Vendor_Analysis!C825,Vendors!A:A,0))</f>
        <v xml:space="preserve">30 </v>
      </c>
      <c r="G825" s="2">
        <v>30</v>
      </c>
      <c r="H825" s="16">
        <f t="shared" si="12"/>
        <v>45415</v>
      </c>
      <c r="J825" s="2"/>
    </row>
    <row r="826" spans="1:10" x14ac:dyDescent="0.25">
      <c r="A826" s="8" t="s">
        <v>1883</v>
      </c>
      <c r="B826" s="8" t="s">
        <v>795</v>
      </c>
      <c r="C826" s="8" t="s">
        <v>17</v>
      </c>
      <c r="D826" s="10">
        <v>45392</v>
      </c>
      <c r="E826" s="9">
        <v>69353</v>
      </c>
      <c r="F826" s="2" t="str">
        <f>INDEX(Vendors!E:E,MATCH(Vendor_Analysis!C826,Vendors!A:A,0))</f>
        <v xml:space="preserve">45 </v>
      </c>
      <c r="G826" s="2">
        <v>45</v>
      </c>
      <c r="H826" s="16">
        <f t="shared" si="12"/>
        <v>45437</v>
      </c>
      <c r="J826" s="2"/>
    </row>
    <row r="827" spans="1:10" x14ac:dyDescent="0.25">
      <c r="A827" s="8" t="s">
        <v>1884</v>
      </c>
      <c r="B827" s="8" t="s">
        <v>795</v>
      </c>
      <c r="C827" s="8" t="s">
        <v>17</v>
      </c>
      <c r="D827" s="10">
        <v>45409</v>
      </c>
      <c r="E827" s="9">
        <v>60890</v>
      </c>
      <c r="F827" s="2" t="str">
        <f>INDEX(Vendors!E:E,MATCH(Vendor_Analysis!C827,Vendors!A:A,0))</f>
        <v xml:space="preserve">45 </v>
      </c>
      <c r="G827" s="2">
        <v>45</v>
      </c>
      <c r="H827" s="16">
        <f t="shared" si="12"/>
        <v>45454</v>
      </c>
      <c r="J827" s="2"/>
    </row>
    <row r="828" spans="1:10" x14ac:dyDescent="0.25">
      <c r="A828" s="8" t="s">
        <v>1885</v>
      </c>
      <c r="B828" s="8" t="s">
        <v>795</v>
      </c>
      <c r="C828" s="8" t="s">
        <v>21</v>
      </c>
      <c r="D828" s="10">
        <v>45427</v>
      </c>
      <c r="E828" s="9">
        <v>109954</v>
      </c>
      <c r="F828" s="2" t="str">
        <f>INDEX(Vendors!E:E,MATCH(Vendor_Analysis!C828,Vendors!A:A,0))</f>
        <v xml:space="preserve"> 90</v>
      </c>
      <c r="G828" s="2">
        <v>90</v>
      </c>
      <c r="H828" s="16">
        <f t="shared" si="12"/>
        <v>45517</v>
      </c>
      <c r="J828" s="2"/>
    </row>
    <row r="829" spans="1:10" x14ac:dyDescent="0.25">
      <c r="A829" s="8" t="s">
        <v>1886</v>
      </c>
      <c r="B829" s="8" t="s">
        <v>795</v>
      </c>
      <c r="C829" s="8" t="s">
        <v>109</v>
      </c>
      <c r="D829" s="10">
        <v>45431</v>
      </c>
      <c r="E829" s="9">
        <v>61657</v>
      </c>
      <c r="F829" s="2" t="str">
        <f>INDEX(Vendors!E:E,MATCH(Vendor_Analysis!C829,Vendors!A:A,0))</f>
        <v xml:space="preserve">30 </v>
      </c>
      <c r="G829" s="2">
        <v>30</v>
      </c>
      <c r="H829" s="16">
        <f t="shared" si="12"/>
        <v>45461</v>
      </c>
      <c r="J829" s="2"/>
    </row>
    <row r="830" spans="1:10" x14ac:dyDescent="0.25">
      <c r="A830" s="8" t="s">
        <v>1887</v>
      </c>
      <c r="B830" s="8" t="s">
        <v>795</v>
      </c>
      <c r="C830" s="8" t="s">
        <v>35</v>
      </c>
      <c r="D830" s="10">
        <v>45454</v>
      </c>
      <c r="E830" s="9">
        <v>117334</v>
      </c>
      <c r="F830" s="2" t="str">
        <f>INDEX(Vendors!E:E,MATCH(Vendor_Analysis!C830,Vendors!A:A,0))</f>
        <v xml:space="preserve">60 </v>
      </c>
      <c r="G830" s="2">
        <v>60</v>
      </c>
      <c r="H830" s="16">
        <f t="shared" si="12"/>
        <v>45514</v>
      </c>
      <c r="J830" s="2"/>
    </row>
    <row r="831" spans="1:10" x14ac:dyDescent="0.25">
      <c r="A831" s="8" t="s">
        <v>1888</v>
      </c>
      <c r="B831" s="8" t="s">
        <v>795</v>
      </c>
      <c r="C831" s="8" t="s">
        <v>35</v>
      </c>
      <c r="D831" s="10">
        <v>45465</v>
      </c>
      <c r="E831" s="9">
        <v>93118</v>
      </c>
      <c r="F831" s="2" t="str">
        <f>INDEX(Vendors!E:E,MATCH(Vendor_Analysis!C831,Vendors!A:A,0))</f>
        <v xml:space="preserve">60 </v>
      </c>
      <c r="G831" s="2">
        <v>60</v>
      </c>
      <c r="H831" s="16">
        <f t="shared" si="12"/>
        <v>45525</v>
      </c>
      <c r="J831" s="2"/>
    </row>
    <row r="832" spans="1:10" x14ac:dyDescent="0.25">
      <c r="A832" s="8" t="s">
        <v>1889</v>
      </c>
      <c r="B832" s="8" t="s">
        <v>795</v>
      </c>
      <c r="C832" s="8" t="s">
        <v>91</v>
      </c>
      <c r="D832" s="10">
        <v>45486</v>
      </c>
      <c r="E832" s="9">
        <v>56666</v>
      </c>
      <c r="F832" s="2" t="str">
        <f>INDEX(Vendors!E:E,MATCH(Vendor_Analysis!C832,Vendors!A:A,0))</f>
        <v xml:space="preserve">60 </v>
      </c>
      <c r="G832" s="2">
        <v>60</v>
      </c>
      <c r="H832" s="16">
        <f t="shared" si="12"/>
        <v>45546</v>
      </c>
      <c r="J832" s="2"/>
    </row>
    <row r="833" spans="1:10" x14ac:dyDescent="0.25">
      <c r="A833" s="8" t="s">
        <v>1890</v>
      </c>
      <c r="B833" s="8" t="s">
        <v>795</v>
      </c>
      <c r="C833" s="8" t="s">
        <v>10</v>
      </c>
      <c r="D833" s="10">
        <v>45492</v>
      </c>
      <c r="E833" s="9">
        <v>110135</v>
      </c>
      <c r="F833" s="2" t="str">
        <f>INDEX(Vendors!E:E,MATCH(Vendor_Analysis!C833,Vendors!A:A,0))</f>
        <v xml:space="preserve">60 </v>
      </c>
      <c r="G833" s="2">
        <v>60</v>
      </c>
      <c r="H833" s="16">
        <f t="shared" si="12"/>
        <v>45552</v>
      </c>
      <c r="J833" s="2"/>
    </row>
    <row r="834" spans="1:10" x14ac:dyDescent="0.25">
      <c r="A834" s="8" t="s">
        <v>1891</v>
      </c>
      <c r="B834" s="8" t="s">
        <v>795</v>
      </c>
      <c r="C834" s="8" t="s">
        <v>29</v>
      </c>
      <c r="D834" s="10">
        <v>45500</v>
      </c>
      <c r="E834" s="9">
        <v>71686</v>
      </c>
      <c r="F834" s="2" t="str">
        <f>INDEX(Vendors!E:E,MATCH(Vendor_Analysis!C834,Vendors!A:A,0))</f>
        <v xml:space="preserve">30 </v>
      </c>
      <c r="G834" s="2">
        <v>30</v>
      </c>
      <c r="H834" s="16">
        <f t="shared" si="12"/>
        <v>45530</v>
      </c>
      <c r="J834" s="2"/>
    </row>
    <row r="835" spans="1:10" x14ac:dyDescent="0.25">
      <c r="A835" s="8" t="s">
        <v>1892</v>
      </c>
      <c r="B835" s="8" t="s">
        <v>795</v>
      </c>
      <c r="C835" s="8" t="s">
        <v>6</v>
      </c>
      <c r="D835" s="10">
        <v>45513</v>
      </c>
      <c r="E835" s="9">
        <v>292300</v>
      </c>
      <c r="F835" s="2" t="str">
        <f>INDEX(Vendors!E:E,MATCH(Vendor_Analysis!C835,Vendors!A:A,0))</f>
        <v xml:space="preserve">60 </v>
      </c>
      <c r="G835" s="2">
        <v>60</v>
      </c>
      <c r="H835" s="16">
        <f t="shared" ref="H835:H898" si="13">D835+F835</f>
        <v>45573</v>
      </c>
      <c r="J835" s="2"/>
    </row>
    <row r="836" spans="1:10" x14ac:dyDescent="0.25">
      <c r="A836" s="8" t="s">
        <v>1893</v>
      </c>
      <c r="B836" s="8" t="s">
        <v>795</v>
      </c>
      <c r="C836" s="8" t="s">
        <v>27</v>
      </c>
      <c r="D836" s="10">
        <v>45516</v>
      </c>
      <c r="E836" s="9">
        <v>99060</v>
      </c>
      <c r="F836" s="2" t="str">
        <f>INDEX(Vendors!E:E,MATCH(Vendor_Analysis!C836,Vendors!A:A,0))</f>
        <v xml:space="preserve">45 </v>
      </c>
      <c r="G836" s="2">
        <v>45</v>
      </c>
      <c r="H836" s="16">
        <f t="shared" si="13"/>
        <v>45561</v>
      </c>
      <c r="J836" s="2"/>
    </row>
    <row r="837" spans="1:10" x14ac:dyDescent="0.25">
      <c r="A837" s="8" t="s">
        <v>1894</v>
      </c>
      <c r="B837" s="8" t="s">
        <v>795</v>
      </c>
      <c r="C837" s="8" t="s">
        <v>8</v>
      </c>
      <c r="D837" s="10">
        <v>45532</v>
      </c>
      <c r="E837" s="9">
        <v>48065</v>
      </c>
      <c r="F837" s="2" t="str">
        <f>INDEX(Vendors!E:E,MATCH(Vendor_Analysis!C837,Vendors!A:A,0))</f>
        <v xml:space="preserve">60 </v>
      </c>
      <c r="G837" s="2">
        <v>60</v>
      </c>
      <c r="H837" s="16">
        <f t="shared" si="13"/>
        <v>45592</v>
      </c>
      <c r="J837" s="2"/>
    </row>
    <row r="838" spans="1:10" x14ac:dyDescent="0.25">
      <c r="A838" s="8" t="s">
        <v>1895</v>
      </c>
      <c r="B838" s="8" t="s">
        <v>795</v>
      </c>
      <c r="C838" s="8" t="s">
        <v>33</v>
      </c>
      <c r="D838" s="10">
        <v>45534</v>
      </c>
      <c r="E838" s="9">
        <v>94405</v>
      </c>
      <c r="F838" s="2" t="str">
        <f>INDEX(Vendors!E:E,MATCH(Vendor_Analysis!C838,Vendors!A:A,0))</f>
        <v xml:space="preserve">30 </v>
      </c>
      <c r="G838" s="2">
        <v>30</v>
      </c>
      <c r="H838" s="16">
        <f t="shared" si="13"/>
        <v>45564</v>
      </c>
      <c r="J838" s="2"/>
    </row>
    <row r="839" spans="1:10" x14ac:dyDescent="0.25">
      <c r="A839" s="8" t="s">
        <v>1896</v>
      </c>
      <c r="B839" s="8" t="s">
        <v>795</v>
      </c>
      <c r="C839" s="8" t="s">
        <v>44</v>
      </c>
      <c r="D839" s="10">
        <v>45541</v>
      </c>
      <c r="E839" s="9">
        <v>45567</v>
      </c>
      <c r="F839" s="2" t="str">
        <f>INDEX(Vendors!E:E,MATCH(Vendor_Analysis!C839,Vendors!A:A,0))</f>
        <v xml:space="preserve">45 </v>
      </c>
      <c r="G839" s="2">
        <v>45</v>
      </c>
      <c r="H839" s="16">
        <f t="shared" si="13"/>
        <v>45586</v>
      </c>
      <c r="J839" s="2"/>
    </row>
    <row r="840" spans="1:10" x14ac:dyDescent="0.25">
      <c r="A840" s="8" t="s">
        <v>1897</v>
      </c>
      <c r="B840" s="8" t="s">
        <v>795</v>
      </c>
      <c r="C840" s="8" t="s">
        <v>71</v>
      </c>
      <c r="D840" s="10">
        <v>45549</v>
      </c>
      <c r="E840" s="9">
        <v>109655</v>
      </c>
      <c r="F840" s="2" t="str">
        <f>INDEX(Vendors!E:E,MATCH(Vendor_Analysis!C840,Vendors!A:A,0))</f>
        <v xml:space="preserve">45 </v>
      </c>
      <c r="G840" s="2">
        <v>45</v>
      </c>
      <c r="H840" s="16">
        <f t="shared" si="13"/>
        <v>45594</v>
      </c>
      <c r="J840" s="2"/>
    </row>
    <row r="841" spans="1:10" x14ac:dyDescent="0.25">
      <c r="A841" s="8" t="s">
        <v>1898</v>
      </c>
      <c r="B841" s="8" t="s">
        <v>795</v>
      </c>
      <c r="C841" s="8" t="s">
        <v>55</v>
      </c>
      <c r="D841" s="10">
        <v>45550</v>
      </c>
      <c r="E841" s="9">
        <v>81136</v>
      </c>
      <c r="F841" s="2" t="str">
        <f>INDEX(Vendors!E:E,MATCH(Vendor_Analysis!C841,Vendors!A:A,0))</f>
        <v xml:space="preserve">30 </v>
      </c>
      <c r="G841" s="2">
        <v>30</v>
      </c>
      <c r="H841" s="16">
        <f t="shared" si="13"/>
        <v>45580</v>
      </c>
      <c r="J841" s="2"/>
    </row>
    <row r="842" spans="1:10" x14ac:dyDescent="0.25">
      <c r="A842" s="8" t="s">
        <v>1899</v>
      </c>
      <c r="B842" s="8" t="s">
        <v>795</v>
      </c>
      <c r="C842" s="8" t="s">
        <v>37</v>
      </c>
      <c r="D842" s="10">
        <v>45551</v>
      </c>
      <c r="E842" s="9">
        <v>90985</v>
      </c>
      <c r="F842" s="2" t="str">
        <f>INDEX(Vendors!E:E,MATCH(Vendor_Analysis!C842,Vendors!A:A,0))</f>
        <v xml:space="preserve">30 </v>
      </c>
      <c r="G842" s="2">
        <v>30</v>
      </c>
      <c r="H842" s="16">
        <f t="shared" si="13"/>
        <v>45581</v>
      </c>
      <c r="J842" s="2"/>
    </row>
    <row r="843" spans="1:10" x14ac:dyDescent="0.25">
      <c r="A843" s="8" t="s">
        <v>1900</v>
      </c>
      <c r="B843" s="8" t="s">
        <v>795</v>
      </c>
      <c r="C843" s="8" t="s">
        <v>33</v>
      </c>
      <c r="D843" s="10">
        <v>45564</v>
      </c>
      <c r="E843" s="9">
        <v>61106</v>
      </c>
      <c r="F843" s="2" t="str">
        <f>INDEX(Vendors!E:E,MATCH(Vendor_Analysis!C843,Vendors!A:A,0))</f>
        <v xml:space="preserve">30 </v>
      </c>
      <c r="G843" s="2">
        <v>30</v>
      </c>
      <c r="H843" s="16">
        <f t="shared" si="13"/>
        <v>45594</v>
      </c>
      <c r="J843" s="2"/>
    </row>
    <row r="844" spans="1:10" x14ac:dyDescent="0.25">
      <c r="A844" s="8" t="s">
        <v>1901</v>
      </c>
      <c r="B844" s="8" t="s">
        <v>795</v>
      </c>
      <c r="C844" s="8" t="s">
        <v>71</v>
      </c>
      <c r="D844" s="10">
        <v>45567</v>
      </c>
      <c r="E844" s="9">
        <v>46182</v>
      </c>
      <c r="F844" s="2" t="str">
        <f>INDEX(Vendors!E:E,MATCH(Vendor_Analysis!C844,Vendors!A:A,0))</f>
        <v xml:space="preserve">45 </v>
      </c>
      <c r="G844" s="2">
        <v>45</v>
      </c>
      <c r="H844" s="16">
        <f t="shared" si="13"/>
        <v>45612</v>
      </c>
      <c r="J844" s="2"/>
    </row>
    <row r="845" spans="1:10" x14ac:dyDescent="0.25">
      <c r="A845" s="8" t="s">
        <v>1902</v>
      </c>
      <c r="B845" s="8" t="s">
        <v>795</v>
      </c>
      <c r="C845" s="8" t="s">
        <v>8</v>
      </c>
      <c r="D845" s="10">
        <v>45603</v>
      </c>
      <c r="E845" s="9">
        <v>48321</v>
      </c>
      <c r="F845" s="2" t="str">
        <f>INDEX(Vendors!E:E,MATCH(Vendor_Analysis!C845,Vendors!A:A,0))</f>
        <v xml:space="preserve">60 </v>
      </c>
      <c r="G845" s="2">
        <v>60</v>
      </c>
      <c r="H845" s="16">
        <f t="shared" si="13"/>
        <v>45663</v>
      </c>
      <c r="J845" s="2"/>
    </row>
    <row r="846" spans="1:10" x14ac:dyDescent="0.25">
      <c r="A846" s="8" t="s">
        <v>1903</v>
      </c>
      <c r="B846" s="8" t="s">
        <v>795</v>
      </c>
      <c r="C846" s="8" t="s">
        <v>8</v>
      </c>
      <c r="D846" s="10">
        <v>45617</v>
      </c>
      <c r="E846" s="9">
        <v>96065</v>
      </c>
      <c r="F846" s="2" t="str">
        <f>INDEX(Vendors!E:E,MATCH(Vendor_Analysis!C846,Vendors!A:A,0))</f>
        <v xml:space="preserve">60 </v>
      </c>
      <c r="G846" s="2">
        <v>60</v>
      </c>
      <c r="H846" s="16">
        <f t="shared" si="13"/>
        <v>45677</v>
      </c>
      <c r="J846" s="2"/>
    </row>
    <row r="847" spans="1:10" x14ac:dyDescent="0.25">
      <c r="A847" s="8" t="s">
        <v>1904</v>
      </c>
      <c r="B847" s="8" t="s">
        <v>795</v>
      </c>
      <c r="C847" s="8" t="s">
        <v>25</v>
      </c>
      <c r="D847" s="10">
        <v>45624</v>
      </c>
      <c r="E847" s="9">
        <v>43642</v>
      </c>
      <c r="F847" s="2" t="str">
        <f>INDEX(Vendors!E:E,MATCH(Vendor_Analysis!C847,Vendors!A:A,0))</f>
        <v xml:space="preserve">30 </v>
      </c>
      <c r="G847" s="2">
        <v>30</v>
      </c>
      <c r="H847" s="16">
        <f t="shared" si="13"/>
        <v>45654</v>
      </c>
      <c r="J847" s="2"/>
    </row>
    <row r="848" spans="1:10" x14ac:dyDescent="0.25">
      <c r="A848" s="8" t="s">
        <v>1905</v>
      </c>
      <c r="B848" s="8" t="s">
        <v>795</v>
      </c>
      <c r="C848" s="8" t="s">
        <v>44</v>
      </c>
      <c r="D848" s="10">
        <v>45625</v>
      </c>
      <c r="E848" s="9">
        <v>66312</v>
      </c>
      <c r="F848" s="2" t="str">
        <f>INDEX(Vendors!E:E,MATCH(Vendor_Analysis!C848,Vendors!A:A,0))</f>
        <v xml:space="preserve">45 </v>
      </c>
      <c r="G848" s="2">
        <v>45</v>
      </c>
      <c r="H848" s="16">
        <f t="shared" si="13"/>
        <v>45670</v>
      </c>
      <c r="J848" s="2"/>
    </row>
    <row r="849" spans="1:10" x14ac:dyDescent="0.25">
      <c r="A849" s="8" t="s">
        <v>1906</v>
      </c>
      <c r="B849" s="8" t="s">
        <v>795</v>
      </c>
      <c r="C849" s="8" t="s">
        <v>50</v>
      </c>
      <c r="D849" s="10">
        <v>45649</v>
      </c>
      <c r="E849" s="9">
        <v>43216</v>
      </c>
      <c r="F849" s="2" t="str">
        <f>INDEX(Vendors!E:E,MATCH(Vendor_Analysis!C849,Vendors!A:A,0))</f>
        <v xml:space="preserve"> 90</v>
      </c>
      <c r="G849" s="2">
        <v>90</v>
      </c>
      <c r="H849" s="16">
        <f t="shared" si="13"/>
        <v>45739</v>
      </c>
      <c r="J849" s="2"/>
    </row>
    <row r="850" spans="1:10" x14ac:dyDescent="0.25">
      <c r="A850" s="8" t="s">
        <v>1907</v>
      </c>
      <c r="B850" s="8" t="s">
        <v>795</v>
      </c>
      <c r="C850" s="8" t="s">
        <v>25</v>
      </c>
      <c r="D850" s="10">
        <v>45656</v>
      </c>
      <c r="E850" s="9">
        <v>147443</v>
      </c>
      <c r="F850" s="2" t="str">
        <f>INDEX(Vendors!E:E,MATCH(Vendor_Analysis!C850,Vendors!A:A,0))</f>
        <v xml:space="preserve">30 </v>
      </c>
      <c r="G850" s="2">
        <v>30</v>
      </c>
      <c r="H850" s="16">
        <f t="shared" si="13"/>
        <v>45686</v>
      </c>
      <c r="J850" s="2"/>
    </row>
    <row r="851" spans="1:10" x14ac:dyDescent="0.25">
      <c r="A851" s="8" t="s">
        <v>1908</v>
      </c>
      <c r="B851" s="8" t="s">
        <v>795</v>
      </c>
      <c r="C851" s="8" t="s">
        <v>109</v>
      </c>
      <c r="D851" s="10">
        <v>45660</v>
      </c>
      <c r="E851" s="9">
        <v>55952</v>
      </c>
      <c r="F851" s="2" t="str">
        <f>INDEX(Vendors!E:E,MATCH(Vendor_Analysis!C851,Vendors!A:A,0))</f>
        <v xml:space="preserve">30 </v>
      </c>
      <c r="G851" s="2">
        <v>30</v>
      </c>
      <c r="H851" s="16">
        <f t="shared" si="13"/>
        <v>45690</v>
      </c>
      <c r="J851" s="2"/>
    </row>
    <row r="852" spans="1:10" x14ac:dyDescent="0.25">
      <c r="A852" s="8" t="s">
        <v>1909</v>
      </c>
      <c r="B852" s="8" t="s">
        <v>795</v>
      </c>
      <c r="C852" s="8" t="s">
        <v>10</v>
      </c>
      <c r="D852" s="10">
        <v>45666</v>
      </c>
      <c r="E852" s="9">
        <v>51476</v>
      </c>
      <c r="F852" s="2" t="str">
        <f>INDEX(Vendors!E:E,MATCH(Vendor_Analysis!C852,Vendors!A:A,0))</f>
        <v xml:space="preserve">60 </v>
      </c>
      <c r="G852" s="2">
        <v>60</v>
      </c>
      <c r="H852" s="16">
        <f t="shared" si="13"/>
        <v>45726</v>
      </c>
      <c r="J852" s="2"/>
    </row>
    <row r="853" spans="1:10" x14ac:dyDescent="0.25">
      <c r="A853" s="8" t="s">
        <v>1910</v>
      </c>
      <c r="B853" s="8" t="s">
        <v>795</v>
      </c>
      <c r="C853" s="8" t="s">
        <v>73</v>
      </c>
      <c r="D853" s="10">
        <v>45666</v>
      </c>
      <c r="E853" s="9">
        <v>67019</v>
      </c>
      <c r="F853" s="2" t="str">
        <f>INDEX(Vendors!E:E,MATCH(Vendor_Analysis!C853,Vendors!A:A,0))</f>
        <v xml:space="preserve">60 </v>
      </c>
      <c r="G853" s="2">
        <v>60</v>
      </c>
      <c r="H853" s="16">
        <f t="shared" si="13"/>
        <v>45726</v>
      </c>
      <c r="J853" s="2"/>
    </row>
    <row r="854" spans="1:10" x14ac:dyDescent="0.25">
      <c r="A854" s="8" t="s">
        <v>1911</v>
      </c>
      <c r="B854" s="8" t="s">
        <v>795</v>
      </c>
      <c r="C854" s="8" t="s">
        <v>6</v>
      </c>
      <c r="D854" s="10">
        <v>45702</v>
      </c>
      <c r="E854" s="9">
        <v>74151</v>
      </c>
      <c r="F854" s="2" t="str">
        <f>INDEX(Vendors!E:E,MATCH(Vendor_Analysis!C854,Vendors!A:A,0))</f>
        <v xml:space="preserve">60 </v>
      </c>
      <c r="G854" s="2">
        <v>60</v>
      </c>
      <c r="H854" s="16">
        <f t="shared" si="13"/>
        <v>45762</v>
      </c>
      <c r="J854" s="2"/>
    </row>
    <row r="855" spans="1:10" x14ac:dyDescent="0.25">
      <c r="A855" s="8" t="s">
        <v>1912</v>
      </c>
      <c r="B855" s="8" t="s">
        <v>795</v>
      </c>
      <c r="C855" s="8" t="s">
        <v>6</v>
      </c>
      <c r="D855" s="10">
        <v>45705</v>
      </c>
      <c r="E855" s="9">
        <v>84364</v>
      </c>
      <c r="F855" s="2" t="str">
        <f>INDEX(Vendors!E:E,MATCH(Vendor_Analysis!C855,Vendors!A:A,0))</f>
        <v xml:space="preserve">60 </v>
      </c>
      <c r="G855" s="2">
        <v>60</v>
      </c>
      <c r="H855" s="16">
        <f t="shared" si="13"/>
        <v>45765</v>
      </c>
      <c r="J855" s="2"/>
    </row>
    <row r="856" spans="1:10" x14ac:dyDescent="0.25">
      <c r="A856" s="8" t="s">
        <v>1913</v>
      </c>
      <c r="B856" s="8" t="s">
        <v>795</v>
      </c>
      <c r="C856" s="8" t="s">
        <v>108</v>
      </c>
      <c r="D856" s="10">
        <v>45714</v>
      </c>
      <c r="E856" s="9">
        <v>84229</v>
      </c>
      <c r="F856" s="2" t="str">
        <f>INDEX(Vendors!E:E,MATCH(Vendor_Analysis!C856,Vendors!A:A,0))</f>
        <v xml:space="preserve"> 90</v>
      </c>
      <c r="G856" s="2">
        <v>90</v>
      </c>
      <c r="H856" s="16">
        <f t="shared" si="13"/>
        <v>45804</v>
      </c>
      <c r="J856" s="2"/>
    </row>
    <row r="857" spans="1:10" x14ac:dyDescent="0.25">
      <c r="A857" s="8" t="s">
        <v>1914</v>
      </c>
      <c r="B857" s="8" t="s">
        <v>795</v>
      </c>
      <c r="C857" s="8" t="s">
        <v>19</v>
      </c>
      <c r="D857" s="10">
        <v>45730</v>
      </c>
      <c r="E857" s="9">
        <v>54870</v>
      </c>
      <c r="F857" s="2" t="str">
        <f>INDEX(Vendors!E:E,MATCH(Vendor_Analysis!C857,Vendors!A:A,0))</f>
        <v xml:space="preserve">45 </v>
      </c>
      <c r="G857" s="2">
        <v>45</v>
      </c>
      <c r="H857" s="16">
        <f t="shared" si="13"/>
        <v>45775</v>
      </c>
      <c r="J857" s="2"/>
    </row>
    <row r="858" spans="1:10" x14ac:dyDescent="0.25">
      <c r="A858" s="8" t="s">
        <v>1915</v>
      </c>
      <c r="B858" s="8" t="s">
        <v>795</v>
      </c>
      <c r="C858" s="8" t="s">
        <v>23</v>
      </c>
      <c r="D858" s="10">
        <v>45736</v>
      </c>
      <c r="E858" s="9">
        <v>80641</v>
      </c>
      <c r="F858" s="2" t="str">
        <f>INDEX(Vendors!E:E,MATCH(Vendor_Analysis!C858,Vendors!A:A,0))</f>
        <v xml:space="preserve"> 90</v>
      </c>
      <c r="G858" s="2">
        <v>90</v>
      </c>
      <c r="H858" s="16">
        <f t="shared" si="13"/>
        <v>45826</v>
      </c>
      <c r="J858" s="2"/>
    </row>
    <row r="859" spans="1:10" x14ac:dyDescent="0.25">
      <c r="A859" s="8" t="s">
        <v>1916</v>
      </c>
      <c r="B859" s="8" t="s">
        <v>795</v>
      </c>
      <c r="C859" s="8" t="s">
        <v>48</v>
      </c>
      <c r="D859" s="10">
        <v>45746</v>
      </c>
      <c r="E859" s="9">
        <v>57854</v>
      </c>
      <c r="F859" s="2" t="str">
        <f>INDEX(Vendors!E:E,MATCH(Vendor_Analysis!C859,Vendors!A:A,0))</f>
        <v xml:space="preserve"> 90</v>
      </c>
      <c r="G859" s="2">
        <v>90</v>
      </c>
      <c r="H859" s="16">
        <f t="shared" si="13"/>
        <v>45836</v>
      </c>
      <c r="J859" s="2"/>
    </row>
    <row r="860" spans="1:10" x14ac:dyDescent="0.25">
      <c r="A860" s="8" t="s">
        <v>1917</v>
      </c>
      <c r="B860" s="8" t="s">
        <v>795</v>
      </c>
      <c r="C860" s="8" t="s">
        <v>14</v>
      </c>
      <c r="D860" s="10">
        <v>45766</v>
      </c>
      <c r="E860" s="9">
        <v>54241</v>
      </c>
      <c r="F860" s="2" t="str">
        <f>INDEX(Vendors!E:E,MATCH(Vendor_Analysis!C860,Vendors!A:A,0))</f>
        <v xml:space="preserve"> 90</v>
      </c>
      <c r="G860" s="2">
        <v>90</v>
      </c>
      <c r="H860" s="16">
        <f t="shared" si="13"/>
        <v>45856</v>
      </c>
      <c r="J860" s="2"/>
    </row>
    <row r="861" spans="1:10" x14ac:dyDescent="0.25">
      <c r="A861" s="8" t="s">
        <v>1918</v>
      </c>
      <c r="B861" s="8" t="s">
        <v>795</v>
      </c>
      <c r="C861" s="8" t="s">
        <v>14</v>
      </c>
      <c r="D861" s="10">
        <v>45777</v>
      </c>
      <c r="E861" s="9">
        <v>45369</v>
      </c>
      <c r="F861" s="2" t="str">
        <f>INDEX(Vendors!E:E,MATCH(Vendor_Analysis!C861,Vendors!A:A,0))</f>
        <v xml:space="preserve"> 90</v>
      </c>
      <c r="G861" s="2">
        <v>90</v>
      </c>
      <c r="H861" s="16">
        <f t="shared" si="13"/>
        <v>45867</v>
      </c>
      <c r="J861" s="2"/>
    </row>
    <row r="862" spans="1:10" x14ac:dyDescent="0.25">
      <c r="A862" s="8" t="s">
        <v>1919</v>
      </c>
      <c r="B862" s="8" t="s">
        <v>795</v>
      </c>
      <c r="C862" s="8" t="s">
        <v>8</v>
      </c>
      <c r="D862" s="10">
        <v>45808</v>
      </c>
      <c r="E862" s="9">
        <v>77744</v>
      </c>
      <c r="F862" s="2" t="str">
        <f>INDEX(Vendors!E:E,MATCH(Vendor_Analysis!C862,Vendors!A:A,0))</f>
        <v xml:space="preserve">60 </v>
      </c>
      <c r="G862" s="2">
        <v>60</v>
      </c>
      <c r="H862" s="16">
        <f t="shared" si="13"/>
        <v>45868</v>
      </c>
      <c r="J862" s="2"/>
    </row>
    <row r="863" spans="1:10" x14ac:dyDescent="0.25">
      <c r="A863" s="8" t="s">
        <v>1920</v>
      </c>
      <c r="B863" s="8" t="s">
        <v>795</v>
      </c>
      <c r="C863" s="8" t="s">
        <v>48</v>
      </c>
      <c r="D863" s="10">
        <v>45840</v>
      </c>
      <c r="E863" s="9">
        <v>64704</v>
      </c>
      <c r="F863" s="2" t="str">
        <f>INDEX(Vendors!E:E,MATCH(Vendor_Analysis!C863,Vendors!A:A,0))</f>
        <v xml:space="preserve"> 90</v>
      </c>
      <c r="G863" s="2">
        <v>90</v>
      </c>
      <c r="H863" s="16">
        <f t="shared" si="13"/>
        <v>45930</v>
      </c>
      <c r="J863" s="2"/>
    </row>
    <row r="864" spans="1:10" x14ac:dyDescent="0.25">
      <c r="A864" s="8" t="s">
        <v>1921</v>
      </c>
      <c r="B864" s="8" t="s">
        <v>795</v>
      </c>
      <c r="C864" s="8" t="s">
        <v>29</v>
      </c>
      <c r="D864" s="10">
        <v>45864</v>
      </c>
      <c r="E864" s="9">
        <v>64852</v>
      </c>
      <c r="F864" s="2" t="str">
        <f>INDEX(Vendors!E:E,MATCH(Vendor_Analysis!C864,Vendors!A:A,0))</f>
        <v xml:space="preserve">30 </v>
      </c>
      <c r="G864" s="2">
        <v>30</v>
      </c>
      <c r="H864" s="16">
        <f t="shared" si="13"/>
        <v>45894</v>
      </c>
      <c r="J864" s="2"/>
    </row>
    <row r="865" spans="1:10" x14ac:dyDescent="0.25">
      <c r="A865" s="8" t="s">
        <v>1922</v>
      </c>
      <c r="B865" s="8" t="s">
        <v>795</v>
      </c>
      <c r="C865" s="8" t="s">
        <v>33</v>
      </c>
      <c r="D865" s="10">
        <v>45869</v>
      </c>
      <c r="E865" s="9">
        <v>33854</v>
      </c>
      <c r="F865" s="2" t="str">
        <f>INDEX(Vendors!E:E,MATCH(Vendor_Analysis!C865,Vendors!A:A,0))</f>
        <v xml:space="preserve">30 </v>
      </c>
      <c r="G865" s="2">
        <v>30</v>
      </c>
      <c r="H865" s="16">
        <f t="shared" si="13"/>
        <v>45899</v>
      </c>
      <c r="J865" s="2"/>
    </row>
    <row r="866" spans="1:10" x14ac:dyDescent="0.25">
      <c r="A866" s="8" t="s">
        <v>1923</v>
      </c>
      <c r="B866" s="8" t="s">
        <v>795</v>
      </c>
      <c r="C866" s="8" t="s">
        <v>6</v>
      </c>
      <c r="D866" s="10">
        <v>45874</v>
      </c>
      <c r="E866" s="9">
        <v>35337</v>
      </c>
      <c r="F866" s="2" t="str">
        <f>INDEX(Vendors!E:E,MATCH(Vendor_Analysis!C866,Vendors!A:A,0))</f>
        <v xml:space="preserve">60 </v>
      </c>
      <c r="G866" s="2">
        <v>60</v>
      </c>
      <c r="H866" s="16">
        <f t="shared" si="13"/>
        <v>45934</v>
      </c>
      <c r="J866" s="2"/>
    </row>
    <row r="867" spans="1:10" x14ac:dyDescent="0.25">
      <c r="A867" s="8" t="s">
        <v>1924</v>
      </c>
      <c r="B867" s="8" t="s">
        <v>795</v>
      </c>
      <c r="C867" s="8" t="s">
        <v>21</v>
      </c>
      <c r="D867" s="10">
        <v>45881</v>
      </c>
      <c r="E867" s="9">
        <v>67730</v>
      </c>
      <c r="F867" s="2" t="str">
        <f>INDEX(Vendors!E:E,MATCH(Vendor_Analysis!C867,Vendors!A:A,0))</f>
        <v xml:space="preserve"> 90</v>
      </c>
      <c r="G867" s="2">
        <v>90</v>
      </c>
      <c r="H867" s="16">
        <f t="shared" si="13"/>
        <v>45971</v>
      </c>
      <c r="J867" s="2"/>
    </row>
    <row r="868" spans="1:10" x14ac:dyDescent="0.25">
      <c r="A868" s="8" t="s">
        <v>1925</v>
      </c>
      <c r="B868" s="8" t="s">
        <v>795</v>
      </c>
      <c r="C868" s="8" t="s">
        <v>8</v>
      </c>
      <c r="D868" s="10">
        <v>45896</v>
      </c>
      <c r="E868" s="9">
        <v>67150</v>
      </c>
      <c r="F868" s="2" t="str">
        <f>INDEX(Vendors!E:E,MATCH(Vendor_Analysis!C868,Vendors!A:A,0))</f>
        <v xml:space="preserve">60 </v>
      </c>
      <c r="G868" s="2">
        <v>60</v>
      </c>
      <c r="H868" s="16">
        <f t="shared" si="13"/>
        <v>45956</v>
      </c>
      <c r="J868" s="2"/>
    </row>
    <row r="869" spans="1:10" x14ac:dyDescent="0.25">
      <c r="A869" s="8" t="s">
        <v>812</v>
      </c>
      <c r="B869" s="8" t="s">
        <v>813</v>
      </c>
      <c r="C869" s="8" t="s">
        <v>108</v>
      </c>
      <c r="D869" s="10">
        <v>45417</v>
      </c>
      <c r="E869" s="9">
        <v>128092</v>
      </c>
      <c r="F869" s="2" t="str">
        <f>INDEX(Vendors!E:E,MATCH(Vendor_Analysis!C869,Vendors!A:A,0))</f>
        <v xml:space="preserve"> 90</v>
      </c>
      <c r="G869" s="2">
        <v>90</v>
      </c>
      <c r="H869" s="16">
        <f t="shared" si="13"/>
        <v>45507</v>
      </c>
      <c r="J869" s="2"/>
    </row>
    <row r="870" spans="1:10" x14ac:dyDescent="0.25">
      <c r="A870" s="8" t="s">
        <v>814</v>
      </c>
      <c r="B870" s="8" t="s">
        <v>813</v>
      </c>
      <c r="C870" s="8" t="s">
        <v>19</v>
      </c>
      <c r="D870" s="10">
        <v>45438</v>
      </c>
      <c r="E870" s="9">
        <v>67784</v>
      </c>
      <c r="F870" s="2" t="str">
        <f>INDEX(Vendors!E:E,MATCH(Vendor_Analysis!C870,Vendors!A:A,0))</f>
        <v xml:space="preserve">45 </v>
      </c>
      <c r="G870" s="2">
        <v>45</v>
      </c>
      <c r="H870" s="16">
        <f t="shared" si="13"/>
        <v>45483</v>
      </c>
      <c r="J870" s="2"/>
    </row>
    <row r="871" spans="1:10" x14ac:dyDescent="0.25">
      <c r="A871" s="8" t="s">
        <v>815</v>
      </c>
      <c r="B871" s="8" t="s">
        <v>813</v>
      </c>
      <c r="C871" s="8" t="s">
        <v>17</v>
      </c>
      <c r="D871" s="10">
        <v>45449</v>
      </c>
      <c r="E871" s="9">
        <v>108402</v>
      </c>
      <c r="F871" s="2" t="str">
        <f>INDEX(Vendors!E:E,MATCH(Vendor_Analysis!C871,Vendors!A:A,0))</f>
        <v xml:space="preserve">45 </v>
      </c>
      <c r="G871" s="2">
        <v>45</v>
      </c>
      <c r="H871" s="16">
        <f t="shared" si="13"/>
        <v>45494</v>
      </c>
      <c r="J871" s="2"/>
    </row>
    <row r="872" spans="1:10" x14ac:dyDescent="0.25">
      <c r="A872" s="8" t="s">
        <v>816</v>
      </c>
      <c r="B872" s="8" t="s">
        <v>813</v>
      </c>
      <c r="C872" s="8" t="s">
        <v>25</v>
      </c>
      <c r="D872" s="10">
        <v>45459</v>
      </c>
      <c r="E872" s="9">
        <v>62514</v>
      </c>
      <c r="F872" s="2" t="str">
        <f>INDEX(Vendors!E:E,MATCH(Vendor_Analysis!C872,Vendors!A:A,0))</f>
        <v xml:space="preserve">30 </v>
      </c>
      <c r="G872" s="2">
        <v>30</v>
      </c>
      <c r="H872" s="16">
        <f t="shared" si="13"/>
        <v>45489</v>
      </c>
      <c r="J872" s="2"/>
    </row>
    <row r="873" spans="1:10" x14ac:dyDescent="0.25">
      <c r="A873" s="8" t="s">
        <v>817</v>
      </c>
      <c r="B873" s="8" t="s">
        <v>813</v>
      </c>
      <c r="C873" s="8" t="s">
        <v>71</v>
      </c>
      <c r="D873" s="10">
        <v>45465</v>
      </c>
      <c r="E873" s="9">
        <v>72536</v>
      </c>
      <c r="F873" s="2" t="str">
        <f>INDEX(Vendors!E:E,MATCH(Vendor_Analysis!C873,Vendors!A:A,0))</f>
        <v xml:space="preserve">45 </v>
      </c>
      <c r="G873" s="2">
        <v>45</v>
      </c>
      <c r="H873" s="16">
        <f t="shared" si="13"/>
        <v>45510</v>
      </c>
      <c r="J873" s="2"/>
    </row>
    <row r="874" spans="1:10" x14ac:dyDescent="0.25">
      <c r="A874" s="8" t="s">
        <v>818</v>
      </c>
      <c r="B874" s="8" t="s">
        <v>813</v>
      </c>
      <c r="C874" s="8" t="s">
        <v>8</v>
      </c>
      <c r="D874" s="10">
        <v>45467</v>
      </c>
      <c r="E874" s="9">
        <v>183497</v>
      </c>
      <c r="F874" s="2" t="str">
        <f>INDEX(Vendors!E:E,MATCH(Vendor_Analysis!C874,Vendors!A:A,0))</f>
        <v xml:space="preserve">60 </v>
      </c>
      <c r="G874" s="2">
        <v>60</v>
      </c>
      <c r="H874" s="16">
        <f t="shared" si="13"/>
        <v>45527</v>
      </c>
      <c r="J874" s="2"/>
    </row>
    <row r="875" spans="1:10" x14ac:dyDescent="0.25">
      <c r="A875" s="8" t="s">
        <v>819</v>
      </c>
      <c r="B875" s="8" t="s">
        <v>813</v>
      </c>
      <c r="C875" s="8" t="s">
        <v>110</v>
      </c>
      <c r="D875" s="10">
        <v>45476</v>
      </c>
      <c r="E875" s="9">
        <v>129559</v>
      </c>
      <c r="F875" s="2" t="str">
        <f>INDEX(Vendors!E:E,MATCH(Vendor_Analysis!C875,Vendors!A:A,0))</f>
        <v xml:space="preserve">30 </v>
      </c>
      <c r="G875" s="2">
        <v>30</v>
      </c>
      <c r="H875" s="16">
        <f t="shared" si="13"/>
        <v>45506</v>
      </c>
      <c r="J875" s="2"/>
    </row>
    <row r="876" spans="1:10" x14ac:dyDescent="0.25">
      <c r="A876" s="8" t="s">
        <v>820</v>
      </c>
      <c r="B876" s="8" t="s">
        <v>813</v>
      </c>
      <c r="C876" s="8" t="s">
        <v>48</v>
      </c>
      <c r="D876" s="10">
        <v>45477</v>
      </c>
      <c r="E876" s="9">
        <v>79988</v>
      </c>
      <c r="F876" s="2" t="str">
        <f>INDEX(Vendors!E:E,MATCH(Vendor_Analysis!C876,Vendors!A:A,0))</f>
        <v xml:space="preserve"> 90</v>
      </c>
      <c r="G876" s="2">
        <v>90</v>
      </c>
      <c r="H876" s="16">
        <f t="shared" si="13"/>
        <v>45567</v>
      </c>
      <c r="J876" s="2"/>
    </row>
    <row r="877" spans="1:10" x14ac:dyDescent="0.25">
      <c r="A877" s="8" t="s">
        <v>821</v>
      </c>
      <c r="B877" s="8" t="s">
        <v>813</v>
      </c>
      <c r="C877" s="8" t="s">
        <v>19</v>
      </c>
      <c r="D877" s="10">
        <v>45496</v>
      </c>
      <c r="E877" s="9">
        <v>65403</v>
      </c>
      <c r="F877" s="2" t="str">
        <f>INDEX(Vendors!E:E,MATCH(Vendor_Analysis!C877,Vendors!A:A,0))</f>
        <v xml:space="preserve">45 </v>
      </c>
      <c r="G877" s="2">
        <v>45</v>
      </c>
      <c r="H877" s="16">
        <f t="shared" si="13"/>
        <v>45541</v>
      </c>
      <c r="J877" s="2"/>
    </row>
    <row r="878" spans="1:10" x14ac:dyDescent="0.25">
      <c r="A878" s="8" t="s">
        <v>822</v>
      </c>
      <c r="B878" s="8" t="s">
        <v>813</v>
      </c>
      <c r="C878" s="8" t="s">
        <v>55</v>
      </c>
      <c r="D878" s="10">
        <v>45503</v>
      </c>
      <c r="E878" s="9">
        <v>109199</v>
      </c>
      <c r="F878" s="2" t="str">
        <f>INDEX(Vendors!E:E,MATCH(Vendor_Analysis!C878,Vendors!A:A,0))</f>
        <v xml:space="preserve">30 </v>
      </c>
      <c r="G878" s="2">
        <v>30</v>
      </c>
      <c r="H878" s="16">
        <f t="shared" si="13"/>
        <v>45533</v>
      </c>
      <c r="J878" s="2"/>
    </row>
    <row r="879" spans="1:10" x14ac:dyDescent="0.25">
      <c r="A879" s="8" t="s">
        <v>823</v>
      </c>
      <c r="B879" s="8" t="s">
        <v>813</v>
      </c>
      <c r="C879" s="8" t="s">
        <v>33</v>
      </c>
      <c r="D879" s="10">
        <v>45508</v>
      </c>
      <c r="E879" s="9">
        <v>51367</v>
      </c>
      <c r="F879" s="2" t="str">
        <f>INDEX(Vendors!E:E,MATCH(Vendor_Analysis!C879,Vendors!A:A,0))</f>
        <v xml:space="preserve">30 </v>
      </c>
      <c r="G879" s="2">
        <v>30</v>
      </c>
      <c r="H879" s="16">
        <f t="shared" si="13"/>
        <v>45538</v>
      </c>
      <c r="J879" s="2"/>
    </row>
    <row r="880" spans="1:10" x14ac:dyDescent="0.25">
      <c r="A880" s="8" t="s">
        <v>824</v>
      </c>
      <c r="B880" s="8" t="s">
        <v>813</v>
      </c>
      <c r="C880" s="8" t="s">
        <v>27</v>
      </c>
      <c r="D880" s="10">
        <v>45513</v>
      </c>
      <c r="E880" s="9">
        <v>97889</v>
      </c>
      <c r="F880" s="2" t="str">
        <f>INDEX(Vendors!E:E,MATCH(Vendor_Analysis!C880,Vendors!A:A,0))</f>
        <v xml:space="preserve">45 </v>
      </c>
      <c r="G880" s="2">
        <v>45</v>
      </c>
      <c r="H880" s="16">
        <f t="shared" si="13"/>
        <v>45558</v>
      </c>
      <c r="J880" s="2"/>
    </row>
    <row r="881" spans="1:10" x14ac:dyDescent="0.25">
      <c r="A881" s="8" t="s">
        <v>825</v>
      </c>
      <c r="B881" s="8" t="s">
        <v>813</v>
      </c>
      <c r="C881" s="8" t="s">
        <v>48</v>
      </c>
      <c r="D881" s="10">
        <v>45542</v>
      </c>
      <c r="E881" s="9">
        <v>57768</v>
      </c>
      <c r="F881" s="2" t="str">
        <f>INDEX(Vendors!E:E,MATCH(Vendor_Analysis!C881,Vendors!A:A,0))</f>
        <v xml:space="preserve"> 90</v>
      </c>
      <c r="G881" s="2">
        <v>90</v>
      </c>
      <c r="H881" s="16">
        <f t="shared" si="13"/>
        <v>45632</v>
      </c>
      <c r="J881" s="2"/>
    </row>
    <row r="882" spans="1:10" x14ac:dyDescent="0.25">
      <c r="A882" s="8" t="s">
        <v>826</v>
      </c>
      <c r="B882" s="8" t="s">
        <v>813</v>
      </c>
      <c r="C882" s="8" t="s">
        <v>50</v>
      </c>
      <c r="D882" s="10">
        <v>45553</v>
      </c>
      <c r="E882" s="9">
        <v>108586</v>
      </c>
      <c r="F882" s="2" t="str">
        <f>INDEX(Vendors!E:E,MATCH(Vendor_Analysis!C882,Vendors!A:A,0))</f>
        <v xml:space="preserve"> 90</v>
      </c>
      <c r="G882" s="2">
        <v>90</v>
      </c>
      <c r="H882" s="16">
        <f t="shared" si="13"/>
        <v>45643</v>
      </c>
      <c r="J882" s="2"/>
    </row>
    <row r="883" spans="1:10" x14ac:dyDescent="0.25">
      <c r="A883" s="8" t="s">
        <v>827</v>
      </c>
      <c r="B883" s="8" t="s">
        <v>813</v>
      </c>
      <c r="C883" s="8" t="s">
        <v>21</v>
      </c>
      <c r="D883" s="10">
        <v>45555</v>
      </c>
      <c r="E883" s="9">
        <v>119973</v>
      </c>
      <c r="F883" s="2" t="str">
        <f>INDEX(Vendors!E:E,MATCH(Vendor_Analysis!C883,Vendors!A:A,0))</f>
        <v xml:space="preserve"> 90</v>
      </c>
      <c r="G883" s="2">
        <v>90</v>
      </c>
      <c r="H883" s="16">
        <f t="shared" si="13"/>
        <v>45645</v>
      </c>
      <c r="J883" s="2"/>
    </row>
    <row r="884" spans="1:10" x14ac:dyDescent="0.25">
      <c r="A884" s="8" t="s">
        <v>828</v>
      </c>
      <c r="B884" s="8" t="s">
        <v>813</v>
      </c>
      <c r="C884" s="8" t="s">
        <v>37</v>
      </c>
      <c r="D884" s="10">
        <v>45563</v>
      </c>
      <c r="E884" s="9">
        <v>71785</v>
      </c>
      <c r="F884" s="2" t="str">
        <f>INDEX(Vendors!E:E,MATCH(Vendor_Analysis!C884,Vendors!A:A,0))</f>
        <v xml:space="preserve">30 </v>
      </c>
      <c r="G884" s="2">
        <v>30</v>
      </c>
      <c r="H884" s="16">
        <f t="shared" si="13"/>
        <v>45593</v>
      </c>
      <c r="J884" s="2"/>
    </row>
    <row r="885" spans="1:10" x14ac:dyDescent="0.25">
      <c r="A885" s="8" t="s">
        <v>829</v>
      </c>
      <c r="B885" s="8" t="s">
        <v>813</v>
      </c>
      <c r="C885" s="8" t="s">
        <v>33</v>
      </c>
      <c r="D885" s="10">
        <v>45586</v>
      </c>
      <c r="E885" s="9">
        <v>94666</v>
      </c>
      <c r="F885" s="2" t="str">
        <f>INDEX(Vendors!E:E,MATCH(Vendor_Analysis!C885,Vendors!A:A,0))</f>
        <v xml:space="preserve">30 </v>
      </c>
      <c r="G885" s="2">
        <v>30</v>
      </c>
      <c r="H885" s="16">
        <f t="shared" si="13"/>
        <v>45616</v>
      </c>
      <c r="J885" s="2"/>
    </row>
    <row r="886" spans="1:10" x14ac:dyDescent="0.25">
      <c r="A886" s="8" t="s">
        <v>830</v>
      </c>
      <c r="B886" s="8" t="s">
        <v>813</v>
      </c>
      <c r="C886" s="8" t="s">
        <v>10</v>
      </c>
      <c r="D886" s="10">
        <v>45602</v>
      </c>
      <c r="E886" s="9">
        <v>52103</v>
      </c>
      <c r="F886" s="2" t="str">
        <f>INDEX(Vendors!E:E,MATCH(Vendor_Analysis!C886,Vendors!A:A,0))</f>
        <v xml:space="preserve">60 </v>
      </c>
      <c r="G886" s="2">
        <v>60</v>
      </c>
      <c r="H886" s="16">
        <f t="shared" si="13"/>
        <v>45662</v>
      </c>
      <c r="J886" s="2"/>
    </row>
    <row r="887" spans="1:10" x14ac:dyDescent="0.25">
      <c r="A887" s="8" t="s">
        <v>831</v>
      </c>
      <c r="B887" s="8" t="s">
        <v>813</v>
      </c>
      <c r="C887" s="8" t="s">
        <v>110</v>
      </c>
      <c r="D887" s="10">
        <v>45603</v>
      </c>
      <c r="E887" s="9">
        <v>54450</v>
      </c>
      <c r="F887" s="2" t="str">
        <f>INDEX(Vendors!E:E,MATCH(Vendor_Analysis!C887,Vendors!A:A,0))</f>
        <v xml:space="preserve">30 </v>
      </c>
      <c r="G887" s="2">
        <v>30</v>
      </c>
      <c r="H887" s="16">
        <f t="shared" si="13"/>
        <v>45633</v>
      </c>
      <c r="J887" s="2"/>
    </row>
    <row r="888" spans="1:10" x14ac:dyDescent="0.25">
      <c r="A888" s="8" t="s">
        <v>832</v>
      </c>
      <c r="B888" s="8" t="s">
        <v>813</v>
      </c>
      <c r="C888" s="8" t="s">
        <v>109</v>
      </c>
      <c r="D888" s="10">
        <v>45606</v>
      </c>
      <c r="E888" s="9">
        <v>54657</v>
      </c>
      <c r="F888" s="2" t="str">
        <f>INDEX(Vendors!E:E,MATCH(Vendor_Analysis!C888,Vendors!A:A,0))</f>
        <v xml:space="preserve">30 </v>
      </c>
      <c r="G888" s="2">
        <v>30</v>
      </c>
      <c r="H888" s="16">
        <f t="shared" si="13"/>
        <v>45636</v>
      </c>
      <c r="J888" s="2"/>
    </row>
    <row r="889" spans="1:10" x14ac:dyDescent="0.25">
      <c r="A889" s="8" t="s">
        <v>833</v>
      </c>
      <c r="B889" s="8" t="s">
        <v>813</v>
      </c>
      <c r="C889" s="8" t="s">
        <v>10</v>
      </c>
      <c r="D889" s="10">
        <v>45629</v>
      </c>
      <c r="E889" s="9">
        <v>105971</v>
      </c>
      <c r="F889" s="2" t="str">
        <f>INDEX(Vendors!E:E,MATCH(Vendor_Analysis!C889,Vendors!A:A,0))</f>
        <v xml:space="preserve">60 </v>
      </c>
      <c r="G889" s="2">
        <v>60</v>
      </c>
      <c r="H889" s="16">
        <f t="shared" si="13"/>
        <v>45689</v>
      </c>
      <c r="J889" s="2"/>
    </row>
    <row r="890" spans="1:10" x14ac:dyDescent="0.25">
      <c r="A890" s="8" t="s">
        <v>834</v>
      </c>
      <c r="B890" s="8" t="s">
        <v>813</v>
      </c>
      <c r="C890" s="8" t="s">
        <v>6</v>
      </c>
      <c r="D890" s="10">
        <v>45633</v>
      </c>
      <c r="E890" s="9">
        <v>70438</v>
      </c>
      <c r="F890" s="2" t="str">
        <f>INDEX(Vendors!E:E,MATCH(Vendor_Analysis!C890,Vendors!A:A,0))</f>
        <v xml:space="preserve">60 </v>
      </c>
      <c r="G890" s="2">
        <v>60</v>
      </c>
      <c r="H890" s="16">
        <f t="shared" si="13"/>
        <v>45693</v>
      </c>
      <c r="J890" s="2"/>
    </row>
    <row r="891" spans="1:10" x14ac:dyDescent="0.25">
      <c r="A891" s="8" t="s">
        <v>835</v>
      </c>
      <c r="B891" s="8" t="s">
        <v>813</v>
      </c>
      <c r="C891" s="8" t="s">
        <v>55</v>
      </c>
      <c r="D891" s="10">
        <v>45654</v>
      </c>
      <c r="E891" s="9">
        <v>96839</v>
      </c>
      <c r="F891" s="2" t="str">
        <f>INDEX(Vendors!E:E,MATCH(Vendor_Analysis!C891,Vendors!A:A,0))</f>
        <v xml:space="preserve">30 </v>
      </c>
      <c r="G891" s="2">
        <v>30</v>
      </c>
      <c r="H891" s="16">
        <f t="shared" si="13"/>
        <v>45684</v>
      </c>
      <c r="J891" s="2"/>
    </row>
    <row r="892" spans="1:10" x14ac:dyDescent="0.25">
      <c r="A892" s="8" t="s">
        <v>836</v>
      </c>
      <c r="B892" s="8" t="s">
        <v>813</v>
      </c>
      <c r="C892" s="8" t="s">
        <v>109</v>
      </c>
      <c r="D892" s="10">
        <v>45659</v>
      </c>
      <c r="E892" s="9">
        <v>61638</v>
      </c>
      <c r="F892" s="2" t="str">
        <f>INDEX(Vendors!E:E,MATCH(Vendor_Analysis!C892,Vendors!A:A,0))</f>
        <v xml:space="preserve">30 </v>
      </c>
      <c r="G892" s="2">
        <v>30</v>
      </c>
      <c r="H892" s="16">
        <f t="shared" si="13"/>
        <v>45689</v>
      </c>
      <c r="J892" s="2"/>
    </row>
    <row r="893" spans="1:10" x14ac:dyDescent="0.25">
      <c r="A893" s="8" t="s">
        <v>837</v>
      </c>
      <c r="B893" s="8" t="s">
        <v>813</v>
      </c>
      <c r="C893" s="8" t="s">
        <v>8</v>
      </c>
      <c r="D893" s="10">
        <v>45678</v>
      </c>
      <c r="E893" s="9">
        <v>85337</v>
      </c>
      <c r="F893" s="2" t="str">
        <f>INDEX(Vendors!E:E,MATCH(Vendor_Analysis!C893,Vendors!A:A,0))</f>
        <v xml:space="preserve">60 </v>
      </c>
      <c r="G893" s="2">
        <v>60</v>
      </c>
      <c r="H893" s="16">
        <f t="shared" si="13"/>
        <v>45738</v>
      </c>
      <c r="J893" s="2"/>
    </row>
    <row r="894" spans="1:10" x14ac:dyDescent="0.25">
      <c r="A894" s="8" t="s">
        <v>1926</v>
      </c>
      <c r="B894" s="8" t="s">
        <v>813</v>
      </c>
      <c r="C894" s="8" t="s">
        <v>19</v>
      </c>
      <c r="D894" s="10">
        <v>45683</v>
      </c>
      <c r="E894" s="9">
        <v>104627</v>
      </c>
      <c r="F894" s="2" t="str">
        <f>INDEX(Vendors!E:E,MATCH(Vendor_Analysis!C894,Vendors!A:A,0))</f>
        <v xml:space="preserve">45 </v>
      </c>
      <c r="G894" s="2">
        <v>45</v>
      </c>
      <c r="H894" s="16">
        <f t="shared" si="13"/>
        <v>45728</v>
      </c>
      <c r="J894" s="2"/>
    </row>
    <row r="895" spans="1:10" x14ac:dyDescent="0.25">
      <c r="A895" s="8" t="s">
        <v>1927</v>
      </c>
      <c r="B895" s="8" t="s">
        <v>813</v>
      </c>
      <c r="C895" s="8" t="s">
        <v>21</v>
      </c>
      <c r="D895" s="10">
        <v>45690</v>
      </c>
      <c r="E895" s="9">
        <v>91551</v>
      </c>
      <c r="F895" s="2" t="str">
        <f>INDEX(Vendors!E:E,MATCH(Vendor_Analysis!C895,Vendors!A:A,0))</f>
        <v xml:space="preserve"> 90</v>
      </c>
      <c r="G895" s="2">
        <v>90</v>
      </c>
      <c r="H895" s="16">
        <f t="shared" si="13"/>
        <v>45780</v>
      </c>
      <c r="J895" s="2"/>
    </row>
    <row r="896" spans="1:10" x14ac:dyDescent="0.25">
      <c r="A896" s="8" t="s">
        <v>1928</v>
      </c>
      <c r="B896" s="8" t="s">
        <v>813</v>
      </c>
      <c r="C896" s="8" t="s">
        <v>35</v>
      </c>
      <c r="D896" s="10">
        <v>45696</v>
      </c>
      <c r="E896" s="9">
        <v>91599</v>
      </c>
      <c r="F896" s="2" t="str">
        <f>INDEX(Vendors!E:E,MATCH(Vendor_Analysis!C896,Vendors!A:A,0))</f>
        <v xml:space="preserve">60 </v>
      </c>
      <c r="G896" s="2">
        <v>60</v>
      </c>
      <c r="H896" s="16">
        <f t="shared" si="13"/>
        <v>45756</v>
      </c>
      <c r="J896" s="2"/>
    </row>
    <row r="897" spans="1:10" x14ac:dyDescent="0.25">
      <c r="A897" s="8" t="s">
        <v>1929</v>
      </c>
      <c r="B897" s="8" t="s">
        <v>813</v>
      </c>
      <c r="C897" s="8" t="s">
        <v>33</v>
      </c>
      <c r="D897" s="10">
        <v>45700</v>
      </c>
      <c r="E897" s="9">
        <v>79433</v>
      </c>
      <c r="F897" s="2" t="str">
        <f>INDEX(Vendors!E:E,MATCH(Vendor_Analysis!C897,Vendors!A:A,0))</f>
        <v xml:space="preserve">30 </v>
      </c>
      <c r="G897" s="2">
        <v>30</v>
      </c>
      <c r="H897" s="16">
        <f t="shared" si="13"/>
        <v>45730</v>
      </c>
      <c r="J897" s="2"/>
    </row>
    <row r="898" spans="1:10" x14ac:dyDescent="0.25">
      <c r="A898" s="8" t="s">
        <v>1930</v>
      </c>
      <c r="B898" s="8" t="s">
        <v>813</v>
      </c>
      <c r="C898" s="8" t="s">
        <v>25</v>
      </c>
      <c r="D898" s="10">
        <v>45707</v>
      </c>
      <c r="E898" s="9">
        <v>100754</v>
      </c>
      <c r="F898" s="2" t="str">
        <f>INDEX(Vendors!E:E,MATCH(Vendor_Analysis!C898,Vendors!A:A,0))</f>
        <v xml:space="preserve">30 </v>
      </c>
      <c r="G898" s="2">
        <v>30</v>
      </c>
      <c r="H898" s="16">
        <f t="shared" si="13"/>
        <v>45737</v>
      </c>
      <c r="J898" s="2"/>
    </row>
    <row r="899" spans="1:10" x14ac:dyDescent="0.25">
      <c r="A899" s="8" t="s">
        <v>1931</v>
      </c>
      <c r="B899" s="8" t="s">
        <v>813</v>
      </c>
      <c r="C899" s="8" t="s">
        <v>48</v>
      </c>
      <c r="D899" s="10">
        <v>45709</v>
      </c>
      <c r="E899" s="9">
        <v>144862</v>
      </c>
      <c r="F899" s="2" t="str">
        <f>INDEX(Vendors!E:E,MATCH(Vendor_Analysis!C899,Vendors!A:A,0))</f>
        <v xml:space="preserve"> 90</v>
      </c>
      <c r="G899" s="2">
        <v>90</v>
      </c>
      <c r="H899" s="16">
        <f t="shared" ref="H899:H962" si="14">D899+F899</f>
        <v>45799</v>
      </c>
      <c r="J899" s="2"/>
    </row>
    <row r="900" spans="1:10" x14ac:dyDescent="0.25">
      <c r="A900" s="8" t="s">
        <v>1932</v>
      </c>
      <c r="B900" s="8" t="s">
        <v>813</v>
      </c>
      <c r="C900" s="8" t="s">
        <v>27</v>
      </c>
      <c r="D900" s="10">
        <v>45721</v>
      </c>
      <c r="E900" s="9">
        <v>79203</v>
      </c>
      <c r="F900" s="2" t="str">
        <f>INDEX(Vendors!E:E,MATCH(Vendor_Analysis!C900,Vendors!A:A,0))</f>
        <v xml:space="preserve">45 </v>
      </c>
      <c r="G900" s="2">
        <v>45</v>
      </c>
      <c r="H900" s="16">
        <f t="shared" si="14"/>
        <v>45766</v>
      </c>
      <c r="J900" s="2"/>
    </row>
    <row r="901" spans="1:10" x14ac:dyDescent="0.25">
      <c r="A901" s="8" t="s">
        <v>1933</v>
      </c>
      <c r="B901" s="8" t="s">
        <v>813</v>
      </c>
      <c r="C901" s="8" t="s">
        <v>37</v>
      </c>
      <c r="D901" s="10">
        <v>45721</v>
      </c>
      <c r="E901" s="9">
        <v>54602</v>
      </c>
      <c r="F901" s="2" t="str">
        <f>INDEX(Vendors!E:E,MATCH(Vendor_Analysis!C901,Vendors!A:A,0))</f>
        <v xml:space="preserve">30 </v>
      </c>
      <c r="G901" s="2">
        <v>30</v>
      </c>
      <c r="H901" s="16">
        <f t="shared" si="14"/>
        <v>45751</v>
      </c>
      <c r="J901" s="2"/>
    </row>
    <row r="902" spans="1:10" x14ac:dyDescent="0.25">
      <c r="A902" s="8" t="s">
        <v>1934</v>
      </c>
      <c r="B902" s="8" t="s">
        <v>813</v>
      </c>
      <c r="C902" s="8" t="s">
        <v>14</v>
      </c>
      <c r="D902" s="10">
        <v>45722</v>
      </c>
      <c r="E902" s="9">
        <v>43058</v>
      </c>
      <c r="F902" s="2" t="str">
        <f>INDEX(Vendors!E:E,MATCH(Vendor_Analysis!C902,Vendors!A:A,0))</f>
        <v xml:space="preserve"> 90</v>
      </c>
      <c r="G902" s="2">
        <v>90</v>
      </c>
      <c r="H902" s="16">
        <f t="shared" si="14"/>
        <v>45812</v>
      </c>
      <c r="J902" s="2"/>
    </row>
    <row r="903" spans="1:10" x14ac:dyDescent="0.25">
      <c r="A903" s="8" t="s">
        <v>1935</v>
      </c>
      <c r="B903" s="8" t="s">
        <v>813</v>
      </c>
      <c r="C903" s="8" t="s">
        <v>14</v>
      </c>
      <c r="D903" s="10">
        <v>45737</v>
      </c>
      <c r="E903" s="9">
        <v>40731</v>
      </c>
      <c r="F903" s="2" t="str">
        <f>INDEX(Vendors!E:E,MATCH(Vendor_Analysis!C903,Vendors!A:A,0))</f>
        <v xml:space="preserve"> 90</v>
      </c>
      <c r="G903" s="2">
        <v>90</v>
      </c>
      <c r="H903" s="16">
        <f t="shared" si="14"/>
        <v>45827</v>
      </c>
      <c r="J903" s="2"/>
    </row>
    <row r="904" spans="1:10" x14ac:dyDescent="0.25">
      <c r="A904" s="8" t="s">
        <v>1936</v>
      </c>
      <c r="B904" s="8" t="s">
        <v>813</v>
      </c>
      <c r="C904" s="8" t="s">
        <v>50</v>
      </c>
      <c r="D904" s="10">
        <v>45756</v>
      </c>
      <c r="E904" s="9">
        <v>63348</v>
      </c>
      <c r="F904" s="2" t="str">
        <f>INDEX(Vendors!E:E,MATCH(Vendor_Analysis!C904,Vendors!A:A,0))</f>
        <v xml:space="preserve"> 90</v>
      </c>
      <c r="G904" s="2">
        <v>90</v>
      </c>
      <c r="H904" s="16">
        <f t="shared" si="14"/>
        <v>45846</v>
      </c>
      <c r="J904" s="2"/>
    </row>
    <row r="905" spans="1:10" x14ac:dyDescent="0.25">
      <c r="A905" s="8" t="s">
        <v>1937</v>
      </c>
      <c r="B905" s="8" t="s">
        <v>813</v>
      </c>
      <c r="C905" s="8" t="s">
        <v>71</v>
      </c>
      <c r="D905" s="10">
        <v>45757</v>
      </c>
      <c r="E905" s="9">
        <v>62185</v>
      </c>
      <c r="F905" s="2" t="str">
        <f>INDEX(Vendors!E:E,MATCH(Vendor_Analysis!C905,Vendors!A:A,0))</f>
        <v xml:space="preserve">45 </v>
      </c>
      <c r="G905" s="2">
        <v>45</v>
      </c>
      <c r="H905" s="16">
        <f t="shared" si="14"/>
        <v>45802</v>
      </c>
      <c r="J905" s="2"/>
    </row>
    <row r="906" spans="1:10" x14ac:dyDescent="0.25">
      <c r="A906" s="8" t="s">
        <v>1938</v>
      </c>
      <c r="B906" s="8" t="s">
        <v>813</v>
      </c>
      <c r="C906" s="8" t="s">
        <v>91</v>
      </c>
      <c r="D906" s="10">
        <v>45758</v>
      </c>
      <c r="E906" s="9">
        <v>91323</v>
      </c>
      <c r="F906" s="2" t="str">
        <f>INDEX(Vendors!E:E,MATCH(Vendor_Analysis!C906,Vendors!A:A,0))</f>
        <v xml:space="preserve">60 </v>
      </c>
      <c r="G906" s="2">
        <v>60</v>
      </c>
      <c r="H906" s="16">
        <f t="shared" si="14"/>
        <v>45818</v>
      </c>
      <c r="J906" s="2"/>
    </row>
    <row r="907" spans="1:10" x14ac:dyDescent="0.25">
      <c r="A907" s="8" t="s">
        <v>1939</v>
      </c>
      <c r="B907" s="8" t="s">
        <v>813</v>
      </c>
      <c r="C907" s="8" t="s">
        <v>17</v>
      </c>
      <c r="D907" s="10">
        <v>45768</v>
      </c>
      <c r="E907" s="9">
        <v>79106</v>
      </c>
      <c r="F907" s="2" t="str">
        <f>INDEX(Vendors!E:E,MATCH(Vendor_Analysis!C907,Vendors!A:A,0))</f>
        <v xml:space="preserve">45 </v>
      </c>
      <c r="G907" s="2">
        <v>45</v>
      </c>
      <c r="H907" s="16">
        <f t="shared" si="14"/>
        <v>45813</v>
      </c>
      <c r="J907" s="2"/>
    </row>
    <row r="908" spans="1:10" x14ac:dyDescent="0.25">
      <c r="A908" s="8" t="s">
        <v>1940</v>
      </c>
      <c r="B908" s="8" t="s">
        <v>813</v>
      </c>
      <c r="C908" s="8" t="s">
        <v>37</v>
      </c>
      <c r="D908" s="10">
        <v>45805</v>
      </c>
      <c r="E908" s="9">
        <v>85395</v>
      </c>
      <c r="F908" s="2" t="str">
        <f>INDEX(Vendors!E:E,MATCH(Vendor_Analysis!C908,Vendors!A:A,0))</f>
        <v xml:space="preserve">30 </v>
      </c>
      <c r="G908" s="2">
        <v>30</v>
      </c>
      <c r="H908" s="16">
        <f t="shared" si="14"/>
        <v>45835</v>
      </c>
      <c r="J908" s="2"/>
    </row>
    <row r="909" spans="1:10" x14ac:dyDescent="0.25">
      <c r="A909" s="8" t="s">
        <v>838</v>
      </c>
      <c r="B909" s="8" t="s">
        <v>839</v>
      </c>
      <c r="C909" s="8" t="s">
        <v>27</v>
      </c>
      <c r="D909" s="10">
        <v>45420</v>
      </c>
      <c r="E909" s="9">
        <v>225960</v>
      </c>
      <c r="F909" s="2" t="str">
        <f>INDEX(Vendors!E:E,MATCH(Vendor_Analysis!C909,Vendors!A:A,0))</f>
        <v xml:space="preserve">45 </v>
      </c>
      <c r="G909" s="2">
        <v>45</v>
      </c>
      <c r="H909" s="16">
        <f t="shared" si="14"/>
        <v>45465</v>
      </c>
      <c r="J909" s="2"/>
    </row>
    <row r="910" spans="1:10" x14ac:dyDescent="0.25">
      <c r="A910" s="8" t="s">
        <v>840</v>
      </c>
      <c r="B910" s="8" t="s">
        <v>839</v>
      </c>
      <c r="C910" s="8" t="s">
        <v>55</v>
      </c>
      <c r="D910" s="10">
        <v>45443</v>
      </c>
      <c r="E910" s="9">
        <v>219405</v>
      </c>
      <c r="F910" s="2" t="str">
        <f>INDEX(Vendors!E:E,MATCH(Vendor_Analysis!C910,Vendors!A:A,0))</f>
        <v xml:space="preserve">30 </v>
      </c>
      <c r="G910" s="2">
        <v>30</v>
      </c>
      <c r="H910" s="16">
        <f t="shared" si="14"/>
        <v>45473</v>
      </c>
      <c r="J910" s="2"/>
    </row>
    <row r="911" spans="1:10" x14ac:dyDescent="0.25">
      <c r="A911" s="8" t="s">
        <v>841</v>
      </c>
      <c r="B911" s="8" t="s">
        <v>839</v>
      </c>
      <c r="C911" s="8" t="s">
        <v>25</v>
      </c>
      <c r="D911" s="10">
        <v>45443</v>
      </c>
      <c r="E911" s="9">
        <v>117182</v>
      </c>
      <c r="F911" s="2" t="str">
        <f>INDEX(Vendors!E:E,MATCH(Vendor_Analysis!C911,Vendors!A:A,0))</f>
        <v xml:space="preserve">30 </v>
      </c>
      <c r="G911" s="2">
        <v>30</v>
      </c>
      <c r="H911" s="16">
        <f t="shared" si="14"/>
        <v>45473</v>
      </c>
      <c r="J911" s="2"/>
    </row>
    <row r="912" spans="1:10" x14ac:dyDescent="0.25">
      <c r="A912" s="8" t="s">
        <v>842</v>
      </c>
      <c r="B912" s="8" t="s">
        <v>839</v>
      </c>
      <c r="C912" s="8" t="s">
        <v>27</v>
      </c>
      <c r="D912" s="10">
        <v>45448</v>
      </c>
      <c r="E912" s="9">
        <v>290576</v>
      </c>
      <c r="F912" s="2" t="str">
        <f>INDEX(Vendors!E:E,MATCH(Vendor_Analysis!C912,Vendors!A:A,0))</f>
        <v xml:space="preserve">45 </v>
      </c>
      <c r="G912" s="2">
        <v>45</v>
      </c>
      <c r="H912" s="16">
        <f t="shared" si="14"/>
        <v>45493</v>
      </c>
      <c r="J912" s="2"/>
    </row>
    <row r="913" spans="1:10" x14ac:dyDescent="0.25">
      <c r="A913" s="8" t="s">
        <v>843</v>
      </c>
      <c r="B913" s="8" t="s">
        <v>839</v>
      </c>
      <c r="C913" s="8" t="s">
        <v>25</v>
      </c>
      <c r="D913" s="10">
        <v>45467</v>
      </c>
      <c r="E913" s="9">
        <v>166386</v>
      </c>
      <c r="F913" s="2" t="str">
        <f>INDEX(Vendors!E:E,MATCH(Vendor_Analysis!C913,Vendors!A:A,0))</f>
        <v xml:space="preserve">30 </v>
      </c>
      <c r="G913" s="2">
        <v>30</v>
      </c>
      <c r="H913" s="16">
        <f t="shared" si="14"/>
        <v>45497</v>
      </c>
      <c r="J913" s="2"/>
    </row>
    <row r="914" spans="1:10" x14ac:dyDescent="0.25">
      <c r="A914" s="8" t="s">
        <v>844</v>
      </c>
      <c r="B914" s="8" t="s">
        <v>839</v>
      </c>
      <c r="C914" s="8" t="s">
        <v>35</v>
      </c>
      <c r="D914" s="10">
        <v>45482</v>
      </c>
      <c r="E914" s="9">
        <v>292268</v>
      </c>
      <c r="F914" s="2" t="str">
        <f>INDEX(Vendors!E:E,MATCH(Vendor_Analysis!C914,Vendors!A:A,0))</f>
        <v xml:space="preserve">60 </v>
      </c>
      <c r="G914" s="2">
        <v>60</v>
      </c>
      <c r="H914" s="16">
        <f t="shared" si="14"/>
        <v>45542</v>
      </c>
      <c r="J914" s="2"/>
    </row>
    <row r="915" spans="1:10" x14ac:dyDescent="0.25">
      <c r="A915" s="8" t="s">
        <v>845</v>
      </c>
      <c r="B915" s="8" t="s">
        <v>839</v>
      </c>
      <c r="C915" s="8" t="s">
        <v>50</v>
      </c>
      <c r="D915" s="10">
        <v>45513</v>
      </c>
      <c r="E915" s="9">
        <v>281062</v>
      </c>
      <c r="F915" s="2" t="str">
        <f>INDEX(Vendors!E:E,MATCH(Vendor_Analysis!C915,Vendors!A:A,0))</f>
        <v xml:space="preserve"> 90</v>
      </c>
      <c r="G915" s="2">
        <v>90</v>
      </c>
      <c r="H915" s="16">
        <f t="shared" si="14"/>
        <v>45603</v>
      </c>
      <c r="J915" s="2"/>
    </row>
    <row r="916" spans="1:10" x14ac:dyDescent="0.25">
      <c r="A916" s="8" t="s">
        <v>846</v>
      </c>
      <c r="B916" s="8" t="s">
        <v>839</v>
      </c>
      <c r="C916" s="8" t="s">
        <v>37</v>
      </c>
      <c r="D916" s="10">
        <v>45521</v>
      </c>
      <c r="E916" s="9">
        <v>318521</v>
      </c>
      <c r="F916" s="2" t="str">
        <f>INDEX(Vendors!E:E,MATCH(Vendor_Analysis!C916,Vendors!A:A,0))</f>
        <v xml:space="preserve">30 </v>
      </c>
      <c r="G916" s="2">
        <v>30</v>
      </c>
      <c r="H916" s="16">
        <f t="shared" si="14"/>
        <v>45551</v>
      </c>
      <c r="J916" s="2"/>
    </row>
    <row r="917" spans="1:10" x14ac:dyDescent="0.25">
      <c r="A917" s="8" t="s">
        <v>847</v>
      </c>
      <c r="B917" s="8" t="s">
        <v>839</v>
      </c>
      <c r="C917" s="8" t="s">
        <v>14</v>
      </c>
      <c r="D917" s="10">
        <v>45528</v>
      </c>
      <c r="E917" s="9">
        <v>308927</v>
      </c>
      <c r="F917" s="2" t="str">
        <f>INDEX(Vendors!E:E,MATCH(Vendor_Analysis!C917,Vendors!A:A,0))</f>
        <v xml:space="preserve"> 90</v>
      </c>
      <c r="G917" s="2">
        <v>90</v>
      </c>
      <c r="H917" s="16">
        <f t="shared" si="14"/>
        <v>45618</v>
      </c>
      <c r="J917" s="2"/>
    </row>
    <row r="918" spans="1:10" x14ac:dyDescent="0.25">
      <c r="A918" s="8" t="s">
        <v>848</v>
      </c>
      <c r="B918" s="8" t="s">
        <v>839</v>
      </c>
      <c r="C918" s="8" t="s">
        <v>73</v>
      </c>
      <c r="D918" s="10">
        <v>45529</v>
      </c>
      <c r="E918" s="9">
        <v>312010</v>
      </c>
      <c r="F918" s="2" t="str">
        <f>INDEX(Vendors!E:E,MATCH(Vendor_Analysis!C918,Vendors!A:A,0))</f>
        <v xml:space="preserve">60 </v>
      </c>
      <c r="G918" s="2">
        <v>60</v>
      </c>
      <c r="H918" s="16">
        <f t="shared" si="14"/>
        <v>45589</v>
      </c>
      <c r="J918" s="2"/>
    </row>
    <row r="919" spans="1:10" x14ac:dyDescent="0.25">
      <c r="A919" s="8" t="s">
        <v>849</v>
      </c>
      <c r="B919" s="8" t="s">
        <v>839</v>
      </c>
      <c r="C919" s="8" t="s">
        <v>73</v>
      </c>
      <c r="D919" s="10">
        <v>45530</v>
      </c>
      <c r="E919" s="9">
        <v>199389</v>
      </c>
      <c r="F919" s="2" t="str">
        <f>INDEX(Vendors!E:E,MATCH(Vendor_Analysis!C919,Vendors!A:A,0))</f>
        <v xml:space="preserve">60 </v>
      </c>
      <c r="G919" s="2">
        <v>60</v>
      </c>
      <c r="H919" s="16">
        <f t="shared" si="14"/>
        <v>45590</v>
      </c>
      <c r="J919" s="2"/>
    </row>
    <row r="920" spans="1:10" x14ac:dyDescent="0.25">
      <c r="A920" s="8" t="s">
        <v>850</v>
      </c>
      <c r="B920" s="8" t="s">
        <v>839</v>
      </c>
      <c r="C920" s="8" t="s">
        <v>19</v>
      </c>
      <c r="D920" s="10">
        <v>45543</v>
      </c>
      <c r="E920" s="9">
        <v>215126</v>
      </c>
      <c r="F920" s="2" t="str">
        <f>INDEX(Vendors!E:E,MATCH(Vendor_Analysis!C920,Vendors!A:A,0))</f>
        <v xml:space="preserve">45 </v>
      </c>
      <c r="G920" s="2">
        <v>45</v>
      </c>
      <c r="H920" s="16">
        <f t="shared" si="14"/>
        <v>45588</v>
      </c>
      <c r="J920" s="2"/>
    </row>
    <row r="921" spans="1:10" x14ac:dyDescent="0.25">
      <c r="A921" s="8" t="s">
        <v>851</v>
      </c>
      <c r="B921" s="8" t="s">
        <v>839</v>
      </c>
      <c r="C921" s="8" t="s">
        <v>25</v>
      </c>
      <c r="D921" s="10">
        <v>45545</v>
      </c>
      <c r="E921" s="9">
        <v>317730</v>
      </c>
      <c r="F921" s="2" t="str">
        <f>INDEX(Vendors!E:E,MATCH(Vendor_Analysis!C921,Vendors!A:A,0))</f>
        <v xml:space="preserve">30 </v>
      </c>
      <c r="G921" s="2">
        <v>30</v>
      </c>
      <c r="H921" s="16">
        <f t="shared" si="14"/>
        <v>45575</v>
      </c>
      <c r="J921" s="2"/>
    </row>
    <row r="922" spans="1:10" x14ac:dyDescent="0.25">
      <c r="A922" s="8" t="s">
        <v>852</v>
      </c>
      <c r="B922" s="8" t="s">
        <v>839</v>
      </c>
      <c r="C922" s="8" t="s">
        <v>110</v>
      </c>
      <c r="D922" s="10">
        <v>45548</v>
      </c>
      <c r="E922" s="9">
        <v>135879</v>
      </c>
      <c r="F922" s="2" t="str">
        <f>INDEX(Vendors!E:E,MATCH(Vendor_Analysis!C922,Vendors!A:A,0))</f>
        <v xml:space="preserve">30 </v>
      </c>
      <c r="G922" s="2">
        <v>30</v>
      </c>
      <c r="H922" s="16">
        <f t="shared" si="14"/>
        <v>45578</v>
      </c>
      <c r="J922" s="2"/>
    </row>
    <row r="923" spans="1:10" x14ac:dyDescent="0.25">
      <c r="A923" s="8" t="s">
        <v>853</v>
      </c>
      <c r="B923" s="8" t="s">
        <v>839</v>
      </c>
      <c r="C923" s="8" t="s">
        <v>110</v>
      </c>
      <c r="D923" s="10">
        <v>45551</v>
      </c>
      <c r="E923" s="9">
        <v>150242</v>
      </c>
      <c r="F923" s="2" t="str">
        <f>INDEX(Vendors!E:E,MATCH(Vendor_Analysis!C923,Vendors!A:A,0))</f>
        <v xml:space="preserve">30 </v>
      </c>
      <c r="G923" s="2">
        <v>30</v>
      </c>
      <c r="H923" s="16">
        <f t="shared" si="14"/>
        <v>45581</v>
      </c>
      <c r="J923" s="2"/>
    </row>
    <row r="924" spans="1:10" x14ac:dyDescent="0.25">
      <c r="A924" s="8" t="s">
        <v>854</v>
      </c>
      <c r="B924" s="8" t="s">
        <v>839</v>
      </c>
      <c r="C924" s="8" t="s">
        <v>21</v>
      </c>
      <c r="D924" s="10">
        <v>45558</v>
      </c>
      <c r="E924" s="9">
        <v>169801</v>
      </c>
      <c r="F924" s="2" t="str">
        <f>INDEX(Vendors!E:E,MATCH(Vendor_Analysis!C924,Vendors!A:A,0))</f>
        <v xml:space="preserve"> 90</v>
      </c>
      <c r="G924" s="2">
        <v>90</v>
      </c>
      <c r="H924" s="16">
        <f t="shared" si="14"/>
        <v>45648</v>
      </c>
      <c r="J924" s="2"/>
    </row>
    <row r="925" spans="1:10" x14ac:dyDescent="0.25">
      <c r="A925" s="8" t="s">
        <v>855</v>
      </c>
      <c r="B925" s="8" t="s">
        <v>839</v>
      </c>
      <c r="C925" s="8" t="s">
        <v>10</v>
      </c>
      <c r="D925" s="10">
        <v>45590</v>
      </c>
      <c r="E925" s="9">
        <v>178190</v>
      </c>
      <c r="F925" s="2" t="str">
        <f>INDEX(Vendors!E:E,MATCH(Vendor_Analysis!C925,Vendors!A:A,0))</f>
        <v xml:space="preserve">60 </v>
      </c>
      <c r="G925" s="2">
        <v>60</v>
      </c>
      <c r="H925" s="16">
        <f t="shared" si="14"/>
        <v>45650</v>
      </c>
      <c r="J925" s="2"/>
    </row>
    <row r="926" spans="1:10" x14ac:dyDescent="0.25">
      <c r="A926" s="8" t="s">
        <v>856</v>
      </c>
      <c r="B926" s="8" t="s">
        <v>857</v>
      </c>
      <c r="C926" s="8" t="s">
        <v>50</v>
      </c>
      <c r="D926" s="10">
        <v>45148</v>
      </c>
      <c r="E926" s="9">
        <v>81231</v>
      </c>
      <c r="F926" s="2" t="str">
        <f>INDEX(Vendors!E:E,MATCH(Vendor_Analysis!C926,Vendors!A:A,0))</f>
        <v xml:space="preserve"> 90</v>
      </c>
      <c r="G926" s="2">
        <v>90</v>
      </c>
      <c r="H926" s="16">
        <f t="shared" si="14"/>
        <v>45238</v>
      </c>
      <c r="J926" s="2"/>
    </row>
    <row r="927" spans="1:10" x14ac:dyDescent="0.25">
      <c r="A927" s="8" t="s">
        <v>858</v>
      </c>
      <c r="B927" s="8" t="s">
        <v>857</v>
      </c>
      <c r="C927" s="8" t="s">
        <v>17</v>
      </c>
      <c r="D927" s="10">
        <v>45153</v>
      </c>
      <c r="E927" s="9">
        <v>133560</v>
      </c>
      <c r="F927" s="2" t="str">
        <f>INDEX(Vendors!E:E,MATCH(Vendor_Analysis!C927,Vendors!A:A,0))</f>
        <v xml:space="preserve">45 </v>
      </c>
      <c r="G927" s="2">
        <v>45</v>
      </c>
      <c r="H927" s="16">
        <f t="shared" si="14"/>
        <v>45198</v>
      </c>
      <c r="J927" s="2"/>
    </row>
    <row r="928" spans="1:10" x14ac:dyDescent="0.25">
      <c r="A928" s="8" t="s">
        <v>859</v>
      </c>
      <c r="B928" s="8" t="s">
        <v>857</v>
      </c>
      <c r="C928" s="8" t="s">
        <v>44</v>
      </c>
      <c r="D928" s="10">
        <v>45176</v>
      </c>
      <c r="E928" s="9">
        <v>110491</v>
      </c>
      <c r="F928" s="2" t="str">
        <f>INDEX(Vendors!E:E,MATCH(Vendor_Analysis!C928,Vendors!A:A,0))</f>
        <v xml:space="preserve">45 </v>
      </c>
      <c r="G928" s="2">
        <v>45</v>
      </c>
      <c r="H928" s="16">
        <f t="shared" si="14"/>
        <v>45221</v>
      </c>
      <c r="J928" s="2"/>
    </row>
    <row r="929" spans="1:10" x14ac:dyDescent="0.25">
      <c r="A929" s="8" t="s">
        <v>860</v>
      </c>
      <c r="B929" s="8" t="s">
        <v>857</v>
      </c>
      <c r="C929" s="8" t="s">
        <v>110</v>
      </c>
      <c r="D929" s="10">
        <v>45177</v>
      </c>
      <c r="E929" s="9">
        <v>148894</v>
      </c>
      <c r="F929" s="2" t="str">
        <f>INDEX(Vendors!E:E,MATCH(Vendor_Analysis!C929,Vendors!A:A,0))</f>
        <v xml:space="preserve">30 </v>
      </c>
      <c r="G929" s="2">
        <v>30</v>
      </c>
      <c r="H929" s="16">
        <f t="shared" si="14"/>
        <v>45207</v>
      </c>
      <c r="J929" s="2"/>
    </row>
    <row r="930" spans="1:10" x14ac:dyDescent="0.25">
      <c r="A930" s="8" t="s">
        <v>861</v>
      </c>
      <c r="B930" s="8" t="s">
        <v>857</v>
      </c>
      <c r="C930" s="8" t="s">
        <v>21</v>
      </c>
      <c r="D930" s="10">
        <v>45218</v>
      </c>
      <c r="E930" s="9">
        <v>59911</v>
      </c>
      <c r="F930" s="2" t="str">
        <f>INDEX(Vendors!E:E,MATCH(Vendor_Analysis!C930,Vendors!A:A,0))</f>
        <v xml:space="preserve"> 90</v>
      </c>
      <c r="G930" s="2">
        <v>90</v>
      </c>
      <c r="H930" s="16">
        <f t="shared" si="14"/>
        <v>45308</v>
      </c>
      <c r="J930" s="2"/>
    </row>
    <row r="931" spans="1:10" x14ac:dyDescent="0.25">
      <c r="A931" s="8" t="s">
        <v>862</v>
      </c>
      <c r="B931" s="8" t="s">
        <v>857</v>
      </c>
      <c r="C931" s="8" t="s">
        <v>6</v>
      </c>
      <c r="D931" s="10">
        <v>45222</v>
      </c>
      <c r="E931" s="9">
        <v>85946</v>
      </c>
      <c r="F931" s="2" t="str">
        <f>INDEX(Vendors!E:E,MATCH(Vendor_Analysis!C931,Vendors!A:A,0))</f>
        <v xml:space="preserve">60 </v>
      </c>
      <c r="G931" s="2">
        <v>60</v>
      </c>
      <c r="H931" s="16">
        <f t="shared" si="14"/>
        <v>45282</v>
      </c>
      <c r="J931" s="2"/>
    </row>
    <row r="932" spans="1:10" x14ac:dyDescent="0.25">
      <c r="A932" s="8" t="s">
        <v>863</v>
      </c>
      <c r="B932" s="8" t="s">
        <v>857</v>
      </c>
      <c r="C932" s="8" t="s">
        <v>21</v>
      </c>
      <c r="D932" s="10">
        <v>45227</v>
      </c>
      <c r="E932" s="9">
        <v>156703</v>
      </c>
      <c r="F932" s="2" t="str">
        <f>INDEX(Vendors!E:E,MATCH(Vendor_Analysis!C932,Vendors!A:A,0))</f>
        <v xml:space="preserve"> 90</v>
      </c>
      <c r="G932" s="2">
        <v>90</v>
      </c>
      <c r="H932" s="16">
        <f t="shared" si="14"/>
        <v>45317</v>
      </c>
      <c r="J932" s="2"/>
    </row>
    <row r="933" spans="1:10" x14ac:dyDescent="0.25">
      <c r="A933" s="8" t="s">
        <v>864</v>
      </c>
      <c r="B933" s="8" t="s">
        <v>857</v>
      </c>
      <c r="C933" s="8" t="s">
        <v>19</v>
      </c>
      <c r="D933" s="10">
        <v>45230</v>
      </c>
      <c r="E933" s="9">
        <v>57291</v>
      </c>
      <c r="F933" s="2" t="str">
        <f>INDEX(Vendors!E:E,MATCH(Vendor_Analysis!C933,Vendors!A:A,0))</f>
        <v xml:space="preserve">45 </v>
      </c>
      <c r="G933" s="2">
        <v>45</v>
      </c>
      <c r="H933" s="16">
        <f t="shared" si="14"/>
        <v>45275</v>
      </c>
      <c r="J933" s="2"/>
    </row>
    <row r="934" spans="1:10" x14ac:dyDescent="0.25">
      <c r="A934" s="8" t="s">
        <v>865</v>
      </c>
      <c r="B934" s="8" t="s">
        <v>857</v>
      </c>
      <c r="C934" s="8" t="s">
        <v>6</v>
      </c>
      <c r="D934" s="10">
        <v>45236</v>
      </c>
      <c r="E934" s="9">
        <v>129491</v>
      </c>
      <c r="F934" s="2" t="str">
        <f>INDEX(Vendors!E:E,MATCH(Vendor_Analysis!C934,Vendors!A:A,0))</f>
        <v xml:space="preserve">60 </v>
      </c>
      <c r="G934" s="2">
        <v>60</v>
      </c>
      <c r="H934" s="16">
        <f t="shared" si="14"/>
        <v>45296</v>
      </c>
      <c r="J934" s="2"/>
    </row>
    <row r="935" spans="1:10" x14ac:dyDescent="0.25">
      <c r="A935" s="8" t="s">
        <v>866</v>
      </c>
      <c r="B935" s="8" t="s">
        <v>857</v>
      </c>
      <c r="C935" s="8" t="s">
        <v>35</v>
      </c>
      <c r="D935" s="10">
        <v>45253</v>
      </c>
      <c r="E935" s="9">
        <v>90311</v>
      </c>
      <c r="F935" s="2" t="str">
        <f>INDEX(Vendors!E:E,MATCH(Vendor_Analysis!C935,Vendors!A:A,0))</f>
        <v xml:space="preserve">60 </v>
      </c>
      <c r="G935" s="2">
        <v>60</v>
      </c>
      <c r="H935" s="16">
        <f t="shared" si="14"/>
        <v>45313</v>
      </c>
      <c r="J935" s="2"/>
    </row>
    <row r="936" spans="1:10" x14ac:dyDescent="0.25">
      <c r="A936" s="8" t="s">
        <v>867</v>
      </c>
      <c r="B936" s="8" t="s">
        <v>857</v>
      </c>
      <c r="C936" s="8" t="s">
        <v>19</v>
      </c>
      <c r="D936" s="10">
        <v>45254</v>
      </c>
      <c r="E936" s="9">
        <v>109389</v>
      </c>
      <c r="F936" s="2" t="str">
        <f>INDEX(Vendors!E:E,MATCH(Vendor_Analysis!C936,Vendors!A:A,0))</f>
        <v xml:space="preserve">45 </v>
      </c>
      <c r="G936" s="2">
        <v>45</v>
      </c>
      <c r="H936" s="16">
        <f t="shared" si="14"/>
        <v>45299</v>
      </c>
      <c r="J936" s="2"/>
    </row>
    <row r="937" spans="1:10" x14ac:dyDescent="0.25">
      <c r="A937" s="8" t="s">
        <v>868</v>
      </c>
      <c r="B937" s="8" t="s">
        <v>857</v>
      </c>
      <c r="C937" s="8" t="s">
        <v>21</v>
      </c>
      <c r="D937" s="10">
        <v>45260</v>
      </c>
      <c r="E937" s="9">
        <v>88190</v>
      </c>
      <c r="F937" s="2" t="str">
        <f>INDEX(Vendors!E:E,MATCH(Vendor_Analysis!C937,Vendors!A:A,0))</f>
        <v xml:space="preserve"> 90</v>
      </c>
      <c r="G937" s="2">
        <v>90</v>
      </c>
      <c r="H937" s="16">
        <f t="shared" si="14"/>
        <v>45350</v>
      </c>
      <c r="J937" s="2"/>
    </row>
    <row r="938" spans="1:10" x14ac:dyDescent="0.25">
      <c r="A938" s="8" t="s">
        <v>869</v>
      </c>
      <c r="B938" s="8" t="s">
        <v>857</v>
      </c>
      <c r="C938" s="8" t="s">
        <v>44</v>
      </c>
      <c r="D938" s="10">
        <v>45275</v>
      </c>
      <c r="E938" s="9">
        <v>74872</v>
      </c>
      <c r="F938" s="2" t="str">
        <f>INDEX(Vendors!E:E,MATCH(Vendor_Analysis!C938,Vendors!A:A,0))</f>
        <v xml:space="preserve">45 </v>
      </c>
      <c r="G938" s="2">
        <v>45</v>
      </c>
      <c r="H938" s="16">
        <f t="shared" si="14"/>
        <v>45320</v>
      </c>
      <c r="J938" s="2"/>
    </row>
    <row r="939" spans="1:10" x14ac:dyDescent="0.25">
      <c r="A939" s="8" t="s">
        <v>870</v>
      </c>
      <c r="B939" s="8" t="s">
        <v>857</v>
      </c>
      <c r="C939" s="8" t="s">
        <v>23</v>
      </c>
      <c r="D939" s="10">
        <v>45276</v>
      </c>
      <c r="E939" s="9">
        <v>104029</v>
      </c>
      <c r="F939" s="2" t="str">
        <f>INDEX(Vendors!E:E,MATCH(Vendor_Analysis!C939,Vendors!A:A,0))</f>
        <v xml:space="preserve"> 90</v>
      </c>
      <c r="G939" s="2">
        <v>90</v>
      </c>
      <c r="H939" s="16">
        <f t="shared" si="14"/>
        <v>45366</v>
      </c>
      <c r="J939" s="2"/>
    </row>
    <row r="940" spans="1:10" x14ac:dyDescent="0.25">
      <c r="A940" s="8" t="s">
        <v>871</v>
      </c>
      <c r="B940" s="8" t="s">
        <v>857</v>
      </c>
      <c r="C940" s="8" t="s">
        <v>44</v>
      </c>
      <c r="D940" s="10">
        <v>45282</v>
      </c>
      <c r="E940" s="9">
        <v>79504</v>
      </c>
      <c r="F940" s="2" t="str">
        <f>INDEX(Vendors!E:E,MATCH(Vendor_Analysis!C940,Vendors!A:A,0))</f>
        <v xml:space="preserve">45 </v>
      </c>
      <c r="G940" s="2">
        <v>45</v>
      </c>
      <c r="H940" s="16">
        <f t="shared" si="14"/>
        <v>45327</v>
      </c>
      <c r="J940" s="2"/>
    </row>
    <row r="941" spans="1:10" x14ac:dyDescent="0.25">
      <c r="A941" s="8" t="s">
        <v>872</v>
      </c>
      <c r="B941" s="8" t="s">
        <v>857</v>
      </c>
      <c r="C941" s="8" t="s">
        <v>25</v>
      </c>
      <c r="D941" s="10">
        <v>45292</v>
      </c>
      <c r="E941" s="9">
        <v>143916</v>
      </c>
      <c r="F941" s="2" t="str">
        <f>INDEX(Vendors!E:E,MATCH(Vendor_Analysis!C941,Vendors!A:A,0))</f>
        <v xml:space="preserve">30 </v>
      </c>
      <c r="G941" s="2">
        <v>30</v>
      </c>
      <c r="H941" s="16">
        <f t="shared" si="14"/>
        <v>45322</v>
      </c>
      <c r="J941" s="2"/>
    </row>
    <row r="942" spans="1:10" x14ac:dyDescent="0.25">
      <c r="A942" s="8" t="s">
        <v>873</v>
      </c>
      <c r="B942" s="8" t="s">
        <v>857</v>
      </c>
      <c r="C942" s="8" t="s">
        <v>44</v>
      </c>
      <c r="D942" s="10">
        <v>45302</v>
      </c>
      <c r="E942" s="9">
        <v>81330</v>
      </c>
      <c r="F942" s="2" t="str">
        <f>INDEX(Vendors!E:E,MATCH(Vendor_Analysis!C942,Vendors!A:A,0))</f>
        <v xml:space="preserve">45 </v>
      </c>
      <c r="G942" s="2">
        <v>45</v>
      </c>
      <c r="H942" s="16">
        <f t="shared" si="14"/>
        <v>45347</v>
      </c>
      <c r="J942" s="2"/>
    </row>
    <row r="943" spans="1:10" x14ac:dyDescent="0.25">
      <c r="A943" s="8" t="s">
        <v>874</v>
      </c>
      <c r="B943" s="8" t="s">
        <v>857</v>
      </c>
      <c r="C943" s="8" t="s">
        <v>10</v>
      </c>
      <c r="D943" s="10">
        <v>45318</v>
      </c>
      <c r="E943" s="9">
        <v>121800</v>
      </c>
      <c r="F943" s="2" t="str">
        <f>INDEX(Vendors!E:E,MATCH(Vendor_Analysis!C943,Vendors!A:A,0))</f>
        <v xml:space="preserve">60 </v>
      </c>
      <c r="G943" s="2">
        <v>60</v>
      </c>
      <c r="H943" s="16">
        <f t="shared" si="14"/>
        <v>45378</v>
      </c>
      <c r="J943" s="2"/>
    </row>
    <row r="944" spans="1:10" x14ac:dyDescent="0.25">
      <c r="A944" s="8" t="s">
        <v>875</v>
      </c>
      <c r="B944" s="8" t="s">
        <v>857</v>
      </c>
      <c r="C944" s="8" t="s">
        <v>14</v>
      </c>
      <c r="D944" s="10">
        <v>45319</v>
      </c>
      <c r="E944" s="9">
        <v>376769</v>
      </c>
      <c r="F944" s="2" t="str">
        <f>INDEX(Vendors!E:E,MATCH(Vendor_Analysis!C944,Vendors!A:A,0))</f>
        <v xml:space="preserve"> 90</v>
      </c>
      <c r="G944" s="2">
        <v>90</v>
      </c>
      <c r="H944" s="16">
        <f t="shared" si="14"/>
        <v>45409</v>
      </c>
      <c r="J944" s="2"/>
    </row>
    <row r="945" spans="1:10" x14ac:dyDescent="0.25">
      <c r="A945" s="8" t="s">
        <v>876</v>
      </c>
      <c r="B945" s="8" t="s">
        <v>857</v>
      </c>
      <c r="C945" s="8" t="s">
        <v>73</v>
      </c>
      <c r="D945" s="10">
        <v>45329</v>
      </c>
      <c r="E945" s="9">
        <v>78174</v>
      </c>
      <c r="F945" s="2" t="str">
        <f>INDEX(Vendors!E:E,MATCH(Vendor_Analysis!C945,Vendors!A:A,0))</f>
        <v xml:space="preserve">60 </v>
      </c>
      <c r="G945" s="2">
        <v>60</v>
      </c>
      <c r="H945" s="16">
        <f t="shared" si="14"/>
        <v>45389</v>
      </c>
      <c r="J945" s="2"/>
    </row>
    <row r="946" spans="1:10" x14ac:dyDescent="0.25">
      <c r="A946" s="8" t="s">
        <v>877</v>
      </c>
      <c r="B946" s="8" t="s">
        <v>857</v>
      </c>
      <c r="C946" s="8" t="s">
        <v>48</v>
      </c>
      <c r="D946" s="10">
        <v>45336</v>
      </c>
      <c r="E946" s="9">
        <v>137461</v>
      </c>
      <c r="F946" s="2" t="str">
        <f>INDEX(Vendors!E:E,MATCH(Vendor_Analysis!C946,Vendors!A:A,0))</f>
        <v xml:space="preserve"> 90</v>
      </c>
      <c r="G946" s="2">
        <v>90</v>
      </c>
      <c r="H946" s="16">
        <f t="shared" si="14"/>
        <v>45426</v>
      </c>
      <c r="J946" s="2"/>
    </row>
    <row r="947" spans="1:10" x14ac:dyDescent="0.25">
      <c r="A947" s="8" t="s">
        <v>878</v>
      </c>
      <c r="B947" s="8" t="s">
        <v>857</v>
      </c>
      <c r="C947" s="8" t="s">
        <v>8</v>
      </c>
      <c r="D947" s="10">
        <v>45343</v>
      </c>
      <c r="E947" s="9">
        <v>126734</v>
      </c>
      <c r="F947" s="2" t="str">
        <f>INDEX(Vendors!E:E,MATCH(Vendor_Analysis!C947,Vendors!A:A,0))</f>
        <v xml:space="preserve">60 </v>
      </c>
      <c r="G947" s="2">
        <v>60</v>
      </c>
      <c r="H947" s="16">
        <f t="shared" si="14"/>
        <v>45403</v>
      </c>
      <c r="J947" s="2"/>
    </row>
    <row r="948" spans="1:10" x14ac:dyDescent="0.25">
      <c r="A948" s="8" t="s">
        <v>879</v>
      </c>
      <c r="B948" s="8" t="s">
        <v>857</v>
      </c>
      <c r="C948" s="8" t="s">
        <v>91</v>
      </c>
      <c r="D948" s="10">
        <v>45346</v>
      </c>
      <c r="E948" s="9">
        <v>489120</v>
      </c>
      <c r="F948" s="2" t="str">
        <f>INDEX(Vendors!E:E,MATCH(Vendor_Analysis!C948,Vendors!A:A,0))</f>
        <v xml:space="preserve">60 </v>
      </c>
      <c r="G948" s="2">
        <v>60</v>
      </c>
      <c r="H948" s="16">
        <f t="shared" si="14"/>
        <v>45406</v>
      </c>
      <c r="J948" s="2"/>
    </row>
    <row r="949" spans="1:10" x14ac:dyDescent="0.25">
      <c r="A949" s="8" t="s">
        <v>880</v>
      </c>
      <c r="B949" s="8" t="s">
        <v>857</v>
      </c>
      <c r="C949" s="8" t="s">
        <v>10</v>
      </c>
      <c r="D949" s="10">
        <v>45365</v>
      </c>
      <c r="E949" s="9">
        <v>85780</v>
      </c>
      <c r="F949" s="2" t="str">
        <f>INDEX(Vendors!E:E,MATCH(Vendor_Analysis!C949,Vendors!A:A,0))</f>
        <v xml:space="preserve">60 </v>
      </c>
      <c r="G949" s="2">
        <v>60</v>
      </c>
      <c r="H949" s="16">
        <f t="shared" si="14"/>
        <v>45425</v>
      </c>
      <c r="J949" s="2"/>
    </row>
    <row r="950" spans="1:10" x14ac:dyDescent="0.25">
      <c r="A950" s="8" t="s">
        <v>881</v>
      </c>
      <c r="B950" s="8" t="s">
        <v>857</v>
      </c>
      <c r="C950" s="8" t="s">
        <v>73</v>
      </c>
      <c r="D950" s="10">
        <v>45376</v>
      </c>
      <c r="E950" s="9">
        <v>191723</v>
      </c>
      <c r="F950" s="2" t="str">
        <f>INDEX(Vendors!E:E,MATCH(Vendor_Analysis!C950,Vendors!A:A,0))</f>
        <v xml:space="preserve">60 </v>
      </c>
      <c r="G950" s="2">
        <v>60</v>
      </c>
      <c r="H950" s="16">
        <f t="shared" si="14"/>
        <v>45436</v>
      </c>
      <c r="J950" s="2"/>
    </row>
    <row r="951" spans="1:10" x14ac:dyDescent="0.25">
      <c r="A951" s="8" t="s">
        <v>882</v>
      </c>
      <c r="B951" s="8" t="s">
        <v>857</v>
      </c>
      <c r="C951" s="8" t="s">
        <v>55</v>
      </c>
      <c r="D951" s="10">
        <v>45380</v>
      </c>
      <c r="E951" s="9">
        <v>167163</v>
      </c>
      <c r="F951" s="2" t="str">
        <f>INDEX(Vendors!E:E,MATCH(Vendor_Analysis!C951,Vendors!A:A,0))</f>
        <v xml:space="preserve">30 </v>
      </c>
      <c r="G951" s="2">
        <v>30</v>
      </c>
      <c r="H951" s="16">
        <f t="shared" si="14"/>
        <v>45410</v>
      </c>
      <c r="J951" s="2"/>
    </row>
    <row r="952" spans="1:10" x14ac:dyDescent="0.25">
      <c r="A952" s="8" t="s">
        <v>883</v>
      </c>
      <c r="B952" s="8" t="s">
        <v>857</v>
      </c>
      <c r="C952" s="8" t="s">
        <v>37</v>
      </c>
      <c r="D952" s="10">
        <v>45392</v>
      </c>
      <c r="E952" s="9">
        <v>108322</v>
      </c>
      <c r="F952" s="2" t="str">
        <f>INDEX(Vendors!E:E,MATCH(Vendor_Analysis!C952,Vendors!A:A,0))</f>
        <v xml:space="preserve">30 </v>
      </c>
      <c r="G952" s="2">
        <v>30</v>
      </c>
      <c r="H952" s="16">
        <f t="shared" si="14"/>
        <v>45422</v>
      </c>
      <c r="J952" s="2"/>
    </row>
    <row r="953" spans="1:10" x14ac:dyDescent="0.25">
      <c r="A953" s="8" t="s">
        <v>884</v>
      </c>
      <c r="B953" s="8" t="s">
        <v>857</v>
      </c>
      <c r="C953" s="8" t="s">
        <v>29</v>
      </c>
      <c r="D953" s="10">
        <v>45393</v>
      </c>
      <c r="E953" s="9">
        <v>180048</v>
      </c>
      <c r="F953" s="2" t="str">
        <f>INDEX(Vendors!E:E,MATCH(Vendor_Analysis!C953,Vendors!A:A,0))</f>
        <v xml:space="preserve">30 </v>
      </c>
      <c r="G953" s="2">
        <v>30</v>
      </c>
      <c r="H953" s="16">
        <f t="shared" si="14"/>
        <v>45423</v>
      </c>
      <c r="J953" s="2"/>
    </row>
    <row r="954" spans="1:10" x14ac:dyDescent="0.25">
      <c r="A954" s="8" t="s">
        <v>885</v>
      </c>
      <c r="B954" s="8" t="s">
        <v>857</v>
      </c>
      <c r="C954" s="8" t="s">
        <v>33</v>
      </c>
      <c r="D954" s="10">
        <v>45402</v>
      </c>
      <c r="E954" s="9">
        <v>163258</v>
      </c>
      <c r="F954" s="2" t="str">
        <f>INDEX(Vendors!E:E,MATCH(Vendor_Analysis!C954,Vendors!A:A,0))</f>
        <v xml:space="preserve">30 </v>
      </c>
      <c r="G954" s="2">
        <v>30</v>
      </c>
      <c r="H954" s="16">
        <f t="shared" si="14"/>
        <v>45432</v>
      </c>
      <c r="J954" s="2"/>
    </row>
    <row r="955" spans="1:10" x14ac:dyDescent="0.25">
      <c r="A955" s="8" t="s">
        <v>886</v>
      </c>
      <c r="B955" s="8" t="s">
        <v>857</v>
      </c>
      <c r="C955" s="8" t="s">
        <v>71</v>
      </c>
      <c r="D955" s="10">
        <v>45412</v>
      </c>
      <c r="E955" s="9">
        <v>84639</v>
      </c>
      <c r="F955" s="2" t="str">
        <f>INDEX(Vendors!E:E,MATCH(Vendor_Analysis!C955,Vendors!A:A,0))</f>
        <v xml:space="preserve">45 </v>
      </c>
      <c r="G955" s="2">
        <v>45</v>
      </c>
      <c r="H955" s="16">
        <f t="shared" si="14"/>
        <v>45457</v>
      </c>
      <c r="J955" s="2"/>
    </row>
    <row r="956" spans="1:10" x14ac:dyDescent="0.25">
      <c r="A956" s="8" t="s">
        <v>887</v>
      </c>
      <c r="B956" s="8" t="s">
        <v>857</v>
      </c>
      <c r="C956" s="8" t="s">
        <v>21</v>
      </c>
      <c r="D956" s="10">
        <v>45433</v>
      </c>
      <c r="E956" s="9">
        <v>187671</v>
      </c>
      <c r="F956" s="2" t="str">
        <f>INDEX(Vendors!E:E,MATCH(Vendor_Analysis!C956,Vendors!A:A,0))</f>
        <v xml:space="preserve"> 90</v>
      </c>
      <c r="G956" s="2">
        <v>90</v>
      </c>
      <c r="H956" s="16">
        <f t="shared" si="14"/>
        <v>45523</v>
      </c>
      <c r="J956" s="2"/>
    </row>
    <row r="957" spans="1:10" x14ac:dyDescent="0.25">
      <c r="A957" s="8" t="s">
        <v>888</v>
      </c>
      <c r="B957" s="8" t="s">
        <v>857</v>
      </c>
      <c r="C957" s="8" t="s">
        <v>33</v>
      </c>
      <c r="D957" s="10">
        <v>45435</v>
      </c>
      <c r="E957" s="9">
        <v>141065</v>
      </c>
      <c r="F957" s="2" t="str">
        <f>INDEX(Vendors!E:E,MATCH(Vendor_Analysis!C957,Vendors!A:A,0))</f>
        <v xml:space="preserve">30 </v>
      </c>
      <c r="G957" s="2">
        <v>30</v>
      </c>
      <c r="H957" s="16">
        <f t="shared" si="14"/>
        <v>45465</v>
      </c>
      <c r="J957" s="2"/>
    </row>
    <row r="958" spans="1:10" x14ac:dyDescent="0.25">
      <c r="A958" s="8" t="s">
        <v>889</v>
      </c>
      <c r="B958" s="8" t="s">
        <v>857</v>
      </c>
      <c r="C958" s="8" t="s">
        <v>71</v>
      </c>
      <c r="D958" s="10">
        <v>45441</v>
      </c>
      <c r="E958" s="9">
        <v>158242</v>
      </c>
      <c r="F958" s="2" t="str">
        <f>INDEX(Vendors!E:E,MATCH(Vendor_Analysis!C958,Vendors!A:A,0))</f>
        <v xml:space="preserve">45 </v>
      </c>
      <c r="G958" s="2">
        <v>45</v>
      </c>
      <c r="H958" s="16">
        <f t="shared" si="14"/>
        <v>45486</v>
      </c>
      <c r="J958" s="2"/>
    </row>
    <row r="959" spans="1:10" x14ac:dyDescent="0.25">
      <c r="A959" s="8" t="s">
        <v>890</v>
      </c>
      <c r="B959" s="8" t="s">
        <v>857</v>
      </c>
      <c r="C959" s="8" t="s">
        <v>8</v>
      </c>
      <c r="D959" s="10">
        <v>45441</v>
      </c>
      <c r="E959" s="9">
        <v>112566</v>
      </c>
      <c r="F959" s="2" t="str">
        <f>INDEX(Vendors!E:E,MATCH(Vendor_Analysis!C959,Vendors!A:A,0))</f>
        <v xml:space="preserve">60 </v>
      </c>
      <c r="G959" s="2">
        <v>60</v>
      </c>
      <c r="H959" s="16">
        <f t="shared" si="14"/>
        <v>45501</v>
      </c>
      <c r="J959" s="2"/>
    </row>
    <row r="960" spans="1:10" x14ac:dyDescent="0.25">
      <c r="A960" s="8" t="s">
        <v>891</v>
      </c>
      <c r="B960" s="8" t="s">
        <v>857</v>
      </c>
      <c r="C960" s="8" t="s">
        <v>23</v>
      </c>
      <c r="D960" s="10">
        <v>45448</v>
      </c>
      <c r="E960" s="9">
        <v>100615</v>
      </c>
      <c r="F960" s="2" t="str">
        <f>INDEX(Vendors!E:E,MATCH(Vendor_Analysis!C960,Vendors!A:A,0))</f>
        <v xml:space="preserve"> 90</v>
      </c>
      <c r="G960" s="2">
        <v>90</v>
      </c>
      <c r="H960" s="16">
        <f t="shared" si="14"/>
        <v>45538</v>
      </c>
      <c r="J960" s="2"/>
    </row>
    <row r="961" spans="1:10" x14ac:dyDescent="0.25">
      <c r="A961" s="8" t="s">
        <v>892</v>
      </c>
      <c r="B961" s="8" t="s">
        <v>857</v>
      </c>
      <c r="C961" s="8" t="s">
        <v>73</v>
      </c>
      <c r="D961" s="10">
        <v>45482</v>
      </c>
      <c r="E961" s="9">
        <v>76677</v>
      </c>
      <c r="F961" s="2" t="str">
        <f>INDEX(Vendors!E:E,MATCH(Vendor_Analysis!C961,Vendors!A:A,0))</f>
        <v xml:space="preserve">60 </v>
      </c>
      <c r="G961" s="2">
        <v>60</v>
      </c>
      <c r="H961" s="16">
        <f t="shared" si="14"/>
        <v>45542</v>
      </c>
      <c r="J961" s="2"/>
    </row>
    <row r="962" spans="1:10" x14ac:dyDescent="0.25">
      <c r="A962" s="8" t="s">
        <v>893</v>
      </c>
      <c r="B962" s="8" t="s">
        <v>857</v>
      </c>
      <c r="C962" s="8" t="s">
        <v>29</v>
      </c>
      <c r="D962" s="10">
        <v>45531</v>
      </c>
      <c r="E962" s="9">
        <v>119025</v>
      </c>
      <c r="F962" s="2" t="str">
        <f>INDEX(Vendors!E:E,MATCH(Vendor_Analysis!C962,Vendors!A:A,0))</f>
        <v xml:space="preserve">30 </v>
      </c>
      <c r="G962" s="2">
        <v>30</v>
      </c>
      <c r="H962" s="16">
        <f t="shared" si="14"/>
        <v>45561</v>
      </c>
      <c r="J962" s="2"/>
    </row>
    <row r="963" spans="1:10" x14ac:dyDescent="0.25">
      <c r="A963" s="8" t="s">
        <v>894</v>
      </c>
      <c r="B963" s="8" t="s">
        <v>857</v>
      </c>
      <c r="C963" s="8" t="s">
        <v>14</v>
      </c>
      <c r="D963" s="10">
        <v>45545</v>
      </c>
      <c r="E963" s="9">
        <v>130029</v>
      </c>
      <c r="F963" s="2" t="str">
        <f>INDEX(Vendors!E:E,MATCH(Vendor_Analysis!C963,Vendors!A:A,0))</f>
        <v xml:space="preserve"> 90</v>
      </c>
      <c r="G963" s="2">
        <v>90</v>
      </c>
      <c r="H963" s="16">
        <f t="shared" ref="H963:H1026" si="15">D963+F963</f>
        <v>45635</v>
      </c>
      <c r="J963" s="2"/>
    </row>
    <row r="964" spans="1:10" x14ac:dyDescent="0.25">
      <c r="A964" s="8" t="s">
        <v>895</v>
      </c>
      <c r="B964" s="8" t="s">
        <v>857</v>
      </c>
      <c r="C964" s="8" t="s">
        <v>37</v>
      </c>
      <c r="D964" s="10">
        <v>45576</v>
      </c>
      <c r="E964" s="9">
        <v>140384</v>
      </c>
      <c r="F964" s="2" t="str">
        <f>INDEX(Vendors!E:E,MATCH(Vendor_Analysis!C964,Vendors!A:A,0))</f>
        <v xml:space="preserve">30 </v>
      </c>
      <c r="G964" s="2">
        <v>30</v>
      </c>
      <c r="H964" s="16">
        <f t="shared" si="15"/>
        <v>45606</v>
      </c>
      <c r="J964" s="2"/>
    </row>
    <row r="965" spans="1:10" x14ac:dyDescent="0.25">
      <c r="A965" s="8" t="s">
        <v>896</v>
      </c>
      <c r="B965" s="8" t="s">
        <v>857</v>
      </c>
      <c r="C965" s="8" t="s">
        <v>55</v>
      </c>
      <c r="D965" s="10">
        <v>45604</v>
      </c>
      <c r="E965" s="9">
        <v>138133</v>
      </c>
      <c r="F965" s="2" t="str">
        <f>INDEX(Vendors!E:E,MATCH(Vendor_Analysis!C965,Vendors!A:A,0))</f>
        <v xml:space="preserve">30 </v>
      </c>
      <c r="G965" s="2">
        <v>30</v>
      </c>
      <c r="H965" s="16">
        <f t="shared" si="15"/>
        <v>45634</v>
      </c>
      <c r="J965" s="2"/>
    </row>
    <row r="966" spans="1:10" x14ac:dyDescent="0.25">
      <c r="A966" s="8" t="s">
        <v>897</v>
      </c>
      <c r="B966" s="8" t="s">
        <v>857</v>
      </c>
      <c r="C966" s="8" t="s">
        <v>14</v>
      </c>
      <c r="D966" s="10">
        <v>45618</v>
      </c>
      <c r="E966" s="9">
        <v>104885</v>
      </c>
      <c r="F966" s="2" t="str">
        <f>INDEX(Vendors!E:E,MATCH(Vendor_Analysis!C966,Vendors!A:A,0))</f>
        <v xml:space="preserve"> 90</v>
      </c>
      <c r="G966" s="2">
        <v>90</v>
      </c>
      <c r="H966" s="16">
        <f t="shared" si="15"/>
        <v>45708</v>
      </c>
      <c r="J966" s="2"/>
    </row>
    <row r="967" spans="1:10" x14ac:dyDescent="0.25">
      <c r="A967" s="8" t="s">
        <v>898</v>
      </c>
      <c r="B967" s="8" t="s">
        <v>857</v>
      </c>
      <c r="C967" s="8" t="s">
        <v>21</v>
      </c>
      <c r="D967" s="10">
        <v>45621</v>
      </c>
      <c r="E967" s="9">
        <v>91313</v>
      </c>
      <c r="F967" s="2" t="str">
        <f>INDEX(Vendors!E:E,MATCH(Vendor_Analysis!C967,Vendors!A:A,0))</f>
        <v xml:space="preserve"> 90</v>
      </c>
      <c r="G967" s="2">
        <v>90</v>
      </c>
      <c r="H967" s="16">
        <f t="shared" si="15"/>
        <v>45711</v>
      </c>
      <c r="J967" s="2"/>
    </row>
    <row r="968" spans="1:10" x14ac:dyDescent="0.25">
      <c r="A968" s="8" t="s">
        <v>899</v>
      </c>
      <c r="B968" s="8" t="s">
        <v>857</v>
      </c>
      <c r="C968" s="8" t="s">
        <v>35</v>
      </c>
      <c r="D968" s="10">
        <v>45644</v>
      </c>
      <c r="E968" s="9">
        <v>69319</v>
      </c>
      <c r="F968" s="2" t="str">
        <f>INDEX(Vendors!E:E,MATCH(Vendor_Analysis!C968,Vendors!A:A,0))</f>
        <v xml:space="preserve">60 </v>
      </c>
      <c r="G968" s="2">
        <v>60</v>
      </c>
      <c r="H968" s="16">
        <f t="shared" si="15"/>
        <v>45704</v>
      </c>
      <c r="J968" s="2"/>
    </row>
    <row r="969" spans="1:10" x14ac:dyDescent="0.25">
      <c r="A969" s="8" t="s">
        <v>900</v>
      </c>
      <c r="B969" s="8" t="s">
        <v>857</v>
      </c>
      <c r="C969" s="8" t="s">
        <v>17</v>
      </c>
      <c r="D969" s="10">
        <v>45653</v>
      </c>
      <c r="E969" s="9">
        <v>135624</v>
      </c>
      <c r="F969" s="2" t="str">
        <f>INDEX(Vendors!E:E,MATCH(Vendor_Analysis!C969,Vendors!A:A,0))</f>
        <v xml:space="preserve">45 </v>
      </c>
      <c r="G969" s="2">
        <v>45</v>
      </c>
      <c r="H969" s="16">
        <f t="shared" si="15"/>
        <v>45698</v>
      </c>
      <c r="J969" s="2"/>
    </row>
    <row r="970" spans="1:10" x14ac:dyDescent="0.25">
      <c r="A970" s="8" t="s">
        <v>901</v>
      </c>
      <c r="B970" s="8" t="s">
        <v>857</v>
      </c>
      <c r="C970" s="8" t="s">
        <v>14</v>
      </c>
      <c r="D970" s="10">
        <v>45679</v>
      </c>
      <c r="E970" s="9">
        <v>155702</v>
      </c>
      <c r="F970" s="2" t="str">
        <f>INDEX(Vendors!E:E,MATCH(Vendor_Analysis!C970,Vendors!A:A,0))</f>
        <v xml:space="preserve"> 90</v>
      </c>
      <c r="G970" s="2">
        <v>90</v>
      </c>
      <c r="H970" s="16">
        <f t="shared" si="15"/>
        <v>45769</v>
      </c>
      <c r="J970" s="2"/>
    </row>
    <row r="971" spans="1:10" x14ac:dyDescent="0.25">
      <c r="A971" s="8" t="s">
        <v>902</v>
      </c>
      <c r="B971" s="8" t="s">
        <v>857</v>
      </c>
      <c r="C971" s="8" t="s">
        <v>109</v>
      </c>
      <c r="D971" s="10">
        <v>45699</v>
      </c>
      <c r="E971" s="9">
        <v>158559</v>
      </c>
      <c r="F971" s="2" t="str">
        <f>INDEX(Vendors!E:E,MATCH(Vendor_Analysis!C971,Vendors!A:A,0))</f>
        <v xml:space="preserve">30 </v>
      </c>
      <c r="G971" s="2">
        <v>30</v>
      </c>
      <c r="H971" s="16">
        <f t="shared" si="15"/>
        <v>45729</v>
      </c>
      <c r="J971" s="2"/>
    </row>
    <row r="972" spans="1:10" x14ac:dyDescent="0.25">
      <c r="A972" s="8" t="s">
        <v>903</v>
      </c>
      <c r="B972" s="8" t="s">
        <v>857</v>
      </c>
      <c r="C972" s="8" t="s">
        <v>48</v>
      </c>
      <c r="D972" s="10">
        <v>45725</v>
      </c>
      <c r="E972" s="9">
        <v>140980</v>
      </c>
      <c r="F972" s="2" t="str">
        <f>INDEX(Vendors!E:E,MATCH(Vendor_Analysis!C972,Vendors!A:A,0))</f>
        <v xml:space="preserve"> 90</v>
      </c>
      <c r="G972" s="2">
        <v>90</v>
      </c>
      <c r="H972" s="16">
        <f t="shared" si="15"/>
        <v>45815</v>
      </c>
      <c r="J972" s="2"/>
    </row>
    <row r="973" spans="1:10" x14ac:dyDescent="0.25">
      <c r="A973" s="8" t="s">
        <v>904</v>
      </c>
      <c r="B973" s="8" t="s">
        <v>857</v>
      </c>
      <c r="C973" s="8" t="s">
        <v>91</v>
      </c>
      <c r="D973" s="10">
        <v>45749</v>
      </c>
      <c r="E973" s="9">
        <v>85209</v>
      </c>
      <c r="F973" s="2" t="str">
        <f>INDEX(Vendors!E:E,MATCH(Vendor_Analysis!C973,Vendors!A:A,0))</f>
        <v xml:space="preserve">60 </v>
      </c>
      <c r="G973" s="2">
        <v>60</v>
      </c>
      <c r="H973" s="16">
        <f t="shared" si="15"/>
        <v>45809</v>
      </c>
      <c r="J973" s="2"/>
    </row>
    <row r="974" spans="1:10" x14ac:dyDescent="0.25">
      <c r="A974" s="8" t="s">
        <v>905</v>
      </c>
      <c r="B974" s="8" t="s">
        <v>857</v>
      </c>
      <c r="C974" s="8" t="s">
        <v>109</v>
      </c>
      <c r="D974" s="10">
        <v>45756</v>
      </c>
      <c r="E974" s="9">
        <v>111031</v>
      </c>
      <c r="F974" s="2" t="str">
        <f>INDEX(Vendors!E:E,MATCH(Vendor_Analysis!C974,Vendors!A:A,0))</f>
        <v xml:space="preserve">30 </v>
      </c>
      <c r="G974" s="2">
        <v>30</v>
      </c>
      <c r="H974" s="16">
        <f t="shared" si="15"/>
        <v>45786</v>
      </c>
      <c r="J974" s="2"/>
    </row>
    <row r="975" spans="1:10" x14ac:dyDescent="0.25">
      <c r="A975" s="8" t="s">
        <v>906</v>
      </c>
      <c r="B975" s="8" t="s">
        <v>857</v>
      </c>
      <c r="C975" s="8" t="s">
        <v>21</v>
      </c>
      <c r="D975" s="10">
        <v>45759</v>
      </c>
      <c r="E975" s="9">
        <v>94313</v>
      </c>
      <c r="F975" s="2" t="str">
        <f>INDEX(Vendors!E:E,MATCH(Vendor_Analysis!C975,Vendors!A:A,0))</f>
        <v xml:space="preserve"> 90</v>
      </c>
      <c r="G975" s="2">
        <v>90</v>
      </c>
      <c r="H975" s="16">
        <f t="shared" si="15"/>
        <v>45849</v>
      </c>
      <c r="J975" s="2"/>
    </row>
    <row r="976" spans="1:10" x14ac:dyDescent="0.25">
      <c r="A976" s="8" t="s">
        <v>907</v>
      </c>
      <c r="B976" s="8" t="s">
        <v>857</v>
      </c>
      <c r="C976" s="8" t="s">
        <v>33</v>
      </c>
      <c r="D976" s="10">
        <v>45793</v>
      </c>
      <c r="E976" s="9">
        <v>97408</v>
      </c>
      <c r="F976" s="2" t="str">
        <f>INDEX(Vendors!E:E,MATCH(Vendor_Analysis!C976,Vendors!A:A,0))</f>
        <v xml:space="preserve">30 </v>
      </c>
      <c r="G976" s="2">
        <v>30</v>
      </c>
      <c r="H976" s="16">
        <f t="shared" si="15"/>
        <v>45823</v>
      </c>
      <c r="J976" s="2"/>
    </row>
    <row r="977" spans="1:10" x14ac:dyDescent="0.25">
      <c r="A977" s="8" t="s">
        <v>908</v>
      </c>
      <c r="B977" s="8" t="s">
        <v>857</v>
      </c>
      <c r="C977" s="8" t="s">
        <v>8</v>
      </c>
      <c r="D977" s="10">
        <v>45795</v>
      </c>
      <c r="E977" s="9">
        <v>166143</v>
      </c>
      <c r="F977" s="2" t="str">
        <f>INDEX(Vendors!E:E,MATCH(Vendor_Analysis!C977,Vendors!A:A,0))</f>
        <v xml:space="preserve">60 </v>
      </c>
      <c r="G977" s="2">
        <v>60</v>
      </c>
      <c r="H977" s="16">
        <f t="shared" si="15"/>
        <v>45855</v>
      </c>
      <c r="J977" s="2"/>
    </row>
    <row r="978" spans="1:10" x14ac:dyDescent="0.25">
      <c r="A978" s="8" t="s">
        <v>909</v>
      </c>
      <c r="B978" s="8" t="s">
        <v>857</v>
      </c>
      <c r="C978" s="8" t="s">
        <v>8</v>
      </c>
      <c r="D978" s="10">
        <v>45800</v>
      </c>
      <c r="E978" s="9">
        <v>108675</v>
      </c>
      <c r="F978" s="2" t="str">
        <f>INDEX(Vendors!E:E,MATCH(Vendor_Analysis!C978,Vendors!A:A,0))</f>
        <v xml:space="preserve">60 </v>
      </c>
      <c r="G978" s="2">
        <v>60</v>
      </c>
      <c r="H978" s="16">
        <f t="shared" si="15"/>
        <v>45860</v>
      </c>
      <c r="J978" s="2"/>
    </row>
    <row r="979" spans="1:10" x14ac:dyDescent="0.25">
      <c r="A979" s="8" t="s">
        <v>910</v>
      </c>
      <c r="B979" s="8" t="s">
        <v>857</v>
      </c>
      <c r="C979" s="8" t="s">
        <v>50</v>
      </c>
      <c r="D979" s="10">
        <v>45808</v>
      </c>
      <c r="E979" s="9">
        <v>98456</v>
      </c>
      <c r="F979" s="2" t="str">
        <f>INDEX(Vendors!E:E,MATCH(Vendor_Analysis!C979,Vendors!A:A,0))</f>
        <v xml:space="preserve"> 90</v>
      </c>
      <c r="G979" s="2">
        <v>90</v>
      </c>
      <c r="H979" s="16">
        <f t="shared" si="15"/>
        <v>45898</v>
      </c>
      <c r="J979" s="2"/>
    </row>
    <row r="980" spans="1:10" x14ac:dyDescent="0.25">
      <c r="A980" s="8" t="s">
        <v>911</v>
      </c>
      <c r="B980" s="8" t="s">
        <v>857</v>
      </c>
      <c r="C980" s="8" t="s">
        <v>25</v>
      </c>
      <c r="D980" s="10">
        <v>45819</v>
      </c>
      <c r="E980" s="9">
        <v>58396</v>
      </c>
      <c r="F980" s="2" t="str">
        <f>INDEX(Vendors!E:E,MATCH(Vendor_Analysis!C980,Vendors!A:A,0))</f>
        <v xml:space="preserve">30 </v>
      </c>
      <c r="G980" s="2">
        <v>30</v>
      </c>
      <c r="H980" s="16">
        <f t="shared" si="15"/>
        <v>45849</v>
      </c>
      <c r="J980" s="2"/>
    </row>
    <row r="981" spans="1:10" x14ac:dyDescent="0.25">
      <c r="A981" s="8" t="s">
        <v>912</v>
      </c>
      <c r="B981" s="8" t="s">
        <v>857</v>
      </c>
      <c r="C981" s="8" t="s">
        <v>6</v>
      </c>
      <c r="D981" s="10">
        <v>45845</v>
      </c>
      <c r="E981" s="9">
        <v>161433</v>
      </c>
      <c r="F981" s="2" t="str">
        <f>INDEX(Vendors!E:E,MATCH(Vendor_Analysis!C981,Vendors!A:A,0))</f>
        <v xml:space="preserve">60 </v>
      </c>
      <c r="G981" s="2">
        <v>60</v>
      </c>
      <c r="H981" s="16">
        <f t="shared" si="15"/>
        <v>45905</v>
      </c>
      <c r="J981" s="2"/>
    </row>
    <row r="982" spans="1:10" x14ac:dyDescent="0.25">
      <c r="A982" s="8" t="s">
        <v>913</v>
      </c>
      <c r="B982" s="8" t="s">
        <v>857</v>
      </c>
      <c r="C982" s="8" t="s">
        <v>110</v>
      </c>
      <c r="D982" s="10">
        <v>45857</v>
      </c>
      <c r="E982" s="9">
        <v>150448</v>
      </c>
      <c r="F982" s="2" t="str">
        <f>INDEX(Vendors!E:E,MATCH(Vendor_Analysis!C982,Vendors!A:A,0))</f>
        <v xml:space="preserve">30 </v>
      </c>
      <c r="G982" s="2">
        <v>30</v>
      </c>
      <c r="H982" s="16">
        <f t="shared" si="15"/>
        <v>45887</v>
      </c>
      <c r="J982" s="2"/>
    </row>
    <row r="983" spans="1:10" x14ac:dyDescent="0.25">
      <c r="A983" s="8" t="s">
        <v>914</v>
      </c>
      <c r="B983" s="8" t="s">
        <v>857</v>
      </c>
      <c r="C983" s="8" t="s">
        <v>44</v>
      </c>
      <c r="D983" s="10">
        <v>45859</v>
      </c>
      <c r="E983" s="9">
        <v>168626</v>
      </c>
      <c r="F983" s="2" t="str">
        <f>INDEX(Vendors!E:E,MATCH(Vendor_Analysis!C983,Vendors!A:A,0))</f>
        <v xml:space="preserve">45 </v>
      </c>
      <c r="G983" s="2">
        <v>45</v>
      </c>
      <c r="H983" s="16">
        <f t="shared" si="15"/>
        <v>45904</v>
      </c>
      <c r="J983" s="2"/>
    </row>
    <row r="984" spans="1:10" x14ac:dyDescent="0.25">
      <c r="A984" s="8" t="s">
        <v>915</v>
      </c>
      <c r="B984" s="8" t="s">
        <v>857</v>
      </c>
      <c r="C984" s="8" t="s">
        <v>110</v>
      </c>
      <c r="D984" s="10">
        <v>45879</v>
      </c>
      <c r="E984" s="9">
        <v>125210</v>
      </c>
      <c r="F984" s="2" t="str">
        <f>INDEX(Vendors!E:E,MATCH(Vendor_Analysis!C984,Vendors!A:A,0))</f>
        <v xml:space="preserve">30 </v>
      </c>
      <c r="G984" s="2">
        <v>30</v>
      </c>
      <c r="H984" s="16">
        <f t="shared" si="15"/>
        <v>45909</v>
      </c>
      <c r="J984" s="2"/>
    </row>
    <row r="985" spans="1:10" x14ac:dyDescent="0.25">
      <c r="A985" s="8" t="s">
        <v>916</v>
      </c>
      <c r="B985" s="8" t="s">
        <v>857</v>
      </c>
      <c r="C985" s="8" t="s">
        <v>29</v>
      </c>
      <c r="D985" s="10">
        <v>45887</v>
      </c>
      <c r="E985" s="9">
        <v>62493</v>
      </c>
      <c r="F985" s="2" t="str">
        <f>INDEX(Vendors!E:E,MATCH(Vendor_Analysis!C985,Vendors!A:A,0))</f>
        <v xml:space="preserve">30 </v>
      </c>
      <c r="G985" s="2">
        <v>30</v>
      </c>
      <c r="H985" s="16">
        <f t="shared" si="15"/>
        <v>45917</v>
      </c>
      <c r="J985" s="2"/>
    </row>
    <row r="986" spans="1:10" x14ac:dyDescent="0.25">
      <c r="A986" s="8" t="s">
        <v>917</v>
      </c>
      <c r="B986" s="8" t="s">
        <v>918</v>
      </c>
      <c r="C986" s="8" t="s">
        <v>91</v>
      </c>
      <c r="D986" s="10">
        <v>45337</v>
      </c>
      <c r="E986" s="9">
        <v>601323</v>
      </c>
      <c r="F986" s="2" t="str">
        <f>INDEX(Vendors!E:E,MATCH(Vendor_Analysis!C986,Vendors!A:A,0))</f>
        <v xml:space="preserve">60 </v>
      </c>
      <c r="G986" s="2">
        <v>60</v>
      </c>
      <c r="H986" s="16">
        <f t="shared" si="15"/>
        <v>45397</v>
      </c>
      <c r="J986" s="2"/>
    </row>
    <row r="987" spans="1:10" x14ac:dyDescent="0.25">
      <c r="A987" s="8" t="s">
        <v>919</v>
      </c>
      <c r="B987" s="8" t="s">
        <v>918</v>
      </c>
      <c r="C987" s="8" t="s">
        <v>91</v>
      </c>
      <c r="D987" s="10">
        <v>45350</v>
      </c>
      <c r="E987" s="9">
        <v>208864</v>
      </c>
      <c r="F987" s="2" t="str">
        <f>INDEX(Vendors!E:E,MATCH(Vendor_Analysis!C987,Vendors!A:A,0))</f>
        <v xml:space="preserve">60 </v>
      </c>
      <c r="G987" s="2">
        <v>60</v>
      </c>
      <c r="H987" s="16">
        <f t="shared" si="15"/>
        <v>45410</v>
      </c>
      <c r="J987" s="2"/>
    </row>
    <row r="988" spans="1:10" x14ac:dyDescent="0.25">
      <c r="A988" s="8" t="s">
        <v>920</v>
      </c>
      <c r="B988" s="8" t="s">
        <v>918</v>
      </c>
      <c r="C988" s="8" t="s">
        <v>35</v>
      </c>
      <c r="D988" s="10">
        <v>45357</v>
      </c>
      <c r="E988" s="9">
        <v>292066</v>
      </c>
      <c r="F988" s="2" t="str">
        <f>INDEX(Vendors!E:E,MATCH(Vendor_Analysis!C988,Vendors!A:A,0))</f>
        <v xml:space="preserve">60 </v>
      </c>
      <c r="G988" s="2">
        <v>60</v>
      </c>
      <c r="H988" s="16">
        <f t="shared" si="15"/>
        <v>45417</v>
      </c>
      <c r="J988" s="2"/>
    </row>
    <row r="989" spans="1:10" x14ac:dyDescent="0.25">
      <c r="A989" s="8" t="s">
        <v>921</v>
      </c>
      <c r="B989" s="8" t="s">
        <v>918</v>
      </c>
      <c r="C989" s="8" t="s">
        <v>10</v>
      </c>
      <c r="D989" s="10">
        <v>45368</v>
      </c>
      <c r="E989" s="9">
        <v>163698</v>
      </c>
      <c r="F989" s="2" t="str">
        <f>INDEX(Vendors!E:E,MATCH(Vendor_Analysis!C989,Vendors!A:A,0))</f>
        <v xml:space="preserve">60 </v>
      </c>
      <c r="G989" s="2">
        <v>60</v>
      </c>
      <c r="H989" s="16">
        <f t="shared" si="15"/>
        <v>45428</v>
      </c>
      <c r="J989" s="2"/>
    </row>
    <row r="990" spans="1:10" x14ac:dyDescent="0.25">
      <c r="A990" s="8" t="s">
        <v>922</v>
      </c>
      <c r="B990" s="8" t="s">
        <v>918</v>
      </c>
      <c r="C990" s="8" t="s">
        <v>6</v>
      </c>
      <c r="D990" s="10">
        <v>45379</v>
      </c>
      <c r="E990" s="9">
        <v>136915</v>
      </c>
      <c r="F990" s="2" t="str">
        <f>INDEX(Vendors!E:E,MATCH(Vendor_Analysis!C990,Vendors!A:A,0))</f>
        <v xml:space="preserve">60 </v>
      </c>
      <c r="G990" s="2">
        <v>60</v>
      </c>
      <c r="H990" s="16">
        <f t="shared" si="15"/>
        <v>45439</v>
      </c>
      <c r="J990" s="2"/>
    </row>
    <row r="991" spans="1:10" x14ac:dyDescent="0.25">
      <c r="A991" s="8" t="s">
        <v>923</v>
      </c>
      <c r="B991" s="8" t="s">
        <v>918</v>
      </c>
      <c r="C991" s="8" t="s">
        <v>27</v>
      </c>
      <c r="D991" s="10">
        <v>45383</v>
      </c>
      <c r="E991" s="9">
        <v>116169</v>
      </c>
      <c r="F991" s="2" t="str">
        <f>INDEX(Vendors!E:E,MATCH(Vendor_Analysis!C991,Vendors!A:A,0))</f>
        <v xml:space="preserve">45 </v>
      </c>
      <c r="G991" s="2">
        <v>45</v>
      </c>
      <c r="H991" s="16">
        <f t="shared" si="15"/>
        <v>45428</v>
      </c>
      <c r="J991" s="2"/>
    </row>
    <row r="992" spans="1:10" x14ac:dyDescent="0.25">
      <c r="A992" s="8" t="s">
        <v>924</v>
      </c>
      <c r="B992" s="8" t="s">
        <v>918</v>
      </c>
      <c r="C992" s="8" t="s">
        <v>23</v>
      </c>
      <c r="D992" s="10">
        <v>45391</v>
      </c>
      <c r="E992" s="9">
        <v>97222</v>
      </c>
      <c r="F992" s="2" t="str">
        <f>INDEX(Vendors!E:E,MATCH(Vendor_Analysis!C992,Vendors!A:A,0))</f>
        <v xml:space="preserve"> 90</v>
      </c>
      <c r="G992" s="2">
        <v>90</v>
      </c>
      <c r="H992" s="16">
        <f t="shared" si="15"/>
        <v>45481</v>
      </c>
      <c r="J992" s="2"/>
    </row>
    <row r="993" spans="1:10" x14ac:dyDescent="0.25">
      <c r="A993" s="8" t="s">
        <v>925</v>
      </c>
      <c r="B993" s="8" t="s">
        <v>918</v>
      </c>
      <c r="C993" s="8" t="s">
        <v>29</v>
      </c>
      <c r="D993" s="10">
        <v>45393</v>
      </c>
      <c r="E993" s="9">
        <v>175349</v>
      </c>
      <c r="F993" s="2" t="str">
        <f>INDEX(Vendors!E:E,MATCH(Vendor_Analysis!C993,Vendors!A:A,0))</f>
        <v xml:space="preserve">30 </v>
      </c>
      <c r="G993" s="2">
        <v>30</v>
      </c>
      <c r="H993" s="16">
        <f t="shared" si="15"/>
        <v>45423</v>
      </c>
      <c r="J993" s="2"/>
    </row>
    <row r="994" spans="1:10" x14ac:dyDescent="0.25">
      <c r="A994" s="8" t="s">
        <v>926</v>
      </c>
      <c r="B994" s="8" t="s">
        <v>918</v>
      </c>
      <c r="C994" s="8" t="s">
        <v>21</v>
      </c>
      <c r="D994" s="10">
        <v>45395</v>
      </c>
      <c r="E994" s="9">
        <v>121125</v>
      </c>
      <c r="F994" s="2" t="str">
        <f>INDEX(Vendors!E:E,MATCH(Vendor_Analysis!C994,Vendors!A:A,0))</f>
        <v xml:space="preserve"> 90</v>
      </c>
      <c r="G994" s="2">
        <v>90</v>
      </c>
      <c r="H994" s="16">
        <f t="shared" si="15"/>
        <v>45485</v>
      </c>
      <c r="J994" s="2"/>
    </row>
    <row r="995" spans="1:10" x14ac:dyDescent="0.25">
      <c r="A995" s="8" t="s">
        <v>927</v>
      </c>
      <c r="B995" s="8" t="s">
        <v>918</v>
      </c>
      <c r="C995" s="8" t="s">
        <v>44</v>
      </c>
      <c r="D995" s="10">
        <v>45402</v>
      </c>
      <c r="E995" s="9">
        <v>290201</v>
      </c>
      <c r="F995" s="2" t="str">
        <f>INDEX(Vendors!E:E,MATCH(Vendor_Analysis!C995,Vendors!A:A,0))</f>
        <v xml:space="preserve">45 </v>
      </c>
      <c r="G995" s="2">
        <v>45</v>
      </c>
      <c r="H995" s="16">
        <f t="shared" si="15"/>
        <v>45447</v>
      </c>
      <c r="J995" s="2"/>
    </row>
    <row r="996" spans="1:10" x14ac:dyDescent="0.25">
      <c r="A996" s="8" t="s">
        <v>928</v>
      </c>
      <c r="B996" s="8" t="s">
        <v>918</v>
      </c>
      <c r="C996" s="8" t="s">
        <v>21</v>
      </c>
      <c r="D996" s="10">
        <v>45404</v>
      </c>
      <c r="E996" s="9">
        <v>296625</v>
      </c>
      <c r="F996" s="2" t="str">
        <f>INDEX(Vendors!E:E,MATCH(Vendor_Analysis!C996,Vendors!A:A,0))</f>
        <v xml:space="preserve"> 90</v>
      </c>
      <c r="G996" s="2">
        <v>90</v>
      </c>
      <c r="H996" s="16">
        <f t="shared" si="15"/>
        <v>45494</v>
      </c>
      <c r="J996" s="2"/>
    </row>
    <row r="997" spans="1:10" x14ac:dyDescent="0.25">
      <c r="A997" s="8" t="s">
        <v>929</v>
      </c>
      <c r="B997" s="8" t="s">
        <v>918</v>
      </c>
      <c r="C997" s="8" t="s">
        <v>6</v>
      </c>
      <c r="D997" s="10">
        <v>45408</v>
      </c>
      <c r="E997" s="9">
        <v>277274</v>
      </c>
      <c r="F997" s="2" t="str">
        <f>INDEX(Vendors!E:E,MATCH(Vendor_Analysis!C997,Vendors!A:A,0))</f>
        <v xml:space="preserve">60 </v>
      </c>
      <c r="G997" s="2">
        <v>60</v>
      </c>
      <c r="H997" s="16">
        <f t="shared" si="15"/>
        <v>45468</v>
      </c>
      <c r="J997" s="2"/>
    </row>
    <row r="998" spans="1:10" x14ac:dyDescent="0.25">
      <c r="A998" s="8" t="s">
        <v>930</v>
      </c>
      <c r="B998" s="8" t="s">
        <v>918</v>
      </c>
      <c r="C998" s="8" t="s">
        <v>37</v>
      </c>
      <c r="D998" s="10">
        <v>45449</v>
      </c>
      <c r="E998" s="9">
        <v>155817</v>
      </c>
      <c r="F998" s="2" t="str">
        <f>INDEX(Vendors!E:E,MATCH(Vendor_Analysis!C998,Vendors!A:A,0))</f>
        <v xml:space="preserve">30 </v>
      </c>
      <c r="G998" s="2">
        <v>30</v>
      </c>
      <c r="H998" s="16">
        <f t="shared" si="15"/>
        <v>45479</v>
      </c>
      <c r="J998" s="2"/>
    </row>
    <row r="999" spans="1:10" x14ac:dyDescent="0.25">
      <c r="A999" s="8" t="s">
        <v>931</v>
      </c>
      <c r="B999" s="8" t="s">
        <v>918</v>
      </c>
      <c r="C999" s="8" t="s">
        <v>6</v>
      </c>
      <c r="D999" s="10">
        <v>45470</v>
      </c>
      <c r="E999" s="9">
        <v>254214</v>
      </c>
      <c r="F999" s="2" t="str">
        <f>INDEX(Vendors!E:E,MATCH(Vendor_Analysis!C999,Vendors!A:A,0))</f>
        <v xml:space="preserve">60 </v>
      </c>
      <c r="G999" s="2">
        <v>60</v>
      </c>
      <c r="H999" s="16">
        <f t="shared" si="15"/>
        <v>45530</v>
      </c>
      <c r="J999" s="2"/>
    </row>
    <row r="1000" spans="1:10" x14ac:dyDescent="0.25">
      <c r="A1000" s="8" t="s">
        <v>932</v>
      </c>
      <c r="B1000" s="8" t="s">
        <v>918</v>
      </c>
      <c r="C1000" s="8" t="s">
        <v>71</v>
      </c>
      <c r="D1000" s="10">
        <v>45472</v>
      </c>
      <c r="E1000" s="9">
        <v>243451</v>
      </c>
      <c r="F1000" s="2" t="str">
        <f>INDEX(Vendors!E:E,MATCH(Vendor_Analysis!C1000,Vendors!A:A,0))</f>
        <v xml:space="preserve">45 </v>
      </c>
      <c r="G1000" s="2">
        <v>45</v>
      </c>
      <c r="H1000" s="16">
        <f t="shared" si="15"/>
        <v>45517</v>
      </c>
      <c r="J1000" s="2"/>
    </row>
    <row r="1001" spans="1:10" x14ac:dyDescent="0.25">
      <c r="A1001" s="8" t="s">
        <v>933</v>
      </c>
      <c r="B1001" s="8" t="s">
        <v>918</v>
      </c>
      <c r="C1001" s="8" t="s">
        <v>73</v>
      </c>
      <c r="D1001" s="10">
        <v>45480</v>
      </c>
      <c r="E1001" s="9">
        <v>272468</v>
      </c>
      <c r="F1001" s="2" t="str">
        <f>INDEX(Vendors!E:E,MATCH(Vendor_Analysis!C1001,Vendors!A:A,0))</f>
        <v xml:space="preserve">60 </v>
      </c>
      <c r="G1001" s="2">
        <v>60</v>
      </c>
      <c r="H1001" s="16">
        <f t="shared" si="15"/>
        <v>45540</v>
      </c>
      <c r="J1001" s="2"/>
    </row>
    <row r="1002" spans="1:10" x14ac:dyDescent="0.25">
      <c r="A1002" s="8" t="s">
        <v>934</v>
      </c>
      <c r="B1002" s="8" t="s">
        <v>918</v>
      </c>
      <c r="C1002" s="8" t="s">
        <v>91</v>
      </c>
      <c r="D1002" s="10">
        <v>45527</v>
      </c>
      <c r="E1002" s="9">
        <v>124356</v>
      </c>
      <c r="F1002" s="2" t="str">
        <f>INDEX(Vendors!E:E,MATCH(Vendor_Analysis!C1002,Vendors!A:A,0))</f>
        <v xml:space="preserve">60 </v>
      </c>
      <c r="G1002" s="2">
        <v>60</v>
      </c>
      <c r="H1002" s="16">
        <f t="shared" si="15"/>
        <v>45587</v>
      </c>
      <c r="J1002" s="2"/>
    </row>
    <row r="1003" spans="1:10" x14ac:dyDescent="0.25">
      <c r="A1003" s="8" t="s">
        <v>935</v>
      </c>
      <c r="B1003" s="8" t="s">
        <v>918</v>
      </c>
      <c r="C1003" s="8" t="s">
        <v>33</v>
      </c>
      <c r="D1003" s="10">
        <v>45544</v>
      </c>
      <c r="E1003" s="9">
        <v>457292</v>
      </c>
      <c r="F1003" s="2" t="str">
        <f>INDEX(Vendors!E:E,MATCH(Vendor_Analysis!C1003,Vendors!A:A,0))</f>
        <v xml:space="preserve">30 </v>
      </c>
      <c r="G1003" s="2">
        <v>30</v>
      </c>
      <c r="H1003" s="16">
        <f t="shared" si="15"/>
        <v>45574</v>
      </c>
      <c r="J1003" s="2"/>
    </row>
    <row r="1004" spans="1:10" x14ac:dyDescent="0.25">
      <c r="A1004" s="8" t="s">
        <v>936</v>
      </c>
      <c r="B1004" s="8" t="s">
        <v>918</v>
      </c>
      <c r="C1004" s="8" t="s">
        <v>14</v>
      </c>
      <c r="D1004" s="10">
        <v>45560</v>
      </c>
      <c r="E1004" s="9">
        <v>152791</v>
      </c>
      <c r="F1004" s="2" t="str">
        <f>INDEX(Vendors!E:E,MATCH(Vendor_Analysis!C1004,Vendors!A:A,0))</f>
        <v xml:space="preserve"> 90</v>
      </c>
      <c r="G1004" s="2">
        <v>90</v>
      </c>
      <c r="H1004" s="16">
        <f t="shared" si="15"/>
        <v>45650</v>
      </c>
      <c r="J1004" s="2"/>
    </row>
    <row r="1005" spans="1:10" x14ac:dyDescent="0.25">
      <c r="A1005" s="8" t="s">
        <v>937</v>
      </c>
      <c r="B1005" s="8" t="s">
        <v>918</v>
      </c>
      <c r="C1005" s="8" t="s">
        <v>14</v>
      </c>
      <c r="D1005" s="10">
        <v>45562</v>
      </c>
      <c r="E1005" s="9">
        <v>208302</v>
      </c>
      <c r="F1005" s="2" t="str">
        <f>INDEX(Vendors!E:E,MATCH(Vendor_Analysis!C1005,Vendors!A:A,0))</f>
        <v xml:space="preserve"> 90</v>
      </c>
      <c r="G1005" s="2">
        <v>90</v>
      </c>
      <c r="H1005" s="16">
        <f t="shared" si="15"/>
        <v>45652</v>
      </c>
      <c r="J1005" s="2"/>
    </row>
    <row r="1006" spans="1:10" x14ac:dyDescent="0.25">
      <c r="A1006" s="8" t="s">
        <v>938</v>
      </c>
      <c r="B1006" s="8" t="s">
        <v>918</v>
      </c>
      <c r="C1006" s="8" t="s">
        <v>50</v>
      </c>
      <c r="D1006" s="10">
        <v>45569</v>
      </c>
      <c r="E1006" s="9">
        <v>216436</v>
      </c>
      <c r="F1006" s="2" t="str">
        <f>INDEX(Vendors!E:E,MATCH(Vendor_Analysis!C1006,Vendors!A:A,0))</f>
        <v xml:space="preserve"> 90</v>
      </c>
      <c r="G1006" s="2">
        <v>90</v>
      </c>
      <c r="H1006" s="16">
        <f t="shared" si="15"/>
        <v>45659</v>
      </c>
      <c r="J1006" s="2"/>
    </row>
    <row r="1007" spans="1:10" x14ac:dyDescent="0.25">
      <c r="A1007" s="8" t="s">
        <v>939</v>
      </c>
      <c r="B1007" s="8" t="s">
        <v>918</v>
      </c>
      <c r="C1007" s="8" t="s">
        <v>17</v>
      </c>
      <c r="D1007" s="10">
        <v>45573</v>
      </c>
      <c r="E1007" s="9">
        <v>179396</v>
      </c>
      <c r="F1007" s="2" t="str">
        <f>INDEX(Vendors!E:E,MATCH(Vendor_Analysis!C1007,Vendors!A:A,0))</f>
        <v xml:space="preserve">45 </v>
      </c>
      <c r="G1007" s="2">
        <v>45</v>
      </c>
      <c r="H1007" s="16">
        <f t="shared" si="15"/>
        <v>45618</v>
      </c>
      <c r="J1007" s="2"/>
    </row>
    <row r="1008" spans="1:10" x14ac:dyDescent="0.25">
      <c r="A1008" s="8" t="s">
        <v>940</v>
      </c>
      <c r="B1008" s="8" t="s">
        <v>918</v>
      </c>
      <c r="C1008" s="8" t="s">
        <v>110</v>
      </c>
      <c r="D1008" s="10">
        <v>45615</v>
      </c>
      <c r="E1008" s="9">
        <v>174965</v>
      </c>
      <c r="F1008" s="2" t="str">
        <f>INDEX(Vendors!E:E,MATCH(Vendor_Analysis!C1008,Vendors!A:A,0))</f>
        <v xml:space="preserve">30 </v>
      </c>
      <c r="G1008" s="2">
        <v>30</v>
      </c>
      <c r="H1008" s="16">
        <f t="shared" si="15"/>
        <v>45645</v>
      </c>
      <c r="J1008" s="2"/>
    </row>
    <row r="1009" spans="1:10" x14ac:dyDescent="0.25">
      <c r="A1009" s="8" t="s">
        <v>941</v>
      </c>
      <c r="B1009" s="8" t="s">
        <v>918</v>
      </c>
      <c r="C1009" s="8" t="s">
        <v>25</v>
      </c>
      <c r="D1009" s="10">
        <v>45630</v>
      </c>
      <c r="E1009" s="9">
        <v>150631</v>
      </c>
      <c r="F1009" s="2" t="str">
        <f>INDEX(Vendors!E:E,MATCH(Vendor_Analysis!C1009,Vendors!A:A,0))</f>
        <v xml:space="preserve">30 </v>
      </c>
      <c r="G1009" s="2">
        <v>30</v>
      </c>
      <c r="H1009" s="16">
        <f t="shared" si="15"/>
        <v>45660</v>
      </c>
      <c r="J1009" s="2"/>
    </row>
    <row r="1010" spans="1:10" x14ac:dyDescent="0.25">
      <c r="A1010" s="8" t="s">
        <v>942</v>
      </c>
      <c r="B1010" s="8" t="s">
        <v>918</v>
      </c>
      <c r="C1010" s="8" t="s">
        <v>37</v>
      </c>
      <c r="D1010" s="10">
        <v>45649</v>
      </c>
      <c r="E1010" s="9">
        <v>150685</v>
      </c>
      <c r="F1010" s="2" t="str">
        <f>INDEX(Vendors!E:E,MATCH(Vendor_Analysis!C1010,Vendors!A:A,0))</f>
        <v xml:space="preserve">30 </v>
      </c>
      <c r="G1010" s="2">
        <v>30</v>
      </c>
      <c r="H1010" s="16">
        <f t="shared" si="15"/>
        <v>45679</v>
      </c>
      <c r="J1010" s="2"/>
    </row>
    <row r="1011" spans="1:10" x14ac:dyDescent="0.25">
      <c r="A1011" s="8" t="s">
        <v>943</v>
      </c>
      <c r="B1011" s="8" t="s">
        <v>918</v>
      </c>
      <c r="C1011" s="8" t="s">
        <v>23</v>
      </c>
      <c r="D1011" s="10">
        <v>45660</v>
      </c>
      <c r="E1011" s="9">
        <v>182247</v>
      </c>
      <c r="F1011" s="2" t="str">
        <f>INDEX(Vendors!E:E,MATCH(Vendor_Analysis!C1011,Vendors!A:A,0))</f>
        <v xml:space="preserve"> 90</v>
      </c>
      <c r="G1011" s="2">
        <v>90</v>
      </c>
      <c r="H1011" s="16">
        <f t="shared" si="15"/>
        <v>45750</v>
      </c>
      <c r="J1011" s="2"/>
    </row>
    <row r="1012" spans="1:10" x14ac:dyDescent="0.25">
      <c r="A1012" s="8" t="s">
        <v>944</v>
      </c>
      <c r="B1012" s="8" t="s">
        <v>918</v>
      </c>
      <c r="C1012" s="8" t="s">
        <v>33</v>
      </c>
      <c r="D1012" s="10">
        <v>45662</v>
      </c>
      <c r="E1012" s="9">
        <v>127271</v>
      </c>
      <c r="F1012" s="2" t="str">
        <f>INDEX(Vendors!E:E,MATCH(Vendor_Analysis!C1012,Vendors!A:A,0))</f>
        <v xml:space="preserve">30 </v>
      </c>
      <c r="G1012" s="2">
        <v>30</v>
      </c>
      <c r="H1012" s="16">
        <f t="shared" si="15"/>
        <v>45692</v>
      </c>
      <c r="J1012" s="2"/>
    </row>
    <row r="1013" spans="1:10" x14ac:dyDescent="0.25">
      <c r="A1013" s="8" t="s">
        <v>945</v>
      </c>
      <c r="B1013" s="8" t="s">
        <v>918</v>
      </c>
      <c r="C1013" s="8" t="s">
        <v>35</v>
      </c>
      <c r="D1013" s="10">
        <v>45686</v>
      </c>
      <c r="E1013" s="9">
        <v>103588</v>
      </c>
      <c r="F1013" s="2" t="str">
        <f>INDEX(Vendors!E:E,MATCH(Vendor_Analysis!C1013,Vendors!A:A,0))</f>
        <v xml:space="preserve">60 </v>
      </c>
      <c r="G1013" s="2">
        <v>60</v>
      </c>
      <c r="H1013" s="16">
        <f t="shared" si="15"/>
        <v>45746</v>
      </c>
      <c r="J1013" s="2"/>
    </row>
    <row r="1014" spans="1:10" x14ac:dyDescent="0.25">
      <c r="A1014" s="8" t="s">
        <v>946</v>
      </c>
      <c r="B1014" s="8" t="s">
        <v>918</v>
      </c>
      <c r="C1014" s="8" t="s">
        <v>44</v>
      </c>
      <c r="D1014" s="10">
        <v>45688</v>
      </c>
      <c r="E1014" s="9">
        <v>149828</v>
      </c>
      <c r="F1014" s="2" t="str">
        <f>INDEX(Vendors!E:E,MATCH(Vendor_Analysis!C1014,Vendors!A:A,0))</f>
        <v xml:space="preserve">45 </v>
      </c>
      <c r="G1014" s="2">
        <v>45</v>
      </c>
      <c r="H1014" s="16">
        <f t="shared" si="15"/>
        <v>45733</v>
      </c>
      <c r="J1014" s="2"/>
    </row>
    <row r="1015" spans="1:10" x14ac:dyDescent="0.25">
      <c r="A1015" s="8" t="s">
        <v>947</v>
      </c>
      <c r="B1015" s="8" t="s">
        <v>918</v>
      </c>
      <c r="C1015" s="8" t="s">
        <v>27</v>
      </c>
      <c r="D1015" s="10">
        <v>45690</v>
      </c>
      <c r="E1015" s="9">
        <v>145617</v>
      </c>
      <c r="F1015" s="2" t="str">
        <f>INDEX(Vendors!E:E,MATCH(Vendor_Analysis!C1015,Vendors!A:A,0))</f>
        <v xml:space="preserve">45 </v>
      </c>
      <c r="G1015" s="2">
        <v>45</v>
      </c>
      <c r="H1015" s="16">
        <f t="shared" si="15"/>
        <v>45735</v>
      </c>
      <c r="J1015" s="2"/>
    </row>
    <row r="1016" spans="1:10" x14ac:dyDescent="0.25">
      <c r="A1016" s="8" t="s">
        <v>948</v>
      </c>
      <c r="B1016" s="8" t="s">
        <v>918</v>
      </c>
      <c r="C1016" s="8" t="s">
        <v>14</v>
      </c>
      <c r="D1016" s="10">
        <v>45720</v>
      </c>
      <c r="E1016" s="9">
        <v>208920</v>
      </c>
      <c r="F1016" s="2" t="str">
        <f>INDEX(Vendors!E:E,MATCH(Vendor_Analysis!C1016,Vendors!A:A,0))</f>
        <v xml:space="preserve"> 90</v>
      </c>
      <c r="G1016" s="2">
        <v>90</v>
      </c>
      <c r="H1016" s="16">
        <f t="shared" si="15"/>
        <v>45810</v>
      </c>
      <c r="J1016" s="2"/>
    </row>
    <row r="1017" spans="1:10" x14ac:dyDescent="0.25">
      <c r="A1017" s="8" t="s">
        <v>949</v>
      </c>
      <c r="B1017" s="8" t="s">
        <v>918</v>
      </c>
      <c r="C1017" s="8" t="s">
        <v>10</v>
      </c>
      <c r="D1017" s="10">
        <v>45725</v>
      </c>
      <c r="E1017" s="9">
        <v>130132</v>
      </c>
      <c r="F1017" s="2" t="str">
        <f>INDEX(Vendors!E:E,MATCH(Vendor_Analysis!C1017,Vendors!A:A,0))</f>
        <v xml:space="preserve">60 </v>
      </c>
      <c r="G1017" s="2">
        <v>60</v>
      </c>
      <c r="H1017" s="16">
        <f t="shared" si="15"/>
        <v>45785</v>
      </c>
      <c r="J1017" s="2"/>
    </row>
    <row r="1018" spans="1:10" x14ac:dyDescent="0.25">
      <c r="A1018" s="8" t="s">
        <v>950</v>
      </c>
      <c r="B1018" s="8" t="s">
        <v>918</v>
      </c>
      <c r="C1018" s="8" t="s">
        <v>14</v>
      </c>
      <c r="D1018" s="10">
        <v>45736</v>
      </c>
      <c r="E1018" s="9">
        <v>235006</v>
      </c>
      <c r="F1018" s="2" t="str">
        <f>INDEX(Vendors!E:E,MATCH(Vendor_Analysis!C1018,Vendors!A:A,0))</f>
        <v xml:space="preserve"> 90</v>
      </c>
      <c r="G1018" s="2">
        <v>90</v>
      </c>
      <c r="H1018" s="16">
        <f t="shared" si="15"/>
        <v>45826</v>
      </c>
      <c r="J1018" s="2"/>
    </row>
    <row r="1019" spans="1:10" x14ac:dyDescent="0.25">
      <c r="A1019" s="8" t="s">
        <v>951</v>
      </c>
      <c r="B1019" s="8" t="s">
        <v>918</v>
      </c>
      <c r="C1019" s="8" t="s">
        <v>8</v>
      </c>
      <c r="D1019" s="10">
        <v>45739</v>
      </c>
      <c r="E1019" s="9">
        <v>230909</v>
      </c>
      <c r="F1019" s="2" t="str">
        <f>INDEX(Vendors!E:E,MATCH(Vendor_Analysis!C1019,Vendors!A:A,0))</f>
        <v xml:space="preserve">60 </v>
      </c>
      <c r="G1019" s="2">
        <v>60</v>
      </c>
      <c r="H1019" s="16">
        <f t="shared" si="15"/>
        <v>45799</v>
      </c>
      <c r="J1019" s="2"/>
    </row>
    <row r="1020" spans="1:10" x14ac:dyDescent="0.25">
      <c r="A1020" s="8" t="s">
        <v>952</v>
      </c>
      <c r="B1020" s="8" t="s">
        <v>918</v>
      </c>
      <c r="C1020" s="8" t="s">
        <v>27</v>
      </c>
      <c r="D1020" s="10">
        <v>45752</v>
      </c>
      <c r="E1020" s="9">
        <v>89344</v>
      </c>
      <c r="F1020" s="2" t="str">
        <f>INDEX(Vendors!E:E,MATCH(Vendor_Analysis!C1020,Vendors!A:A,0))</f>
        <v xml:space="preserve">45 </v>
      </c>
      <c r="G1020" s="2">
        <v>45</v>
      </c>
      <c r="H1020" s="16">
        <f t="shared" si="15"/>
        <v>45797</v>
      </c>
      <c r="J1020" s="2"/>
    </row>
    <row r="1021" spans="1:10" x14ac:dyDescent="0.25">
      <c r="A1021" s="8" t="s">
        <v>953</v>
      </c>
      <c r="B1021" s="8" t="s">
        <v>918</v>
      </c>
      <c r="C1021" s="8" t="s">
        <v>29</v>
      </c>
      <c r="D1021" s="10">
        <v>45759</v>
      </c>
      <c r="E1021" s="9">
        <v>174576</v>
      </c>
      <c r="F1021" s="2" t="str">
        <f>INDEX(Vendors!E:E,MATCH(Vendor_Analysis!C1021,Vendors!A:A,0))</f>
        <v xml:space="preserve">30 </v>
      </c>
      <c r="G1021" s="2">
        <v>30</v>
      </c>
      <c r="H1021" s="16">
        <f t="shared" si="15"/>
        <v>45789</v>
      </c>
      <c r="J1021" s="2"/>
    </row>
    <row r="1022" spans="1:10" x14ac:dyDescent="0.25">
      <c r="A1022" s="8" t="s">
        <v>954</v>
      </c>
      <c r="B1022" s="8" t="s">
        <v>918</v>
      </c>
      <c r="C1022" s="8" t="s">
        <v>55</v>
      </c>
      <c r="D1022" s="10">
        <v>45763</v>
      </c>
      <c r="E1022" s="9">
        <v>365776</v>
      </c>
      <c r="F1022" s="2" t="str">
        <f>INDEX(Vendors!E:E,MATCH(Vendor_Analysis!C1022,Vendors!A:A,0))</f>
        <v xml:space="preserve">30 </v>
      </c>
      <c r="G1022" s="2">
        <v>30</v>
      </c>
      <c r="H1022" s="16">
        <f t="shared" si="15"/>
        <v>45793</v>
      </c>
      <c r="J1022" s="2"/>
    </row>
    <row r="1023" spans="1:10" x14ac:dyDescent="0.25">
      <c r="A1023" s="8" t="s">
        <v>955</v>
      </c>
      <c r="B1023" s="8" t="s">
        <v>918</v>
      </c>
      <c r="C1023" s="8" t="s">
        <v>110</v>
      </c>
      <c r="D1023" s="10">
        <v>45764</v>
      </c>
      <c r="E1023" s="9">
        <v>149451</v>
      </c>
      <c r="F1023" s="2" t="str">
        <f>INDEX(Vendors!E:E,MATCH(Vendor_Analysis!C1023,Vendors!A:A,0))</f>
        <v xml:space="preserve">30 </v>
      </c>
      <c r="G1023" s="2">
        <v>30</v>
      </c>
      <c r="H1023" s="16">
        <f t="shared" si="15"/>
        <v>45794</v>
      </c>
      <c r="J1023" s="2"/>
    </row>
    <row r="1024" spans="1:10" x14ac:dyDescent="0.25">
      <c r="A1024" s="8" t="s">
        <v>956</v>
      </c>
      <c r="B1024" s="8" t="s">
        <v>918</v>
      </c>
      <c r="C1024" s="8" t="s">
        <v>108</v>
      </c>
      <c r="D1024" s="10">
        <v>45768</v>
      </c>
      <c r="E1024" s="9">
        <v>247457</v>
      </c>
      <c r="F1024" s="2" t="str">
        <f>INDEX(Vendors!E:E,MATCH(Vendor_Analysis!C1024,Vendors!A:A,0))</f>
        <v xml:space="preserve"> 90</v>
      </c>
      <c r="G1024" s="2">
        <v>90</v>
      </c>
      <c r="H1024" s="16">
        <f t="shared" si="15"/>
        <v>45858</v>
      </c>
      <c r="J1024" s="2"/>
    </row>
    <row r="1025" spans="1:10" x14ac:dyDescent="0.25">
      <c r="A1025" s="8" t="s">
        <v>957</v>
      </c>
      <c r="B1025" s="8" t="s">
        <v>918</v>
      </c>
      <c r="C1025" s="8" t="s">
        <v>21</v>
      </c>
      <c r="D1025" s="10">
        <v>45786</v>
      </c>
      <c r="E1025" s="9">
        <v>233778</v>
      </c>
      <c r="F1025" s="2" t="str">
        <f>INDEX(Vendors!E:E,MATCH(Vendor_Analysis!C1025,Vendors!A:A,0))</f>
        <v xml:space="preserve"> 90</v>
      </c>
      <c r="G1025" s="2">
        <v>90</v>
      </c>
      <c r="H1025" s="16">
        <f t="shared" si="15"/>
        <v>45876</v>
      </c>
      <c r="J1025" s="2"/>
    </row>
    <row r="1026" spans="1:10" x14ac:dyDescent="0.25">
      <c r="A1026" s="8" t="s">
        <v>958</v>
      </c>
      <c r="B1026" s="8" t="s">
        <v>918</v>
      </c>
      <c r="C1026" s="8" t="s">
        <v>55</v>
      </c>
      <c r="D1026" s="10">
        <v>45790</v>
      </c>
      <c r="E1026" s="9">
        <v>92659</v>
      </c>
      <c r="F1026" s="2" t="str">
        <f>INDEX(Vendors!E:E,MATCH(Vendor_Analysis!C1026,Vendors!A:A,0))</f>
        <v xml:space="preserve">30 </v>
      </c>
      <c r="G1026" s="2">
        <v>30</v>
      </c>
      <c r="H1026" s="16">
        <f t="shared" si="15"/>
        <v>45820</v>
      </c>
      <c r="J1026" s="2"/>
    </row>
    <row r="1027" spans="1:10" x14ac:dyDescent="0.25">
      <c r="A1027" s="8" t="s">
        <v>959</v>
      </c>
      <c r="B1027" s="8" t="s">
        <v>918</v>
      </c>
      <c r="C1027" s="8" t="s">
        <v>14</v>
      </c>
      <c r="D1027" s="10">
        <v>45798</v>
      </c>
      <c r="E1027" s="9">
        <v>189317</v>
      </c>
      <c r="F1027" s="2" t="str">
        <f>INDEX(Vendors!E:E,MATCH(Vendor_Analysis!C1027,Vendors!A:A,0))</f>
        <v xml:space="preserve"> 90</v>
      </c>
      <c r="G1027" s="2">
        <v>90</v>
      </c>
      <c r="H1027" s="16">
        <f t="shared" ref="H1027:H1090" si="16">D1027+F1027</f>
        <v>45888</v>
      </c>
      <c r="J1027" s="2"/>
    </row>
    <row r="1028" spans="1:10" x14ac:dyDescent="0.25">
      <c r="A1028" s="8" t="s">
        <v>960</v>
      </c>
      <c r="B1028" s="8" t="s">
        <v>918</v>
      </c>
      <c r="C1028" s="8" t="s">
        <v>108</v>
      </c>
      <c r="D1028" s="10">
        <v>45808</v>
      </c>
      <c r="E1028" s="9">
        <v>143644</v>
      </c>
      <c r="F1028" s="2" t="str">
        <f>INDEX(Vendors!E:E,MATCH(Vendor_Analysis!C1028,Vendors!A:A,0))</f>
        <v xml:space="preserve"> 90</v>
      </c>
      <c r="G1028" s="2">
        <v>90</v>
      </c>
      <c r="H1028" s="16">
        <f t="shared" si="16"/>
        <v>45898</v>
      </c>
      <c r="J1028" s="2"/>
    </row>
    <row r="1029" spans="1:10" x14ac:dyDescent="0.25">
      <c r="A1029" s="8" t="s">
        <v>961</v>
      </c>
      <c r="B1029" s="8" t="s">
        <v>918</v>
      </c>
      <c r="C1029" s="8" t="s">
        <v>33</v>
      </c>
      <c r="D1029" s="10">
        <v>45817</v>
      </c>
      <c r="E1029" s="9">
        <v>138513</v>
      </c>
      <c r="F1029" s="2" t="str">
        <f>INDEX(Vendors!E:E,MATCH(Vendor_Analysis!C1029,Vendors!A:A,0))</f>
        <v xml:space="preserve">30 </v>
      </c>
      <c r="G1029" s="2">
        <v>30</v>
      </c>
      <c r="H1029" s="16">
        <f t="shared" si="16"/>
        <v>45847</v>
      </c>
      <c r="J1029" s="2"/>
    </row>
    <row r="1030" spans="1:10" x14ac:dyDescent="0.25">
      <c r="A1030" s="8" t="s">
        <v>962</v>
      </c>
      <c r="B1030" s="8" t="s">
        <v>918</v>
      </c>
      <c r="C1030" s="8" t="s">
        <v>50</v>
      </c>
      <c r="D1030" s="10">
        <v>45834</v>
      </c>
      <c r="E1030" s="9">
        <v>228572</v>
      </c>
      <c r="F1030" s="2" t="str">
        <f>INDEX(Vendors!E:E,MATCH(Vendor_Analysis!C1030,Vendors!A:A,0))</f>
        <v xml:space="preserve"> 90</v>
      </c>
      <c r="G1030" s="2">
        <v>90</v>
      </c>
      <c r="H1030" s="16">
        <f t="shared" si="16"/>
        <v>45924</v>
      </c>
      <c r="J1030" s="2"/>
    </row>
    <row r="1031" spans="1:10" x14ac:dyDescent="0.25">
      <c r="A1031" s="8" t="s">
        <v>963</v>
      </c>
      <c r="B1031" s="8" t="s">
        <v>964</v>
      </c>
      <c r="C1031" s="8" t="s">
        <v>73</v>
      </c>
      <c r="D1031" s="10">
        <v>45154</v>
      </c>
      <c r="E1031" s="9">
        <v>12591</v>
      </c>
      <c r="F1031" s="2" t="str">
        <f>INDEX(Vendors!E:E,MATCH(Vendor_Analysis!C1031,Vendors!A:A,0))</f>
        <v xml:space="preserve">60 </v>
      </c>
      <c r="G1031" s="2">
        <v>60</v>
      </c>
      <c r="H1031" s="16">
        <f t="shared" si="16"/>
        <v>45214</v>
      </c>
      <c r="J1031" s="2"/>
    </row>
    <row r="1032" spans="1:10" x14ac:dyDescent="0.25">
      <c r="A1032" s="8" t="s">
        <v>965</v>
      </c>
      <c r="B1032" s="8" t="s">
        <v>964</v>
      </c>
      <c r="C1032" s="8" t="s">
        <v>23</v>
      </c>
      <c r="D1032" s="10">
        <v>45155</v>
      </c>
      <c r="E1032" s="9">
        <v>13707</v>
      </c>
      <c r="F1032" s="2" t="str">
        <f>INDEX(Vendors!E:E,MATCH(Vendor_Analysis!C1032,Vendors!A:A,0))</f>
        <v xml:space="preserve"> 90</v>
      </c>
      <c r="G1032" s="2">
        <v>90</v>
      </c>
      <c r="H1032" s="16">
        <f t="shared" si="16"/>
        <v>45245</v>
      </c>
      <c r="J1032" s="2"/>
    </row>
    <row r="1033" spans="1:10" x14ac:dyDescent="0.25">
      <c r="A1033" s="8" t="s">
        <v>966</v>
      </c>
      <c r="B1033" s="8" t="s">
        <v>964</v>
      </c>
      <c r="C1033" s="8" t="s">
        <v>55</v>
      </c>
      <c r="D1033" s="10">
        <v>45185</v>
      </c>
      <c r="E1033" s="9">
        <v>16170</v>
      </c>
      <c r="F1033" s="2" t="str">
        <f>INDEX(Vendors!E:E,MATCH(Vendor_Analysis!C1033,Vendors!A:A,0))</f>
        <v xml:space="preserve">30 </v>
      </c>
      <c r="G1033" s="2">
        <v>30</v>
      </c>
      <c r="H1033" s="16">
        <f t="shared" si="16"/>
        <v>45215</v>
      </c>
      <c r="J1033" s="2"/>
    </row>
    <row r="1034" spans="1:10" x14ac:dyDescent="0.25">
      <c r="A1034" s="8" t="s">
        <v>967</v>
      </c>
      <c r="B1034" s="8" t="s">
        <v>964</v>
      </c>
      <c r="C1034" s="8" t="s">
        <v>17</v>
      </c>
      <c r="D1034" s="10">
        <v>45187</v>
      </c>
      <c r="E1034" s="9">
        <v>12034</v>
      </c>
      <c r="F1034" s="2" t="str">
        <f>INDEX(Vendors!E:E,MATCH(Vendor_Analysis!C1034,Vendors!A:A,0))</f>
        <v xml:space="preserve">45 </v>
      </c>
      <c r="G1034" s="2">
        <v>45</v>
      </c>
      <c r="H1034" s="16">
        <f t="shared" si="16"/>
        <v>45232</v>
      </c>
      <c r="J1034" s="2"/>
    </row>
    <row r="1035" spans="1:10" x14ac:dyDescent="0.25">
      <c r="A1035" s="8" t="s">
        <v>968</v>
      </c>
      <c r="B1035" s="8" t="s">
        <v>964</v>
      </c>
      <c r="C1035" s="8" t="s">
        <v>33</v>
      </c>
      <c r="D1035" s="10">
        <v>45199</v>
      </c>
      <c r="E1035" s="9">
        <v>16339</v>
      </c>
      <c r="F1035" s="2" t="str">
        <f>INDEX(Vendors!E:E,MATCH(Vendor_Analysis!C1035,Vendors!A:A,0))</f>
        <v xml:space="preserve">30 </v>
      </c>
      <c r="G1035" s="2">
        <v>30</v>
      </c>
      <c r="H1035" s="16">
        <f t="shared" si="16"/>
        <v>45229</v>
      </c>
      <c r="J1035" s="2"/>
    </row>
    <row r="1036" spans="1:10" x14ac:dyDescent="0.25">
      <c r="A1036" s="8" t="s">
        <v>969</v>
      </c>
      <c r="B1036" s="8" t="s">
        <v>964</v>
      </c>
      <c r="C1036" s="8" t="s">
        <v>44</v>
      </c>
      <c r="D1036" s="10">
        <v>45213</v>
      </c>
      <c r="E1036" s="9">
        <v>14629</v>
      </c>
      <c r="F1036" s="2" t="str">
        <f>INDEX(Vendors!E:E,MATCH(Vendor_Analysis!C1036,Vendors!A:A,0))</f>
        <v xml:space="preserve">45 </v>
      </c>
      <c r="G1036" s="2">
        <v>45</v>
      </c>
      <c r="H1036" s="16">
        <f t="shared" si="16"/>
        <v>45258</v>
      </c>
      <c r="J1036" s="2"/>
    </row>
    <row r="1037" spans="1:10" x14ac:dyDescent="0.25">
      <c r="A1037" s="8" t="s">
        <v>970</v>
      </c>
      <c r="B1037" s="8" t="s">
        <v>964</v>
      </c>
      <c r="C1037" s="8" t="s">
        <v>23</v>
      </c>
      <c r="D1037" s="10">
        <v>45233</v>
      </c>
      <c r="E1037" s="9">
        <v>8132</v>
      </c>
      <c r="F1037" s="2" t="str">
        <f>INDEX(Vendors!E:E,MATCH(Vendor_Analysis!C1037,Vendors!A:A,0))</f>
        <v xml:space="preserve"> 90</v>
      </c>
      <c r="G1037" s="2">
        <v>90</v>
      </c>
      <c r="H1037" s="16">
        <f t="shared" si="16"/>
        <v>45323</v>
      </c>
      <c r="J1037" s="2"/>
    </row>
    <row r="1038" spans="1:10" x14ac:dyDescent="0.25">
      <c r="A1038" s="8" t="s">
        <v>971</v>
      </c>
      <c r="B1038" s="8" t="s">
        <v>964</v>
      </c>
      <c r="C1038" s="8" t="s">
        <v>25</v>
      </c>
      <c r="D1038" s="10">
        <v>45259</v>
      </c>
      <c r="E1038" s="9">
        <v>6933</v>
      </c>
      <c r="F1038" s="2" t="str">
        <f>INDEX(Vendors!E:E,MATCH(Vendor_Analysis!C1038,Vendors!A:A,0))</f>
        <v xml:space="preserve">30 </v>
      </c>
      <c r="G1038" s="2">
        <v>30</v>
      </c>
      <c r="H1038" s="16">
        <f t="shared" si="16"/>
        <v>45289</v>
      </c>
      <c r="J1038" s="2"/>
    </row>
    <row r="1039" spans="1:10" x14ac:dyDescent="0.25">
      <c r="A1039" s="8" t="s">
        <v>972</v>
      </c>
      <c r="B1039" s="8" t="s">
        <v>964</v>
      </c>
      <c r="C1039" s="8" t="s">
        <v>50</v>
      </c>
      <c r="D1039" s="10">
        <v>45276</v>
      </c>
      <c r="E1039" s="9">
        <v>10062</v>
      </c>
      <c r="F1039" s="2" t="str">
        <f>INDEX(Vendors!E:E,MATCH(Vendor_Analysis!C1039,Vendors!A:A,0))</f>
        <v xml:space="preserve"> 90</v>
      </c>
      <c r="G1039" s="2">
        <v>90</v>
      </c>
      <c r="H1039" s="16">
        <f t="shared" si="16"/>
        <v>45366</v>
      </c>
      <c r="J1039" s="2"/>
    </row>
    <row r="1040" spans="1:10" x14ac:dyDescent="0.25">
      <c r="A1040" s="8" t="s">
        <v>973</v>
      </c>
      <c r="B1040" s="8" t="s">
        <v>964</v>
      </c>
      <c r="C1040" s="8" t="s">
        <v>6</v>
      </c>
      <c r="D1040" s="10">
        <v>45318</v>
      </c>
      <c r="E1040" s="9">
        <v>15098</v>
      </c>
      <c r="F1040" s="2" t="str">
        <f>INDEX(Vendors!E:E,MATCH(Vendor_Analysis!C1040,Vendors!A:A,0))</f>
        <v xml:space="preserve">60 </v>
      </c>
      <c r="G1040" s="2">
        <v>60</v>
      </c>
      <c r="H1040" s="16">
        <f t="shared" si="16"/>
        <v>45378</v>
      </c>
      <c r="J1040" s="2"/>
    </row>
    <row r="1041" spans="1:10" x14ac:dyDescent="0.25">
      <c r="A1041" s="8" t="s">
        <v>974</v>
      </c>
      <c r="B1041" s="8" t="s">
        <v>964</v>
      </c>
      <c r="C1041" s="8" t="s">
        <v>50</v>
      </c>
      <c r="D1041" s="10">
        <v>45327</v>
      </c>
      <c r="E1041" s="9">
        <v>12314</v>
      </c>
      <c r="F1041" s="2" t="str">
        <f>INDEX(Vendors!E:E,MATCH(Vendor_Analysis!C1041,Vendors!A:A,0))</f>
        <v xml:space="preserve"> 90</v>
      </c>
      <c r="G1041" s="2">
        <v>90</v>
      </c>
      <c r="H1041" s="16">
        <f t="shared" si="16"/>
        <v>45417</v>
      </c>
      <c r="J1041" s="2"/>
    </row>
    <row r="1042" spans="1:10" x14ac:dyDescent="0.25">
      <c r="A1042" s="8" t="s">
        <v>975</v>
      </c>
      <c r="B1042" s="8" t="s">
        <v>964</v>
      </c>
      <c r="C1042" s="8" t="s">
        <v>12</v>
      </c>
      <c r="D1042" s="10">
        <v>45333</v>
      </c>
      <c r="E1042" s="9">
        <v>18618</v>
      </c>
      <c r="F1042" s="2" t="str">
        <f>INDEX(Vendors!E:E,MATCH(Vendor_Analysis!C1042,Vendors!A:A,0))</f>
        <v xml:space="preserve">30 </v>
      </c>
      <c r="G1042" s="2">
        <v>30</v>
      </c>
      <c r="H1042" s="16">
        <f t="shared" si="16"/>
        <v>45363</v>
      </c>
      <c r="J1042" s="2"/>
    </row>
    <row r="1043" spans="1:10" x14ac:dyDescent="0.25">
      <c r="A1043" s="8" t="s">
        <v>976</v>
      </c>
      <c r="B1043" s="8" t="s">
        <v>964</v>
      </c>
      <c r="C1043" s="8" t="s">
        <v>110</v>
      </c>
      <c r="D1043" s="10">
        <v>45334</v>
      </c>
      <c r="E1043" s="9">
        <v>12192</v>
      </c>
      <c r="F1043" s="2" t="str">
        <f>INDEX(Vendors!E:E,MATCH(Vendor_Analysis!C1043,Vendors!A:A,0))</f>
        <v xml:space="preserve">30 </v>
      </c>
      <c r="G1043" s="2">
        <v>30</v>
      </c>
      <c r="H1043" s="16">
        <f t="shared" si="16"/>
        <v>45364</v>
      </c>
      <c r="J1043" s="2"/>
    </row>
    <row r="1044" spans="1:10" x14ac:dyDescent="0.25">
      <c r="A1044" s="8" t="s">
        <v>977</v>
      </c>
      <c r="B1044" s="8" t="s">
        <v>964</v>
      </c>
      <c r="C1044" s="8" t="s">
        <v>17</v>
      </c>
      <c r="D1044" s="10">
        <v>45339</v>
      </c>
      <c r="E1044" s="9">
        <v>38418</v>
      </c>
      <c r="F1044" s="2" t="str">
        <f>INDEX(Vendors!E:E,MATCH(Vendor_Analysis!C1044,Vendors!A:A,0))</f>
        <v xml:space="preserve">45 </v>
      </c>
      <c r="G1044" s="2">
        <v>45</v>
      </c>
      <c r="H1044" s="16">
        <f t="shared" si="16"/>
        <v>45384</v>
      </c>
      <c r="J1044" s="2"/>
    </row>
    <row r="1045" spans="1:10" x14ac:dyDescent="0.25">
      <c r="A1045" s="8" t="s">
        <v>978</v>
      </c>
      <c r="B1045" s="8" t="s">
        <v>964</v>
      </c>
      <c r="C1045" s="8" t="s">
        <v>33</v>
      </c>
      <c r="D1045" s="10">
        <v>45348</v>
      </c>
      <c r="E1045" s="9">
        <v>11808</v>
      </c>
      <c r="F1045" s="2" t="str">
        <f>INDEX(Vendors!E:E,MATCH(Vendor_Analysis!C1045,Vendors!A:A,0))</f>
        <v xml:space="preserve">30 </v>
      </c>
      <c r="G1045" s="2">
        <v>30</v>
      </c>
      <c r="H1045" s="16">
        <f t="shared" si="16"/>
        <v>45378</v>
      </c>
      <c r="J1045" s="2"/>
    </row>
    <row r="1046" spans="1:10" x14ac:dyDescent="0.25">
      <c r="A1046" s="8" t="s">
        <v>979</v>
      </c>
      <c r="B1046" s="8" t="s">
        <v>964</v>
      </c>
      <c r="C1046" s="8" t="s">
        <v>37</v>
      </c>
      <c r="D1046" s="10">
        <v>45352</v>
      </c>
      <c r="E1046" s="9">
        <v>9685</v>
      </c>
      <c r="F1046" s="2" t="str">
        <f>INDEX(Vendors!E:E,MATCH(Vendor_Analysis!C1046,Vendors!A:A,0))</f>
        <v xml:space="preserve">30 </v>
      </c>
      <c r="G1046" s="2">
        <v>30</v>
      </c>
      <c r="H1046" s="16">
        <f t="shared" si="16"/>
        <v>45382</v>
      </c>
      <c r="J1046" s="2"/>
    </row>
    <row r="1047" spans="1:10" x14ac:dyDescent="0.25">
      <c r="A1047" s="8" t="s">
        <v>980</v>
      </c>
      <c r="B1047" s="8" t="s">
        <v>964</v>
      </c>
      <c r="C1047" s="8" t="s">
        <v>10</v>
      </c>
      <c r="D1047" s="10">
        <v>45365</v>
      </c>
      <c r="E1047" s="9">
        <v>9739</v>
      </c>
      <c r="F1047" s="2" t="str">
        <f>INDEX(Vendors!E:E,MATCH(Vendor_Analysis!C1047,Vendors!A:A,0))</f>
        <v xml:space="preserve">60 </v>
      </c>
      <c r="G1047" s="2">
        <v>60</v>
      </c>
      <c r="H1047" s="16">
        <f t="shared" si="16"/>
        <v>45425</v>
      </c>
      <c r="J1047" s="2"/>
    </row>
    <row r="1048" spans="1:10" x14ac:dyDescent="0.25">
      <c r="A1048" s="8" t="s">
        <v>981</v>
      </c>
      <c r="B1048" s="8" t="s">
        <v>964</v>
      </c>
      <c r="C1048" s="8" t="s">
        <v>10</v>
      </c>
      <c r="D1048" s="10">
        <v>45369</v>
      </c>
      <c r="E1048" s="9">
        <v>16938</v>
      </c>
      <c r="F1048" s="2" t="str">
        <f>INDEX(Vendors!E:E,MATCH(Vendor_Analysis!C1048,Vendors!A:A,0))</f>
        <v xml:space="preserve">60 </v>
      </c>
      <c r="G1048" s="2">
        <v>60</v>
      </c>
      <c r="H1048" s="16">
        <f t="shared" si="16"/>
        <v>45429</v>
      </c>
      <c r="J1048" s="2"/>
    </row>
    <row r="1049" spans="1:10" x14ac:dyDescent="0.25">
      <c r="A1049" s="8" t="s">
        <v>982</v>
      </c>
      <c r="B1049" s="8" t="s">
        <v>964</v>
      </c>
      <c r="C1049" s="8" t="s">
        <v>55</v>
      </c>
      <c r="D1049" s="10">
        <v>45384</v>
      </c>
      <c r="E1049" s="9">
        <v>7483</v>
      </c>
      <c r="F1049" s="2" t="str">
        <f>INDEX(Vendors!E:E,MATCH(Vendor_Analysis!C1049,Vendors!A:A,0))</f>
        <v xml:space="preserve">30 </v>
      </c>
      <c r="G1049" s="2">
        <v>30</v>
      </c>
      <c r="H1049" s="16">
        <f t="shared" si="16"/>
        <v>45414</v>
      </c>
      <c r="J1049" s="2"/>
    </row>
    <row r="1050" spans="1:10" x14ac:dyDescent="0.25">
      <c r="A1050" s="8" t="s">
        <v>983</v>
      </c>
      <c r="B1050" s="8" t="s">
        <v>964</v>
      </c>
      <c r="C1050" s="8" t="s">
        <v>29</v>
      </c>
      <c r="D1050" s="10">
        <v>45390</v>
      </c>
      <c r="E1050" s="9">
        <v>11074</v>
      </c>
      <c r="F1050" s="2" t="str">
        <f>INDEX(Vendors!E:E,MATCH(Vendor_Analysis!C1050,Vendors!A:A,0))</f>
        <v xml:space="preserve">30 </v>
      </c>
      <c r="G1050" s="2">
        <v>30</v>
      </c>
      <c r="H1050" s="16">
        <f t="shared" si="16"/>
        <v>45420</v>
      </c>
      <c r="J1050" s="2"/>
    </row>
    <row r="1051" spans="1:10" x14ac:dyDescent="0.25">
      <c r="A1051" s="8" t="s">
        <v>984</v>
      </c>
      <c r="B1051" s="8" t="s">
        <v>964</v>
      </c>
      <c r="C1051" s="8" t="s">
        <v>27</v>
      </c>
      <c r="D1051" s="10">
        <v>45400</v>
      </c>
      <c r="E1051" s="9">
        <v>22973</v>
      </c>
      <c r="F1051" s="2" t="str">
        <f>INDEX(Vendors!E:E,MATCH(Vendor_Analysis!C1051,Vendors!A:A,0))</f>
        <v xml:space="preserve">45 </v>
      </c>
      <c r="G1051" s="2">
        <v>45</v>
      </c>
      <c r="H1051" s="16">
        <f t="shared" si="16"/>
        <v>45445</v>
      </c>
      <c r="J1051" s="2"/>
    </row>
    <row r="1052" spans="1:10" x14ac:dyDescent="0.25">
      <c r="A1052" s="8" t="s">
        <v>985</v>
      </c>
      <c r="B1052" s="8" t="s">
        <v>964</v>
      </c>
      <c r="C1052" s="8" t="s">
        <v>23</v>
      </c>
      <c r="D1052" s="10">
        <v>45428</v>
      </c>
      <c r="E1052" s="9">
        <v>18708</v>
      </c>
      <c r="F1052" s="2" t="str">
        <f>INDEX(Vendors!E:E,MATCH(Vendor_Analysis!C1052,Vendors!A:A,0))</f>
        <v xml:space="preserve"> 90</v>
      </c>
      <c r="G1052" s="2">
        <v>90</v>
      </c>
      <c r="H1052" s="16">
        <f t="shared" si="16"/>
        <v>45518</v>
      </c>
      <c r="J1052" s="2"/>
    </row>
    <row r="1053" spans="1:10" x14ac:dyDescent="0.25">
      <c r="A1053" s="8" t="s">
        <v>986</v>
      </c>
      <c r="B1053" s="8" t="s">
        <v>964</v>
      </c>
      <c r="C1053" s="8" t="s">
        <v>17</v>
      </c>
      <c r="D1053" s="10">
        <v>45446</v>
      </c>
      <c r="E1053" s="9">
        <v>18143</v>
      </c>
      <c r="F1053" s="2" t="str">
        <f>INDEX(Vendors!E:E,MATCH(Vendor_Analysis!C1053,Vendors!A:A,0))</f>
        <v xml:space="preserve">45 </v>
      </c>
      <c r="G1053" s="2">
        <v>45</v>
      </c>
      <c r="H1053" s="16">
        <f t="shared" si="16"/>
        <v>45491</v>
      </c>
      <c r="J1053" s="2"/>
    </row>
    <row r="1054" spans="1:10" x14ac:dyDescent="0.25">
      <c r="A1054" s="8" t="s">
        <v>987</v>
      </c>
      <c r="B1054" s="8" t="s">
        <v>964</v>
      </c>
      <c r="C1054" s="8" t="s">
        <v>71</v>
      </c>
      <c r="D1054" s="10">
        <v>45454</v>
      </c>
      <c r="E1054" s="9">
        <v>7622</v>
      </c>
      <c r="F1054" s="2" t="str">
        <f>INDEX(Vendors!E:E,MATCH(Vendor_Analysis!C1054,Vendors!A:A,0))</f>
        <v xml:space="preserve">45 </v>
      </c>
      <c r="G1054" s="2">
        <v>45</v>
      </c>
      <c r="H1054" s="16">
        <f t="shared" si="16"/>
        <v>45499</v>
      </c>
      <c r="J1054" s="2"/>
    </row>
    <row r="1055" spans="1:10" x14ac:dyDescent="0.25">
      <c r="A1055" s="8" t="s">
        <v>988</v>
      </c>
      <c r="B1055" s="8" t="s">
        <v>964</v>
      </c>
      <c r="C1055" s="8" t="s">
        <v>10</v>
      </c>
      <c r="D1055" s="10">
        <v>45466</v>
      </c>
      <c r="E1055" s="9">
        <v>9249</v>
      </c>
      <c r="F1055" s="2" t="str">
        <f>INDEX(Vendors!E:E,MATCH(Vendor_Analysis!C1055,Vendors!A:A,0))</f>
        <v xml:space="preserve">60 </v>
      </c>
      <c r="G1055" s="2">
        <v>60</v>
      </c>
      <c r="H1055" s="16">
        <f t="shared" si="16"/>
        <v>45526</v>
      </c>
      <c r="J1055" s="2"/>
    </row>
    <row r="1056" spans="1:10" x14ac:dyDescent="0.25">
      <c r="A1056" s="8" t="s">
        <v>989</v>
      </c>
      <c r="B1056" s="8" t="s">
        <v>964</v>
      </c>
      <c r="C1056" s="8" t="s">
        <v>35</v>
      </c>
      <c r="D1056" s="10">
        <v>45479</v>
      </c>
      <c r="E1056" s="9">
        <v>16100</v>
      </c>
      <c r="F1056" s="2" t="str">
        <f>INDEX(Vendors!E:E,MATCH(Vendor_Analysis!C1056,Vendors!A:A,0))</f>
        <v xml:space="preserve">60 </v>
      </c>
      <c r="G1056" s="2">
        <v>60</v>
      </c>
      <c r="H1056" s="16">
        <f t="shared" si="16"/>
        <v>45539</v>
      </c>
      <c r="J1056" s="2"/>
    </row>
    <row r="1057" spans="1:10" x14ac:dyDescent="0.25">
      <c r="A1057" s="8" t="s">
        <v>990</v>
      </c>
      <c r="B1057" s="8" t="s">
        <v>964</v>
      </c>
      <c r="C1057" s="8" t="s">
        <v>17</v>
      </c>
      <c r="D1057" s="10">
        <v>45484</v>
      </c>
      <c r="E1057" s="9">
        <v>7976</v>
      </c>
      <c r="F1057" s="2" t="str">
        <f>INDEX(Vendors!E:E,MATCH(Vendor_Analysis!C1057,Vendors!A:A,0))</f>
        <v xml:space="preserve">45 </v>
      </c>
      <c r="G1057" s="2">
        <v>45</v>
      </c>
      <c r="H1057" s="16">
        <f t="shared" si="16"/>
        <v>45529</v>
      </c>
      <c r="J1057" s="2"/>
    </row>
    <row r="1058" spans="1:10" x14ac:dyDescent="0.25">
      <c r="A1058" s="8" t="s">
        <v>991</v>
      </c>
      <c r="B1058" s="8" t="s">
        <v>964</v>
      </c>
      <c r="C1058" s="8" t="s">
        <v>23</v>
      </c>
      <c r="D1058" s="10">
        <v>45499</v>
      </c>
      <c r="E1058" s="9">
        <v>18234</v>
      </c>
      <c r="F1058" s="2" t="str">
        <f>INDEX(Vendors!E:E,MATCH(Vendor_Analysis!C1058,Vendors!A:A,0))</f>
        <v xml:space="preserve"> 90</v>
      </c>
      <c r="G1058" s="2">
        <v>90</v>
      </c>
      <c r="H1058" s="16">
        <f t="shared" si="16"/>
        <v>45589</v>
      </c>
      <c r="J1058" s="2"/>
    </row>
    <row r="1059" spans="1:10" x14ac:dyDescent="0.25">
      <c r="A1059" s="8" t="s">
        <v>992</v>
      </c>
      <c r="B1059" s="8" t="s">
        <v>964</v>
      </c>
      <c r="C1059" s="8" t="s">
        <v>21</v>
      </c>
      <c r="D1059" s="10">
        <v>45518</v>
      </c>
      <c r="E1059" s="9">
        <v>9567</v>
      </c>
      <c r="F1059" s="2" t="str">
        <f>INDEX(Vendors!E:E,MATCH(Vendor_Analysis!C1059,Vendors!A:A,0))</f>
        <v xml:space="preserve"> 90</v>
      </c>
      <c r="G1059" s="2">
        <v>90</v>
      </c>
      <c r="H1059" s="16">
        <f t="shared" si="16"/>
        <v>45608</v>
      </c>
      <c r="J1059" s="2"/>
    </row>
    <row r="1060" spans="1:10" x14ac:dyDescent="0.25">
      <c r="A1060" s="8" t="s">
        <v>993</v>
      </c>
      <c r="B1060" s="8" t="s">
        <v>964</v>
      </c>
      <c r="C1060" s="8" t="s">
        <v>44</v>
      </c>
      <c r="D1060" s="10">
        <v>45525</v>
      </c>
      <c r="E1060" s="9">
        <v>7118</v>
      </c>
      <c r="F1060" s="2" t="str">
        <f>INDEX(Vendors!E:E,MATCH(Vendor_Analysis!C1060,Vendors!A:A,0))</f>
        <v xml:space="preserve">45 </v>
      </c>
      <c r="G1060" s="2">
        <v>45</v>
      </c>
      <c r="H1060" s="16">
        <f t="shared" si="16"/>
        <v>45570</v>
      </c>
      <c r="J1060" s="2"/>
    </row>
    <row r="1061" spans="1:10" x14ac:dyDescent="0.25">
      <c r="A1061" s="8" t="s">
        <v>994</v>
      </c>
      <c r="B1061" s="8" t="s">
        <v>964</v>
      </c>
      <c r="C1061" s="8" t="s">
        <v>25</v>
      </c>
      <c r="D1061" s="10">
        <v>45527</v>
      </c>
      <c r="E1061" s="9">
        <v>9654</v>
      </c>
      <c r="F1061" s="2" t="str">
        <f>INDEX(Vendors!E:E,MATCH(Vendor_Analysis!C1061,Vendors!A:A,0))</f>
        <v xml:space="preserve">30 </v>
      </c>
      <c r="G1061" s="2">
        <v>30</v>
      </c>
      <c r="H1061" s="16">
        <f t="shared" si="16"/>
        <v>45557</v>
      </c>
      <c r="J1061" s="2"/>
    </row>
    <row r="1062" spans="1:10" x14ac:dyDescent="0.25">
      <c r="A1062" s="8" t="s">
        <v>995</v>
      </c>
      <c r="B1062" s="8" t="s">
        <v>964</v>
      </c>
      <c r="C1062" s="8" t="s">
        <v>6</v>
      </c>
      <c r="D1062" s="10">
        <v>45565</v>
      </c>
      <c r="E1062" s="9">
        <v>7636</v>
      </c>
      <c r="F1062" s="2" t="str">
        <f>INDEX(Vendors!E:E,MATCH(Vendor_Analysis!C1062,Vendors!A:A,0))</f>
        <v xml:space="preserve">60 </v>
      </c>
      <c r="G1062" s="2">
        <v>60</v>
      </c>
      <c r="H1062" s="16">
        <f t="shared" si="16"/>
        <v>45625</v>
      </c>
      <c r="J1062" s="2"/>
    </row>
    <row r="1063" spans="1:10" x14ac:dyDescent="0.25">
      <c r="A1063" s="8" t="s">
        <v>996</v>
      </c>
      <c r="B1063" s="8" t="s">
        <v>964</v>
      </c>
      <c r="C1063" s="8" t="s">
        <v>6</v>
      </c>
      <c r="D1063" s="10">
        <v>45565</v>
      </c>
      <c r="E1063" s="9">
        <v>10322</v>
      </c>
      <c r="F1063" s="2" t="str">
        <f>INDEX(Vendors!E:E,MATCH(Vendor_Analysis!C1063,Vendors!A:A,0))</f>
        <v xml:space="preserve">60 </v>
      </c>
      <c r="G1063" s="2">
        <v>60</v>
      </c>
      <c r="H1063" s="16">
        <f t="shared" si="16"/>
        <v>45625</v>
      </c>
      <c r="J1063" s="2"/>
    </row>
    <row r="1064" spans="1:10" x14ac:dyDescent="0.25">
      <c r="A1064" s="8" t="s">
        <v>997</v>
      </c>
      <c r="B1064" s="8" t="s">
        <v>964</v>
      </c>
      <c r="C1064" s="8" t="s">
        <v>91</v>
      </c>
      <c r="D1064" s="10">
        <v>45566</v>
      </c>
      <c r="E1064" s="9">
        <v>8541</v>
      </c>
      <c r="F1064" s="2" t="str">
        <f>INDEX(Vendors!E:E,MATCH(Vendor_Analysis!C1064,Vendors!A:A,0))</f>
        <v xml:space="preserve">60 </v>
      </c>
      <c r="G1064" s="2">
        <v>60</v>
      </c>
      <c r="H1064" s="16">
        <f t="shared" si="16"/>
        <v>45626</v>
      </c>
      <c r="J1064" s="2"/>
    </row>
    <row r="1065" spans="1:10" x14ac:dyDescent="0.25">
      <c r="A1065" s="8" t="s">
        <v>998</v>
      </c>
      <c r="B1065" s="8" t="s">
        <v>964</v>
      </c>
      <c r="C1065" s="8" t="s">
        <v>6</v>
      </c>
      <c r="D1065" s="10">
        <v>45576</v>
      </c>
      <c r="E1065" s="9">
        <v>14060</v>
      </c>
      <c r="F1065" s="2" t="str">
        <f>INDEX(Vendors!E:E,MATCH(Vendor_Analysis!C1065,Vendors!A:A,0))</f>
        <v xml:space="preserve">60 </v>
      </c>
      <c r="G1065" s="2">
        <v>60</v>
      </c>
      <c r="H1065" s="16">
        <f t="shared" si="16"/>
        <v>45636</v>
      </c>
      <c r="J1065" s="2"/>
    </row>
    <row r="1066" spans="1:10" x14ac:dyDescent="0.25">
      <c r="A1066" s="8" t="s">
        <v>999</v>
      </c>
      <c r="B1066" s="8" t="s">
        <v>964</v>
      </c>
      <c r="C1066" s="8" t="s">
        <v>73</v>
      </c>
      <c r="D1066" s="10">
        <v>45599</v>
      </c>
      <c r="E1066" s="9">
        <v>14568</v>
      </c>
      <c r="F1066" s="2" t="str">
        <f>INDEX(Vendors!E:E,MATCH(Vendor_Analysis!C1066,Vendors!A:A,0))</f>
        <v xml:space="preserve">60 </v>
      </c>
      <c r="G1066" s="2">
        <v>60</v>
      </c>
      <c r="H1066" s="16">
        <f t="shared" si="16"/>
        <v>45659</v>
      </c>
      <c r="J1066" s="2"/>
    </row>
    <row r="1067" spans="1:10" x14ac:dyDescent="0.25">
      <c r="A1067" s="8" t="s">
        <v>1000</v>
      </c>
      <c r="B1067" s="8" t="s">
        <v>964</v>
      </c>
      <c r="C1067" s="8" t="s">
        <v>71</v>
      </c>
      <c r="D1067" s="10">
        <v>45610</v>
      </c>
      <c r="E1067" s="9">
        <v>8309</v>
      </c>
      <c r="F1067" s="2" t="str">
        <f>INDEX(Vendors!E:E,MATCH(Vendor_Analysis!C1067,Vendors!A:A,0))</f>
        <v xml:space="preserve">45 </v>
      </c>
      <c r="G1067" s="2">
        <v>45</v>
      </c>
      <c r="H1067" s="16">
        <f t="shared" si="16"/>
        <v>45655</v>
      </c>
      <c r="J1067" s="2"/>
    </row>
    <row r="1068" spans="1:10" x14ac:dyDescent="0.25">
      <c r="A1068" s="8" t="s">
        <v>1001</v>
      </c>
      <c r="B1068" s="8" t="s">
        <v>964</v>
      </c>
      <c r="C1068" s="8" t="s">
        <v>91</v>
      </c>
      <c r="D1068" s="10">
        <v>45613</v>
      </c>
      <c r="E1068" s="9">
        <v>18402</v>
      </c>
      <c r="F1068" s="2" t="str">
        <f>INDEX(Vendors!E:E,MATCH(Vendor_Analysis!C1068,Vendors!A:A,0))</f>
        <v xml:space="preserve">60 </v>
      </c>
      <c r="G1068" s="2">
        <v>60</v>
      </c>
      <c r="H1068" s="16">
        <f t="shared" si="16"/>
        <v>45673</v>
      </c>
      <c r="J1068" s="2"/>
    </row>
    <row r="1069" spans="1:10" x14ac:dyDescent="0.25">
      <c r="A1069" s="8" t="s">
        <v>1002</v>
      </c>
      <c r="B1069" s="8" t="s">
        <v>964</v>
      </c>
      <c r="C1069" s="8" t="s">
        <v>50</v>
      </c>
      <c r="D1069" s="10">
        <v>45616</v>
      </c>
      <c r="E1069" s="9">
        <v>13961</v>
      </c>
      <c r="F1069" s="2" t="str">
        <f>INDEX(Vendors!E:E,MATCH(Vendor_Analysis!C1069,Vendors!A:A,0))</f>
        <v xml:space="preserve"> 90</v>
      </c>
      <c r="G1069" s="2">
        <v>90</v>
      </c>
      <c r="H1069" s="16">
        <f t="shared" si="16"/>
        <v>45706</v>
      </c>
      <c r="J1069" s="2"/>
    </row>
    <row r="1070" spans="1:10" x14ac:dyDescent="0.25">
      <c r="A1070" s="8" t="s">
        <v>1003</v>
      </c>
      <c r="B1070" s="8" t="s">
        <v>964</v>
      </c>
      <c r="C1070" s="8" t="s">
        <v>35</v>
      </c>
      <c r="D1070" s="10">
        <v>45629</v>
      </c>
      <c r="E1070" s="9">
        <v>5976</v>
      </c>
      <c r="F1070" s="2" t="str">
        <f>INDEX(Vendors!E:E,MATCH(Vendor_Analysis!C1070,Vendors!A:A,0))</f>
        <v xml:space="preserve">60 </v>
      </c>
      <c r="G1070" s="2">
        <v>60</v>
      </c>
      <c r="H1070" s="16">
        <f t="shared" si="16"/>
        <v>45689</v>
      </c>
      <c r="J1070" s="2"/>
    </row>
    <row r="1071" spans="1:10" x14ac:dyDescent="0.25">
      <c r="A1071" s="8" t="s">
        <v>1004</v>
      </c>
      <c r="B1071" s="8" t="s">
        <v>964</v>
      </c>
      <c r="C1071" s="8" t="s">
        <v>29</v>
      </c>
      <c r="D1071" s="10">
        <v>45639</v>
      </c>
      <c r="E1071" s="9">
        <v>9469</v>
      </c>
      <c r="F1071" s="2" t="str">
        <f>INDEX(Vendors!E:E,MATCH(Vendor_Analysis!C1071,Vendors!A:A,0))</f>
        <v xml:space="preserve">30 </v>
      </c>
      <c r="G1071" s="2">
        <v>30</v>
      </c>
      <c r="H1071" s="16">
        <f t="shared" si="16"/>
        <v>45669</v>
      </c>
      <c r="J1071" s="2"/>
    </row>
    <row r="1072" spans="1:10" x14ac:dyDescent="0.25">
      <c r="A1072" s="8" t="s">
        <v>1005</v>
      </c>
      <c r="B1072" s="8" t="s">
        <v>964</v>
      </c>
      <c r="C1072" s="8" t="s">
        <v>14</v>
      </c>
      <c r="D1072" s="10">
        <v>45664</v>
      </c>
      <c r="E1072" s="9">
        <v>13843</v>
      </c>
      <c r="F1072" s="2" t="str">
        <f>INDEX(Vendors!E:E,MATCH(Vendor_Analysis!C1072,Vendors!A:A,0))</f>
        <v xml:space="preserve"> 90</v>
      </c>
      <c r="G1072" s="2">
        <v>90</v>
      </c>
      <c r="H1072" s="16">
        <f t="shared" si="16"/>
        <v>45754</v>
      </c>
      <c r="J1072" s="2"/>
    </row>
    <row r="1073" spans="1:10" x14ac:dyDescent="0.25">
      <c r="A1073" s="8" t="s">
        <v>1006</v>
      </c>
      <c r="B1073" s="8" t="s">
        <v>964</v>
      </c>
      <c r="C1073" s="8" t="s">
        <v>19</v>
      </c>
      <c r="D1073" s="10">
        <v>45676</v>
      </c>
      <c r="E1073" s="9">
        <v>15503</v>
      </c>
      <c r="F1073" s="2" t="str">
        <f>INDEX(Vendors!E:E,MATCH(Vendor_Analysis!C1073,Vendors!A:A,0))</f>
        <v xml:space="preserve">45 </v>
      </c>
      <c r="G1073" s="2">
        <v>45</v>
      </c>
      <c r="H1073" s="16">
        <f t="shared" si="16"/>
        <v>45721</v>
      </c>
      <c r="J1073" s="2"/>
    </row>
    <row r="1074" spans="1:10" x14ac:dyDescent="0.25">
      <c r="A1074" s="8" t="s">
        <v>1007</v>
      </c>
      <c r="B1074" s="8" t="s">
        <v>964</v>
      </c>
      <c r="C1074" s="8" t="s">
        <v>108</v>
      </c>
      <c r="D1074" s="10">
        <v>45685</v>
      </c>
      <c r="E1074" s="9">
        <v>9642</v>
      </c>
      <c r="F1074" s="2" t="str">
        <f>INDEX(Vendors!E:E,MATCH(Vendor_Analysis!C1074,Vendors!A:A,0))</f>
        <v xml:space="preserve"> 90</v>
      </c>
      <c r="G1074" s="2">
        <v>90</v>
      </c>
      <c r="H1074" s="16">
        <f t="shared" si="16"/>
        <v>45775</v>
      </c>
      <c r="J1074" s="2"/>
    </row>
    <row r="1075" spans="1:10" x14ac:dyDescent="0.25">
      <c r="A1075" s="8" t="s">
        <v>1008</v>
      </c>
      <c r="B1075" s="8" t="s">
        <v>964</v>
      </c>
      <c r="C1075" s="8" t="s">
        <v>8</v>
      </c>
      <c r="D1075" s="10">
        <v>45689</v>
      </c>
      <c r="E1075" s="9">
        <v>12095</v>
      </c>
      <c r="F1075" s="2" t="str">
        <f>INDEX(Vendors!E:E,MATCH(Vendor_Analysis!C1075,Vendors!A:A,0))</f>
        <v xml:space="preserve">60 </v>
      </c>
      <c r="G1075" s="2">
        <v>60</v>
      </c>
      <c r="H1075" s="16">
        <f t="shared" si="16"/>
        <v>45749</v>
      </c>
      <c r="J1075" s="2"/>
    </row>
    <row r="1076" spans="1:10" x14ac:dyDescent="0.25">
      <c r="A1076" s="8" t="s">
        <v>1009</v>
      </c>
      <c r="B1076" s="8" t="s">
        <v>964</v>
      </c>
      <c r="C1076" s="8" t="s">
        <v>21</v>
      </c>
      <c r="D1076" s="10">
        <v>45694</v>
      </c>
      <c r="E1076" s="9">
        <v>15802</v>
      </c>
      <c r="F1076" s="2" t="str">
        <f>INDEX(Vendors!E:E,MATCH(Vendor_Analysis!C1076,Vendors!A:A,0))</f>
        <v xml:space="preserve"> 90</v>
      </c>
      <c r="G1076" s="2">
        <v>90</v>
      </c>
      <c r="H1076" s="16">
        <f t="shared" si="16"/>
        <v>45784</v>
      </c>
      <c r="J1076" s="2"/>
    </row>
    <row r="1077" spans="1:10" x14ac:dyDescent="0.25">
      <c r="A1077" s="8" t="s">
        <v>1010</v>
      </c>
      <c r="B1077" s="8" t="s">
        <v>964</v>
      </c>
      <c r="C1077" s="8" t="s">
        <v>12</v>
      </c>
      <c r="D1077" s="10">
        <v>45711</v>
      </c>
      <c r="E1077" s="9">
        <v>10546</v>
      </c>
      <c r="F1077" s="2" t="str">
        <f>INDEX(Vendors!E:E,MATCH(Vendor_Analysis!C1077,Vendors!A:A,0))</f>
        <v xml:space="preserve">30 </v>
      </c>
      <c r="G1077" s="2">
        <v>30</v>
      </c>
      <c r="H1077" s="16">
        <f t="shared" si="16"/>
        <v>45741</v>
      </c>
      <c r="J1077" s="2"/>
    </row>
    <row r="1078" spans="1:10" x14ac:dyDescent="0.25">
      <c r="A1078" s="8" t="s">
        <v>1011</v>
      </c>
      <c r="B1078" s="8" t="s">
        <v>964</v>
      </c>
      <c r="C1078" s="8" t="s">
        <v>91</v>
      </c>
      <c r="D1078" s="10">
        <v>45714</v>
      </c>
      <c r="E1078" s="9">
        <v>8022</v>
      </c>
      <c r="F1078" s="2" t="str">
        <f>INDEX(Vendors!E:E,MATCH(Vendor_Analysis!C1078,Vendors!A:A,0))</f>
        <v xml:space="preserve">60 </v>
      </c>
      <c r="G1078" s="2">
        <v>60</v>
      </c>
      <c r="H1078" s="16">
        <f t="shared" si="16"/>
        <v>45774</v>
      </c>
      <c r="J1078" s="2"/>
    </row>
    <row r="1079" spans="1:10" x14ac:dyDescent="0.25">
      <c r="A1079" s="8" t="s">
        <v>1012</v>
      </c>
      <c r="B1079" s="8" t="s">
        <v>964</v>
      </c>
      <c r="C1079" s="8" t="s">
        <v>10</v>
      </c>
      <c r="D1079" s="10">
        <v>45737</v>
      </c>
      <c r="E1079" s="9">
        <v>5902</v>
      </c>
      <c r="F1079" s="2" t="str">
        <f>INDEX(Vendors!E:E,MATCH(Vendor_Analysis!C1079,Vendors!A:A,0))</f>
        <v xml:space="preserve">60 </v>
      </c>
      <c r="G1079" s="2">
        <v>60</v>
      </c>
      <c r="H1079" s="16">
        <f t="shared" si="16"/>
        <v>45797</v>
      </c>
      <c r="J1079" s="2"/>
    </row>
    <row r="1080" spans="1:10" x14ac:dyDescent="0.25">
      <c r="A1080" s="8" t="s">
        <v>1013</v>
      </c>
      <c r="B1080" s="8" t="s">
        <v>964</v>
      </c>
      <c r="C1080" s="8" t="s">
        <v>8</v>
      </c>
      <c r="D1080" s="10">
        <v>45740</v>
      </c>
      <c r="E1080" s="9">
        <v>8803</v>
      </c>
      <c r="F1080" s="2" t="str">
        <f>INDEX(Vendors!E:E,MATCH(Vendor_Analysis!C1080,Vendors!A:A,0))</f>
        <v xml:space="preserve">60 </v>
      </c>
      <c r="G1080" s="2">
        <v>60</v>
      </c>
      <c r="H1080" s="16">
        <f t="shared" si="16"/>
        <v>45800</v>
      </c>
      <c r="J1080" s="2"/>
    </row>
    <row r="1081" spans="1:10" x14ac:dyDescent="0.25">
      <c r="A1081" s="8" t="s">
        <v>1014</v>
      </c>
      <c r="B1081" s="8" t="s">
        <v>964</v>
      </c>
      <c r="C1081" s="8" t="s">
        <v>12</v>
      </c>
      <c r="D1081" s="10">
        <v>45744</v>
      </c>
      <c r="E1081" s="9">
        <v>8074</v>
      </c>
      <c r="F1081" s="2" t="str">
        <f>INDEX(Vendors!E:E,MATCH(Vendor_Analysis!C1081,Vendors!A:A,0))</f>
        <v xml:space="preserve">30 </v>
      </c>
      <c r="G1081" s="2">
        <v>30</v>
      </c>
      <c r="H1081" s="16">
        <f t="shared" si="16"/>
        <v>45774</v>
      </c>
      <c r="J1081" s="2"/>
    </row>
    <row r="1082" spans="1:10" x14ac:dyDescent="0.25">
      <c r="A1082" s="8" t="s">
        <v>1015</v>
      </c>
      <c r="B1082" s="8" t="s">
        <v>964</v>
      </c>
      <c r="C1082" s="8" t="s">
        <v>21</v>
      </c>
      <c r="D1082" s="10">
        <v>45756</v>
      </c>
      <c r="E1082" s="9">
        <v>12070</v>
      </c>
      <c r="F1082" s="2" t="str">
        <f>INDEX(Vendors!E:E,MATCH(Vendor_Analysis!C1082,Vendors!A:A,0))</f>
        <v xml:space="preserve"> 90</v>
      </c>
      <c r="G1082" s="2">
        <v>90</v>
      </c>
      <c r="H1082" s="16">
        <f t="shared" si="16"/>
        <v>45846</v>
      </c>
      <c r="J1082" s="2"/>
    </row>
    <row r="1083" spans="1:10" x14ac:dyDescent="0.25">
      <c r="A1083" s="8" t="s">
        <v>1016</v>
      </c>
      <c r="B1083" s="8" t="s">
        <v>964</v>
      </c>
      <c r="C1083" s="8" t="s">
        <v>29</v>
      </c>
      <c r="D1083" s="10">
        <v>45796</v>
      </c>
      <c r="E1083" s="9">
        <v>15106</v>
      </c>
      <c r="F1083" s="2" t="str">
        <f>INDEX(Vendors!E:E,MATCH(Vendor_Analysis!C1083,Vendors!A:A,0))</f>
        <v xml:space="preserve">30 </v>
      </c>
      <c r="G1083" s="2">
        <v>30</v>
      </c>
      <c r="H1083" s="16">
        <f t="shared" si="16"/>
        <v>45826</v>
      </c>
      <c r="J1083" s="2"/>
    </row>
    <row r="1084" spans="1:10" x14ac:dyDescent="0.25">
      <c r="A1084" s="8" t="s">
        <v>1017</v>
      </c>
      <c r="B1084" s="8" t="s">
        <v>964</v>
      </c>
      <c r="C1084" s="8" t="s">
        <v>27</v>
      </c>
      <c r="D1084" s="10">
        <v>45797</v>
      </c>
      <c r="E1084" s="9">
        <v>6157</v>
      </c>
      <c r="F1084" s="2" t="str">
        <f>INDEX(Vendors!E:E,MATCH(Vendor_Analysis!C1084,Vendors!A:A,0))</f>
        <v xml:space="preserve">45 </v>
      </c>
      <c r="G1084" s="2">
        <v>45</v>
      </c>
      <c r="H1084" s="16">
        <f t="shared" si="16"/>
        <v>45842</v>
      </c>
      <c r="J1084" s="2"/>
    </row>
    <row r="1085" spans="1:10" x14ac:dyDescent="0.25">
      <c r="A1085" s="8" t="s">
        <v>1018</v>
      </c>
      <c r="B1085" s="8" t="s">
        <v>964</v>
      </c>
      <c r="C1085" s="8" t="s">
        <v>55</v>
      </c>
      <c r="D1085" s="10">
        <v>45801</v>
      </c>
      <c r="E1085" s="9">
        <v>13146</v>
      </c>
      <c r="F1085" s="2" t="str">
        <f>INDEX(Vendors!E:E,MATCH(Vendor_Analysis!C1085,Vendors!A:A,0))</f>
        <v xml:space="preserve">30 </v>
      </c>
      <c r="G1085" s="2">
        <v>30</v>
      </c>
      <c r="H1085" s="16">
        <f t="shared" si="16"/>
        <v>45831</v>
      </c>
      <c r="J1085" s="2"/>
    </row>
    <row r="1086" spans="1:10" x14ac:dyDescent="0.25">
      <c r="A1086" s="8" t="s">
        <v>1019</v>
      </c>
      <c r="B1086" s="8" t="s">
        <v>964</v>
      </c>
      <c r="C1086" s="8" t="s">
        <v>27</v>
      </c>
      <c r="D1086" s="10">
        <v>45809</v>
      </c>
      <c r="E1086" s="9">
        <v>15248</v>
      </c>
      <c r="F1086" s="2" t="str">
        <f>INDEX(Vendors!E:E,MATCH(Vendor_Analysis!C1086,Vendors!A:A,0))</f>
        <v xml:space="preserve">45 </v>
      </c>
      <c r="G1086" s="2">
        <v>45</v>
      </c>
      <c r="H1086" s="16">
        <f t="shared" si="16"/>
        <v>45854</v>
      </c>
      <c r="J1086" s="2"/>
    </row>
    <row r="1087" spans="1:10" x14ac:dyDescent="0.25">
      <c r="A1087" s="8" t="s">
        <v>1020</v>
      </c>
      <c r="B1087" s="8" t="s">
        <v>964</v>
      </c>
      <c r="C1087" s="8" t="s">
        <v>23</v>
      </c>
      <c r="D1087" s="10">
        <v>45851</v>
      </c>
      <c r="E1087" s="9">
        <v>9422</v>
      </c>
      <c r="F1087" s="2" t="str">
        <f>INDEX(Vendors!E:E,MATCH(Vendor_Analysis!C1087,Vendors!A:A,0))</f>
        <v xml:space="preserve"> 90</v>
      </c>
      <c r="G1087" s="2">
        <v>90</v>
      </c>
      <c r="H1087" s="16">
        <f t="shared" si="16"/>
        <v>45941</v>
      </c>
      <c r="J1087" s="2"/>
    </row>
    <row r="1088" spans="1:10" x14ac:dyDescent="0.25">
      <c r="A1088" s="8" t="s">
        <v>1021</v>
      </c>
      <c r="B1088" s="8" t="s">
        <v>964</v>
      </c>
      <c r="C1088" s="8" t="s">
        <v>23</v>
      </c>
      <c r="D1088" s="10">
        <v>45863</v>
      </c>
      <c r="E1088" s="9">
        <v>13774</v>
      </c>
      <c r="F1088" s="2" t="str">
        <f>INDEX(Vendors!E:E,MATCH(Vendor_Analysis!C1088,Vendors!A:A,0))</f>
        <v xml:space="preserve"> 90</v>
      </c>
      <c r="G1088" s="2">
        <v>90</v>
      </c>
      <c r="H1088" s="16">
        <f t="shared" si="16"/>
        <v>45953</v>
      </c>
      <c r="J1088" s="2"/>
    </row>
    <row r="1089" spans="1:10" x14ac:dyDescent="0.25">
      <c r="A1089" s="8" t="s">
        <v>1022</v>
      </c>
      <c r="B1089" s="8" t="s">
        <v>964</v>
      </c>
      <c r="C1089" s="8" t="s">
        <v>10</v>
      </c>
      <c r="D1089" s="10">
        <v>45876</v>
      </c>
      <c r="E1089" s="9">
        <v>15140</v>
      </c>
      <c r="F1089" s="2" t="str">
        <f>INDEX(Vendors!E:E,MATCH(Vendor_Analysis!C1089,Vendors!A:A,0))</f>
        <v xml:space="preserve">60 </v>
      </c>
      <c r="G1089" s="2">
        <v>60</v>
      </c>
      <c r="H1089" s="16">
        <f t="shared" si="16"/>
        <v>45936</v>
      </c>
      <c r="J1089" s="2"/>
    </row>
    <row r="1090" spans="1:10" x14ac:dyDescent="0.25">
      <c r="A1090" s="8" t="s">
        <v>1023</v>
      </c>
      <c r="B1090" s="8" t="s">
        <v>964</v>
      </c>
      <c r="C1090" s="8" t="s">
        <v>37</v>
      </c>
      <c r="D1090" s="10">
        <v>45878</v>
      </c>
      <c r="E1090" s="9">
        <v>5967</v>
      </c>
      <c r="F1090" s="2" t="str">
        <f>INDEX(Vendors!E:E,MATCH(Vendor_Analysis!C1090,Vendors!A:A,0))</f>
        <v xml:space="preserve">30 </v>
      </c>
      <c r="G1090" s="2">
        <v>30</v>
      </c>
      <c r="H1090" s="16">
        <f t="shared" si="16"/>
        <v>45908</v>
      </c>
      <c r="J1090" s="2"/>
    </row>
    <row r="1091" spans="1:10" x14ac:dyDescent="0.25">
      <c r="A1091" s="8" t="s">
        <v>1024</v>
      </c>
      <c r="B1091" s="8" t="s">
        <v>1025</v>
      </c>
      <c r="C1091" s="8" t="s">
        <v>12</v>
      </c>
      <c r="D1091" s="10">
        <v>45622</v>
      </c>
      <c r="E1091" s="9">
        <v>67067</v>
      </c>
      <c r="F1091" s="2" t="str">
        <f>INDEX(Vendors!E:E,MATCH(Vendor_Analysis!C1091,Vendors!A:A,0))</f>
        <v xml:space="preserve">30 </v>
      </c>
      <c r="G1091" s="2">
        <v>30</v>
      </c>
      <c r="H1091" s="16">
        <f t="shared" ref="H1091:H1154" si="17">D1091+F1091</f>
        <v>45652</v>
      </c>
      <c r="J1091" s="2"/>
    </row>
    <row r="1092" spans="1:10" x14ac:dyDescent="0.25">
      <c r="A1092" s="8" t="s">
        <v>1026</v>
      </c>
      <c r="B1092" s="8" t="s">
        <v>1025</v>
      </c>
      <c r="C1092" s="8" t="s">
        <v>29</v>
      </c>
      <c r="D1092" s="10">
        <v>45630</v>
      </c>
      <c r="E1092" s="9">
        <v>79758</v>
      </c>
      <c r="F1092" s="2" t="str">
        <f>INDEX(Vendors!E:E,MATCH(Vendor_Analysis!C1092,Vendors!A:A,0))</f>
        <v xml:space="preserve">30 </v>
      </c>
      <c r="G1092" s="2">
        <v>30</v>
      </c>
      <c r="H1092" s="16">
        <f t="shared" si="17"/>
        <v>45660</v>
      </c>
      <c r="J1092" s="2"/>
    </row>
    <row r="1093" spans="1:10" x14ac:dyDescent="0.25">
      <c r="A1093" s="8" t="s">
        <v>1027</v>
      </c>
      <c r="B1093" s="8" t="s">
        <v>1025</v>
      </c>
      <c r="C1093" s="8" t="s">
        <v>27</v>
      </c>
      <c r="D1093" s="10">
        <v>45638</v>
      </c>
      <c r="E1093" s="9">
        <v>86966</v>
      </c>
      <c r="F1093" s="2" t="str">
        <f>INDEX(Vendors!E:E,MATCH(Vendor_Analysis!C1093,Vendors!A:A,0))</f>
        <v xml:space="preserve">45 </v>
      </c>
      <c r="G1093" s="2">
        <v>45</v>
      </c>
      <c r="H1093" s="16">
        <f t="shared" si="17"/>
        <v>45683</v>
      </c>
      <c r="J1093" s="2"/>
    </row>
    <row r="1094" spans="1:10" x14ac:dyDescent="0.25">
      <c r="A1094" s="8" t="s">
        <v>1028</v>
      </c>
      <c r="B1094" s="8" t="s">
        <v>1025</v>
      </c>
      <c r="C1094" s="8" t="s">
        <v>73</v>
      </c>
      <c r="D1094" s="10">
        <v>45644</v>
      </c>
      <c r="E1094" s="9">
        <v>35852</v>
      </c>
      <c r="F1094" s="2" t="str">
        <f>INDEX(Vendors!E:E,MATCH(Vendor_Analysis!C1094,Vendors!A:A,0))</f>
        <v xml:space="preserve">60 </v>
      </c>
      <c r="G1094" s="2">
        <v>60</v>
      </c>
      <c r="H1094" s="16">
        <f t="shared" si="17"/>
        <v>45704</v>
      </c>
      <c r="J1094" s="2"/>
    </row>
    <row r="1095" spans="1:10" x14ac:dyDescent="0.25">
      <c r="A1095" s="8" t="s">
        <v>1029</v>
      </c>
      <c r="B1095" s="8" t="s">
        <v>1025</v>
      </c>
      <c r="C1095" s="8" t="s">
        <v>19</v>
      </c>
      <c r="D1095" s="10">
        <v>45652</v>
      </c>
      <c r="E1095" s="9">
        <v>99875</v>
      </c>
      <c r="F1095" s="2" t="str">
        <f>INDEX(Vendors!E:E,MATCH(Vendor_Analysis!C1095,Vendors!A:A,0))</f>
        <v xml:space="preserve">45 </v>
      </c>
      <c r="G1095" s="2">
        <v>45</v>
      </c>
      <c r="H1095" s="16">
        <f t="shared" si="17"/>
        <v>45697</v>
      </c>
      <c r="J1095" s="2"/>
    </row>
    <row r="1096" spans="1:10" x14ac:dyDescent="0.25">
      <c r="A1096" s="8" t="s">
        <v>1030</v>
      </c>
      <c r="B1096" s="8" t="s">
        <v>1025</v>
      </c>
      <c r="C1096" s="8" t="s">
        <v>71</v>
      </c>
      <c r="D1096" s="10">
        <v>45655</v>
      </c>
      <c r="E1096" s="9">
        <v>96271</v>
      </c>
      <c r="F1096" s="2" t="str">
        <f>INDEX(Vendors!E:E,MATCH(Vendor_Analysis!C1096,Vendors!A:A,0))</f>
        <v xml:space="preserve">45 </v>
      </c>
      <c r="G1096" s="2">
        <v>45</v>
      </c>
      <c r="H1096" s="16">
        <f t="shared" si="17"/>
        <v>45700</v>
      </c>
      <c r="J1096" s="2"/>
    </row>
    <row r="1097" spans="1:10" x14ac:dyDescent="0.25">
      <c r="A1097" s="8" t="s">
        <v>1031</v>
      </c>
      <c r="B1097" s="8" t="s">
        <v>1025</v>
      </c>
      <c r="C1097" s="8" t="s">
        <v>27</v>
      </c>
      <c r="D1097" s="10">
        <v>45663</v>
      </c>
      <c r="E1097" s="9">
        <v>75810</v>
      </c>
      <c r="F1097" s="2" t="str">
        <f>INDEX(Vendors!E:E,MATCH(Vendor_Analysis!C1097,Vendors!A:A,0))</f>
        <v xml:space="preserve">45 </v>
      </c>
      <c r="G1097" s="2">
        <v>45</v>
      </c>
      <c r="H1097" s="16">
        <f t="shared" si="17"/>
        <v>45708</v>
      </c>
      <c r="J1097" s="2"/>
    </row>
    <row r="1098" spans="1:10" x14ac:dyDescent="0.25">
      <c r="A1098" s="8" t="s">
        <v>1032</v>
      </c>
      <c r="B1098" s="8" t="s">
        <v>1025</v>
      </c>
      <c r="C1098" s="8" t="s">
        <v>50</v>
      </c>
      <c r="D1098" s="10">
        <v>45691</v>
      </c>
      <c r="E1098" s="9">
        <v>104485</v>
      </c>
      <c r="F1098" s="2" t="str">
        <f>INDEX(Vendors!E:E,MATCH(Vendor_Analysis!C1098,Vendors!A:A,0))</f>
        <v xml:space="preserve"> 90</v>
      </c>
      <c r="G1098" s="2">
        <v>90</v>
      </c>
      <c r="H1098" s="16">
        <f t="shared" si="17"/>
        <v>45781</v>
      </c>
      <c r="J1098" s="2"/>
    </row>
    <row r="1099" spans="1:10" x14ac:dyDescent="0.25">
      <c r="A1099" s="8" t="s">
        <v>1033</v>
      </c>
      <c r="B1099" s="8" t="s">
        <v>1025</v>
      </c>
      <c r="C1099" s="8" t="s">
        <v>44</v>
      </c>
      <c r="D1099" s="10">
        <v>45705</v>
      </c>
      <c r="E1099" s="9">
        <v>46364</v>
      </c>
      <c r="F1099" s="2" t="str">
        <f>INDEX(Vendors!E:E,MATCH(Vendor_Analysis!C1099,Vendors!A:A,0))</f>
        <v xml:space="preserve">45 </v>
      </c>
      <c r="G1099" s="2">
        <v>45</v>
      </c>
      <c r="H1099" s="16">
        <f t="shared" si="17"/>
        <v>45750</v>
      </c>
      <c r="J1099" s="2"/>
    </row>
    <row r="1100" spans="1:10" x14ac:dyDescent="0.25">
      <c r="A1100" s="8" t="s">
        <v>1034</v>
      </c>
      <c r="B1100" s="8" t="s">
        <v>1025</v>
      </c>
      <c r="C1100" s="8" t="s">
        <v>55</v>
      </c>
      <c r="D1100" s="10">
        <v>45729</v>
      </c>
      <c r="E1100" s="9">
        <v>56503</v>
      </c>
      <c r="F1100" s="2" t="str">
        <f>INDEX(Vendors!E:E,MATCH(Vendor_Analysis!C1100,Vendors!A:A,0))</f>
        <v xml:space="preserve">30 </v>
      </c>
      <c r="G1100" s="2">
        <v>30</v>
      </c>
      <c r="H1100" s="16">
        <f t="shared" si="17"/>
        <v>45759</v>
      </c>
      <c r="J1100" s="2"/>
    </row>
    <row r="1101" spans="1:10" x14ac:dyDescent="0.25">
      <c r="A1101" s="8" t="s">
        <v>1035</v>
      </c>
      <c r="B1101" s="8" t="s">
        <v>1025</v>
      </c>
      <c r="C1101" s="8" t="s">
        <v>108</v>
      </c>
      <c r="D1101" s="10">
        <v>45732</v>
      </c>
      <c r="E1101" s="9">
        <v>43705</v>
      </c>
      <c r="F1101" s="2" t="str">
        <f>INDEX(Vendors!E:E,MATCH(Vendor_Analysis!C1101,Vendors!A:A,0))</f>
        <v xml:space="preserve"> 90</v>
      </c>
      <c r="G1101" s="2">
        <v>90</v>
      </c>
      <c r="H1101" s="16">
        <f t="shared" si="17"/>
        <v>45822</v>
      </c>
      <c r="J1101" s="2"/>
    </row>
    <row r="1102" spans="1:10" x14ac:dyDescent="0.25">
      <c r="A1102" s="8" t="s">
        <v>1036</v>
      </c>
      <c r="B1102" s="8" t="s">
        <v>1025</v>
      </c>
      <c r="C1102" s="8" t="s">
        <v>91</v>
      </c>
      <c r="D1102" s="10">
        <v>45737</v>
      </c>
      <c r="E1102" s="9">
        <v>81166</v>
      </c>
      <c r="F1102" s="2" t="str">
        <f>INDEX(Vendors!E:E,MATCH(Vendor_Analysis!C1102,Vendors!A:A,0))</f>
        <v xml:space="preserve">60 </v>
      </c>
      <c r="G1102" s="2">
        <v>60</v>
      </c>
      <c r="H1102" s="16">
        <f t="shared" si="17"/>
        <v>45797</v>
      </c>
      <c r="J1102" s="2"/>
    </row>
    <row r="1103" spans="1:10" x14ac:dyDescent="0.25">
      <c r="A1103" s="8" t="s">
        <v>1037</v>
      </c>
      <c r="B1103" s="8" t="s">
        <v>1025</v>
      </c>
      <c r="C1103" s="8" t="s">
        <v>37</v>
      </c>
      <c r="D1103" s="10">
        <v>45738</v>
      </c>
      <c r="E1103" s="9">
        <v>102255</v>
      </c>
      <c r="F1103" s="2" t="str">
        <f>INDEX(Vendors!E:E,MATCH(Vendor_Analysis!C1103,Vendors!A:A,0))</f>
        <v xml:space="preserve">30 </v>
      </c>
      <c r="G1103" s="2">
        <v>30</v>
      </c>
      <c r="H1103" s="16">
        <f t="shared" si="17"/>
        <v>45768</v>
      </c>
      <c r="J1103" s="2"/>
    </row>
    <row r="1104" spans="1:10" x14ac:dyDescent="0.25">
      <c r="A1104" s="8" t="s">
        <v>1038</v>
      </c>
      <c r="B1104" s="8" t="s">
        <v>1025</v>
      </c>
      <c r="C1104" s="8" t="s">
        <v>21</v>
      </c>
      <c r="D1104" s="10">
        <v>45760</v>
      </c>
      <c r="E1104" s="9">
        <v>76089</v>
      </c>
      <c r="F1104" s="2" t="str">
        <f>INDEX(Vendors!E:E,MATCH(Vendor_Analysis!C1104,Vendors!A:A,0))</f>
        <v xml:space="preserve"> 90</v>
      </c>
      <c r="G1104" s="2">
        <v>90</v>
      </c>
      <c r="H1104" s="16">
        <f t="shared" si="17"/>
        <v>45850</v>
      </c>
      <c r="J1104" s="2"/>
    </row>
    <row r="1105" spans="1:10" x14ac:dyDescent="0.25">
      <c r="A1105" s="8" t="s">
        <v>1039</v>
      </c>
      <c r="B1105" s="8" t="s">
        <v>1025</v>
      </c>
      <c r="C1105" s="8" t="s">
        <v>25</v>
      </c>
      <c r="D1105" s="10">
        <v>45795</v>
      </c>
      <c r="E1105" s="9">
        <v>96406</v>
      </c>
      <c r="F1105" s="2" t="str">
        <f>INDEX(Vendors!E:E,MATCH(Vendor_Analysis!C1105,Vendors!A:A,0))</f>
        <v xml:space="preserve">30 </v>
      </c>
      <c r="G1105" s="2">
        <v>30</v>
      </c>
      <c r="H1105" s="16">
        <f t="shared" si="17"/>
        <v>45825</v>
      </c>
      <c r="J1105" s="2"/>
    </row>
    <row r="1106" spans="1:10" x14ac:dyDescent="0.25">
      <c r="A1106" s="8" t="s">
        <v>1040</v>
      </c>
      <c r="B1106" s="8" t="s">
        <v>1025</v>
      </c>
      <c r="C1106" s="8" t="s">
        <v>55</v>
      </c>
      <c r="D1106" s="10">
        <v>45808</v>
      </c>
      <c r="E1106" s="9">
        <v>93690</v>
      </c>
      <c r="F1106" s="2" t="str">
        <f>INDEX(Vendors!E:E,MATCH(Vendor_Analysis!C1106,Vendors!A:A,0))</f>
        <v xml:space="preserve">30 </v>
      </c>
      <c r="G1106" s="2">
        <v>30</v>
      </c>
      <c r="H1106" s="16">
        <f t="shared" si="17"/>
        <v>45838</v>
      </c>
      <c r="J1106" s="2"/>
    </row>
    <row r="1107" spans="1:10" x14ac:dyDescent="0.25">
      <c r="A1107" s="8" t="s">
        <v>1041</v>
      </c>
      <c r="B1107" s="8" t="s">
        <v>1025</v>
      </c>
      <c r="C1107" s="8" t="s">
        <v>10</v>
      </c>
      <c r="D1107" s="10">
        <v>45817</v>
      </c>
      <c r="E1107" s="9">
        <v>49540</v>
      </c>
      <c r="F1107" s="2" t="str">
        <f>INDEX(Vendors!E:E,MATCH(Vendor_Analysis!C1107,Vendors!A:A,0))</f>
        <v xml:space="preserve">60 </v>
      </c>
      <c r="G1107" s="2">
        <v>60</v>
      </c>
      <c r="H1107" s="16">
        <f t="shared" si="17"/>
        <v>45877</v>
      </c>
      <c r="J1107" s="2"/>
    </row>
    <row r="1108" spans="1:10" x14ac:dyDescent="0.25">
      <c r="A1108" s="8" t="s">
        <v>1042</v>
      </c>
      <c r="B1108" s="8" t="s">
        <v>1025</v>
      </c>
      <c r="C1108" s="8" t="s">
        <v>10</v>
      </c>
      <c r="D1108" s="10">
        <v>45821</v>
      </c>
      <c r="E1108" s="9">
        <v>57641</v>
      </c>
      <c r="F1108" s="2" t="str">
        <f>INDEX(Vendors!E:E,MATCH(Vendor_Analysis!C1108,Vendors!A:A,0))</f>
        <v xml:space="preserve">60 </v>
      </c>
      <c r="G1108" s="2">
        <v>60</v>
      </c>
      <c r="H1108" s="16">
        <f t="shared" si="17"/>
        <v>45881</v>
      </c>
      <c r="J1108" s="2"/>
    </row>
    <row r="1109" spans="1:10" x14ac:dyDescent="0.25">
      <c r="A1109" s="8" t="s">
        <v>1043</v>
      </c>
      <c r="B1109" s="8" t="s">
        <v>1025</v>
      </c>
      <c r="C1109" s="8" t="s">
        <v>19</v>
      </c>
      <c r="D1109" s="10">
        <v>45824</v>
      </c>
      <c r="E1109" s="9">
        <v>39104</v>
      </c>
      <c r="F1109" s="2" t="str">
        <f>INDEX(Vendors!E:E,MATCH(Vendor_Analysis!C1109,Vendors!A:A,0))</f>
        <v xml:space="preserve">45 </v>
      </c>
      <c r="G1109" s="2">
        <v>45</v>
      </c>
      <c r="H1109" s="16">
        <f t="shared" si="17"/>
        <v>45869</v>
      </c>
      <c r="J1109" s="2"/>
    </row>
    <row r="1110" spans="1:10" x14ac:dyDescent="0.25">
      <c r="A1110" s="8" t="s">
        <v>1044</v>
      </c>
      <c r="B1110" s="8" t="s">
        <v>1025</v>
      </c>
      <c r="C1110" s="8" t="s">
        <v>37</v>
      </c>
      <c r="D1110" s="10">
        <v>45825</v>
      </c>
      <c r="E1110" s="9">
        <v>68698</v>
      </c>
      <c r="F1110" s="2" t="str">
        <f>INDEX(Vendors!E:E,MATCH(Vendor_Analysis!C1110,Vendors!A:A,0))</f>
        <v xml:space="preserve">30 </v>
      </c>
      <c r="G1110" s="2">
        <v>30</v>
      </c>
      <c r="H1110" s="16">
        <f t="shared" si="17"/>
        <v>45855</v>
      </c>
      <c r="J1110" s="2"/>
    </row>
    <row r="1111" spans="1:10" x14ac:dyDescent="0.25">
      <c r="A1111" s="8" t="s">
        <v>1045</v>
      </c>
      <c r="B1111" s="8" t="s">
        <v>1025</v>
      </c>
      <c r="C1111" s="8" t="s">
        <v>35</v>
      </c>
      <c r="D1111" s="10">
        <v>45834</v>
      </c>
      <c r="E1111" s="9">
        <v>95755</v>
      </c>
      <c r="F1111" s="2" t="str">
        <f>INDEX(Vendors!E:E,MATCH(Vendor_Analysis!C1111,Vendors!A:A,0))</f>
        <v xml:space="preserve">60 </v>
      </c>
      <c r="G1111" s="2">
        <v>60</v>
      </c>
      <c r="H1111" s="16">
        <f t="shared" si="17"/>
        <v>45894</v>
      </c>
      <c r="J1111" s="2"/>
    </row>
    <row r="1112" spans="1:10" x14ac:dyDescent="0.25">
      <c r="A1112" s="8" t="s">
        <v>1046</v>
      </c>
      <c r="B1112" s="8" t="s">
        <v>1025</v>
      </c>
      <c r="C1112" s="8" t="s">
        <v>48</v>
      </c>
      <c r="D1112" s="10">
        <v>45861</v>
      </c>
      <c r="E1112" s="9">
        <v>104611</v>
      </c>
      <c r="F1112" s="2" t="str">
        <f>INDEX(Vendors!E:E,MATCH(Vendor_Analysis!C1112,Vendors!A:A,0))</f>
        <v xml:space="preserve"> 90</v>
      </c>
      <c r="G1112" s="2">
        <v>90</v>
      </c>
      <c r="H1112" s="16">
        <f t="shared" si="17"/>
        <v>45951</v>
      </c>
      <c r="J1112" s="2"/>
    </row>
    <row r="1113" spans="1:10" x14ac:dyDescent="0.25">
      <c r="A1113" s="8" t="s">
        <v>1047</v>
      </c>
      <c r="B1113" s="8" t="s">
        <v>1025</v>
      </c>
      <c r="C1113" s="8" t="s">
        <v>44</v>
      </c>
      <c r="D1113" s="10">
        <v>45872</v>
      </c>
      <c r="E1113" s="9">
        <v>78485</v>
      </c>
      <c r="F1113" s="2" t="str">
        <f>INDEX(Vendors!E:E,MATCH(Vendor_Analysis!C1113,Vendors!A:A,0))</f>
        <v xml:space="preserve">45 </v>
      </c>
      <c r="G1113" s="2">
        <v>45</v>
      </c>
      <c r="H1113" s="16">
        <f t="shared" si="17"/>
        <v>45917</v>
      </c>
      <c r="J1113" s="2"/>
    </row>
    <row r="1114" spans="1:10" x14ac:dyDescent="0.25">
      <c r="A1114" s="8" t="s">
        <v>1048</v>
      </c>
      <c r="B1114" s="8" t="s">
        <v>1025</v>
      </c>
      <c r="C1114" s="8" t="s">
        <v>27</v>
      </c>
      <c r="D1114" s="10">
        <v>45883</v>
      </c>
      <c r="E1114" s="9">
        <v>100898</v>
      </c>
      <c r="F1114" s="2" t="str">
        <f>INDEX(Vendors!E:E,MATCH(Vendor_Analysis!C1114,Vendors!A:A,0))</f>
        <v xml:space="preserve">45 </v>
      </c>
      <c r="G1114" s="2">
        <v>45</v>
      </c>
      <c r="H1114" s="16">
        <f t="shared" si="17"/>
        <v>45928</v>
      </c>
      <c r="J1114" s="2"/>
    </row>
    <row r="1115" spans="1:10" x14ac:dyDescent="0.25">
      <c r="A1115" s="8" t="s">
        <v>1049</v>
      </c>
      <c r="B1115" s="8" t="s">
        <v>1025</v>
      </c>
      <c r="C1115" s="8" t="s">
        <v>27</v>
      </c>
      <c r="D1115" s="10">
        <v>45885</v>
      </c>
      <c r="E1115" s="9">
        <v>37753</v>
      </c>
      <c r="F1115" s="2" t="str">
        <f>INDEX(Vendors!E:E,MATCH(Vendor_Analysis!C1115,Vendors!A:A,0))</f>
        <v xml:space="preserve">45 </v>
      </c>
      <c r="G1115" s="2">
        <v>45</v>
      </c>
      <c r="H1115" s="16">
        <f t="shared" si="17"/>
        <v>45930</v>
      </c>
      <c r="J1115" s="2"/>
    </row>
    <row r="1116" spans="1:10" x14ac:dyDescent="0.25">
      <c r="A1116" s="8" t="s">
        <v>1050</v>
      </c>
      <c r="B1116" s="8" t="s">
        <v>1051</v>
      </c>
      <c r="C1116" s="8" t="s">
        <v>33</v>
      </c>
      <c r="D1116" s="10">
        <v>45172</v>
      </c>
      <c r="E1116" s="9">
        <v>106511</v>
      </c>
      <c r="F1116" s="2" t="str">
        <f>INDEX(Vendors!E:E,MATCH(Vendor_Analysis!C1116,Vendors!A:A,0))</f>
        <v xml:space="preserve">30 </v>
      </c>
      <c r="G1116" s="2">
        <v>30</v>
      </c>
      <c r="H1116" s="16">
        <f t="shared" si="17"/>
        <v>45202</v>
      </c>
      <c r="J1116" s="2"/>
    </row>
    <row r="1117" spans="1:10" x14ac:dyDescent="0.25">
      <c r="A1117" s="8" t="s">
        <v>1052</v>
      </c>
      <c r="B1117" s="8" t="s">
        <v>1051</v>
      </c>
      <c r="C1117" s="8" t="s">
        <v>44</v>
      </c>
      <c r="D1117" s="10">
        <v>45189</v>
      </c>
      <c r="E1117" s="9">
        <v>132144</v>
      </c>
      <c r="F1117" s="2" t="str">
        <f>INDEX(Vendors!E:E,MATCH(Vendor_Analysis!C1117,Vendors!A:A,0))</f>
        <v xml:space="preserve">45 </v>
      </c>
      <c r="G1117" s="2">
        <v>45</v>
      </c>
      <c r="H1117" s="16">
        <f t="shared" si="17"/>
        <v>45234</v>
      </c>
      <c r="J1117" s="2"/>
    </row>
    <row r="1118" spans="1:10" x14ac:dyDescent="0.25">
      <c r="A1118" s="8" t="s">
        <v>1053</v>
      </c>
      <c r="B1118" s="8" t="s">
        <v>1051</v>
      </c>
      <c r="C1118" s="8" t="s">
        <v>8</v>
      </c>
      <c r="D1118" s="10">
        <v>45206</v>
      </c>
      <c r="E1118" s="9">
        <v>162680</v>
      </c>
      <c r="F1118" s="2" t="str">
        <f>INDEX(Vendors!E:E,MATCH(Vendor_Analysis!C1118,Vendors!A:A,0))</f>
        <v xml:space="preserve">60 </v>
      </c>
      <c r="G1118" s="2">
        <v>60</v>
      </c>
      <c r="H1118" s="16">
        <f t="shared" si="17"/>
        <v>45266</v>
      </c>
      <c r="J1118" s="2"/>
    </row>
    <row r="1119" spans="1:10" x14ac:dyDescent="0.25">
      <c r="A1119" s="8" t="s">
        <v>1054</v>
      </c>
      <c r="B1119" s="8" t="s">
        <v>1051</v>
      </c>
      <c r="C1119" s="8" t="s">
        <v>91</v>
      </c>
      <c r="D1119" s="10">
        <v>45206</v>
      </c>
      <c r="E1119" s="9">
        <v>167660</v>
      </c>
      <c r="F1119" s="2" t="str">
        <f>INDEX(Vendors!E:E,MATCH(Vendor_Analysis!C1119,Vendors!A:A,0))</f>
        <v xml:space="preserve">60 </v>
      </c>
      <c r="G1119" s="2">
        <v>60</v>
      </c>
      <c r="H1119" s="16">
        <f t="shared" si="17"/>
        <v>45266</v>
      </c>
      <c r="J1119" s="2"/>
    </row>
    <row r="1120" spans="1:10" x14ac:dyDescent="0.25">
      <c r="A1120" s="8" t="s">
        <v>1055</v>
      </c>
      <c r="B1120" s="8" t="s">
        <v>1051</v>
      </c>
      <c r="C1120" s="8" t="s">
        <v>27</v>
      </c>
      <c r="D1120" s="10">
        <v>45210</v>
      </c>
      <c r="E1120" s="9">
        <v>175277</v>
      </c>
      <c r="F1120" s="2" t="str">
        <f>INDEX(Vendors!E:E,MATCH(Vendor_Analysis!C1120,Vendors!A:A,0))</f>
        <v xml:space="preserve">45 </v>
      </c>
      <c r="G1120" s="2">
        <v>45</v>
      </c>
      <c r="H1120" s="16">
        <f t="shared" si="17"/>
        <v>45255</v>
      </c>
      <c r="J1120" s="2"/>
    </row>
    <row r="1121" spans="1:10" x14ac:dyDescent="0.25">
      <c r="A1121" s="8" t="s">
        <v>1056</v>
      </c>
      <c r="B1121" s="8" t="s">
        <v>1051</v>
      </c>
      <c r="C1121" s="8" t="s">
        <v>25</v>
      </c>
      <c r="D1121" s="10">
        <v>45216</v>
      </c>
      <c r="E1121" s="9">
        <v>98875</v>
      </c>
      <c r="F1121" s="2" t="str">
        <f>INDEX(Vendors!E:E,MATCH(Vendor_Analysis!C1121,Vendors!A:A,0))</f>
        <v xml:space="preserve">30 </v>
      </c>
      <c r="G1121" s="2">
        <v>30</v>
      </c>
      <c r="H1121" s="16">
        <f t="shared" si="17"/>
        <v>45246</v>
      </c>
      <c r="J1121" s="2"/>
    </row>
    <row r="1122" spans="1:10" x14ac:dyDescent="0.25">
      <c r="A1122" s="8" t="s">
        <v>1057</v>
      </c>
      <c r="B1122" s="8" t="s">
        <v>1051</v>
      </c>
      <c r="C1122" s="8" t="s">
        <v>25</v>
      </c>
      <c r="D1122" s="10">
        <v>45259</v>
      </c>
      <c r="E1122" s="9">
        <v>172222</v>
      </c>
      <c r="F1122" s="2" t="str">
        <f>INDEX(Vendors!E:E,MATCH(Vendor_Analysis!C1122,Vendors!A:A,0))</f>
        <v xml:space="preserve">30 </v>
      </c>
      <c r="G1122" s="2">
        <v>30</v>
      </c>
      <c r="H1122" s="16">
        <f t="shared" si="17"/>
        <v>45289</v>
      </c>
      <c r="J1122" s="2"/>
    </row>
    <row r="1123" spans="1:10" x14ac:dyDescent="0.25">
      <c r="A1123" s="8" t="s">
        <v>1058</v>
      </c>
      <c r="B1123" s="8" t="s">
        <v>1051</v>
      </c>
      <c r="C1123" s="8" t="s">
        <v>109</v>
      </c>
      <c r="D1123" s="10">
        <v>45274</v>
      </c>
      <c r="E1123" s="9">
        <v>104974</v>
      </c>
      <c r="F1123" s="2" t="str">
        <f>INDEX(Vendors!E:E,MATCH(Vendor_Analysis!C1123,Vendors!A:A,0))</f>
        <v xml:space="preserve">30 </v>
      </c>
      <c r="G1123" s="2">
        <v>30</v>
      </c>
      <c r="H1123" s="16">
        <f t="shared" si="17"/>
        <v>45304</v>
      </c>
      <c r="J1123" s="2"/>
    </row>
    <row r="1124" spans="1:10" x14ac:dyDescent="0.25">
      <c r="A1124" s="8" t="s">
        <v>1059</v>
      </c>
      <c r="B1124" s="8" t="s">
        <v>1051</v>
      </c>
      <c r="C1124" s="8" t="s">
        <v>19</v>
      </c>
      <c r="D1124" s="10">
        <v>45291</v>
      </c>
      <c r="E1124" s="9">
        <v>206746</v>
      </c>
      <c r="F1124" s="2" t="str">
        <f>INDEX(Vendors!E:E,MATCH(Vendor_Analysis!C1124,Vendors!A:A,0))</f>
        <v xml:space="preserve">45 </v>
      </c>
      <c r="G1124" s="2">
        <v>45</v>
      </c>
      <c r="H1124" s="16">
        <f t="shared" si="17"/>
        <v>45336</v>
      </c>
      <c r="J1124" s="2"/>
    </row>
    <row r="1125" spans="1:10" x14ac:dyDescent="0.25">
      <c r="A1125" s="8" t="s">
        <v>1060</v>
      </c>
      <c r="B1125" s="8" t="s">
        <v>1051</v>
      </c>
      <c r="C1125" s="8" t="s">
        <v>35</v>
      </c>
      <c r="D1125" s="10">
        <v>45311</v>
      </c>
      <c r="E1125" s="9">
        <v>221505</v>
      </c>
      <c r="F1125" s="2" t="str">
        <f>INDEX(Vendors!E:E,MATCH(Vendor_Analysis!C1125,Vendors!A:A,0))</f>
        <v xml:space="preserve">60 </v>
      </c>
      <c r="G1125" s="2">
        <v>60</v>
      </c>
      <c r="H1125" s="16">
        <f t="shared" si="17"/>
        <v>45371</v>
      </c>
      <c r="J1125" s="2"/>
    </row>
    <row r="1126" spans="1:10" x14ac:dyDescent="0.25">
      <c r="A1126" s="8" t="s">
        <v>1061</v>
      </c>
      <c r="B1126" s="8" t="s">
        <v>1051</v>
      </c>
      <c r="C1126" s="8" t="s">
        <v>8</v>
      </c>
      <c r="D1126" s="10">
        <v>45321</v>
      </c>
      <c r="E1126" s="9">
        <v>95181</v>
      </c>
      <c r="F1126" s="2" t="str">
        <f>INDEX(Vendors!E:E,MATCH(Vendor_Analysis!C1126,Vendors!A:A,0))</f>
        <v xml:space="preserve">60 </v>
      </c>
      <c r="G1126" s="2">
        <v>60</v>
      </c>
      <c r="H1126" s="16">
        <f t="shared" si="17"/>
        <v>45381</v>
      </c>
      <c r="J1126" s="2"/>
    </row>
    <row r="1127" spans="1:10" x14ac:dyDescent="0.25">
      <c r="A1127" s="8" t="s">
        <v>1062</v>
      </c>
      <c r="B1127" s="8" t="s">
        <v>1051</v>
      </c>
      <c r="C1127" s="8" t="s">
        <v>37</v>
      </c>
      <c r="D1127" s="10">
        <v>45329</v>
      </c>
      <c r="E1127" s="9">
        <v>102826</v>
      </c>
      <c r="F1127" s="2" t="str">
        <f>INDEX(Vendors!E:E,MATCH(Vendor_Analysis!C1127,Vendors!A:A,0))</f>
        <v xml:space="preserve">30 </v>
      </c>
      <c r="G1127" s="2">
        <v>30</v>
      </c>
      <c r="H1127" s="16">
        <f t="shared" si="17"/>
        <v>45359</v>
      </c>
      <c r="J1127" s="2"/>
    </row>
    <row r="1128" spans="1:10" x14ac:dyDescent="0.25">
      <c r="A1128" s="8" t="s">
        <v>1063</v>
      </c>
      <c r="B1128" s="8" t="s">
        <v>1051</v>
      </c>
      <c r="C1128" s="8" t="s">
        <v>44</v>
      </c>
      <c r="D1128" s="10">
        <v>45337</v>
      </c>
      <c r="E1128" s="9">
        <v>254863</v>
      </c>
      <c r="F1128" s="2" t="str">
        <f>INDEX(Vendors!E:E,MATCH(Vendor_Analysis!C1128,Vendors!A:A,0))</f>
        <v xml:space="preserve">45 </v>
      </c>
      <c r="G1128" s="2">
        <v>45</v>
      </c>
      <c r="H1128" s="16">
        <f t="shared" si="17"/>
        <v>45382</v>
      </c>
      <c r="J1128" s="2"/>
    </row>
    <row r="1129" spans="1:10" x14ac:dyDescent="0.25">
      <c r="A1129" s="8" t="s">
        <v>1064</v>
      </c>
      <c r="B1129" s="8" t="s">
        <v>1051</v>
      </c>
      <c r="C1129" s="8" t="s">
        <v>21</v>
      </c>
      <c r="D1129" s="10">
        <v>45345</v>
      </c>
      <c r="E1129" s="9">
        <v>230688</v>
      </c>
      <c r="F1129" s="2" t="str">
        <f>INDEX(Vendors!E:E,MATCH(Vendor_Analysis!C1129,Vendors!A:A,0))</f>
        <v xml:space="preserve"> 90</v>
      </c>
      <c r="G1129" s="2">
        <v>90</v>
      </c>
      <c r="H1129" s="16">
        <f t="shared" si="17"/>
        <v>45435</v>
      </c>
      <c r="J1129" s="2"/>
    </row>
    <row r="1130" spans="1:10" x14ac:dyDescent="0.25">
      <c r="A1130" s="8" t="s">
        <v>1065</v>
      </c>
      <c r="B1130" s="8" t="s">
        <v>1051</v>
      </c>
      <c r="C1130" s="8" t="s">
        <v>19</v>
      </c>
      <c r="D1130" s="10">
        <v>45350</v>
      </c>
      <c r="E1130" s="9">
        <v>101098</v>
      </c>
      <c r="F1130" s="2" t="str">
        <f>INDEX(Vendors!E:E,MATCH(Vendor_Analysis!C1130,Vendors!A:A,0))</f>
        <v xml:space="preserve">45 </v>
      </c>
      <c r="G1130" s="2">
        <v>45</v>
      </c>
      <c r="H1130" s="16">
        <f t="shared" si="17"/>
        <v>45395</v>
      </c>
      <c r="J1130" s="2"/>
    </row>
    <row r="1131" spans="1:10" x14ac:dyDescent="0.25">
      <c r="A1131" s="8" t="s">
        <v>1066</v>
      </c>
      <c r="B1131" s="8" t="s">
        <v>1051</v>
      </c>
      <c r="C1131" s="8" t="s">
        <v>55</v>
      </c>
      <c r="D1131" s="10">
        <v>45360</v>
      </c>
      <c r="E1131" s="9">
        <v>178737</v>
      </c>
      <c r="F1131" s="2" t="str">
        <f>INDEX(Vendors!E:E,MATCH(Vendor_Analysis!C1131,Vendors!A:A,0))</f>
        <v xml:space="preserve">30 </v>
      </c>
      <c r="G1131" s="2">
        <v>30</v>
      </c>
      <c r="H1131" s="16">
        <f t="shared" si="17"/>
        <v>45390</v>
      </c>
      <c r="J1131" s="2"/>
    </row>
    <row r="1132" spans="1:10" x14ac:dyDescent="0.25">
      <c r="A1132" s="8" t="s">
        <v>1067</v>
      </c>
      <c r="B1132" s="8" t="s">
        <v>1051</v>
      </c>
      <c r="C1132" s="8" t="s">
        <v>25</v>
      </c>
      <c r="D1132" s="10">
        <v>45367</v>
      </c>
      <c r="E1132" s="9">
        <v>95146</v>
      </c>
      <c r="F1132" s="2" t="str">
        <f>INDEX(Vendors!E:E,MATCH(Vendor_Analysis!C1132,Vendors!A:A,0))</f>
        <v xml:space="preserve">30 </v>
      </c>
      <c r="G1132" s="2">
        <v>30</v>
      </c>
      <c r="H1132" s="16">
        <f t="shared" si="17"/>
        <v>45397</v>
      </c>
      <c r="J1132" s="2"/>
    </row>
    <row r="1133" spans="1:10" x14ac:dyDescent="0.25">
      <c r="A1133" s="8" t="s">
        <v>1068</v>
      </c>
      <c r="B1133" s="8" t="s">
        <v>1051</v>
      </c>
      <c r="C1133" s="8" t="s">
        <v>6</v>
      </c>
      <c r="D1133" s="10">
        <v>45371</v>
      </c>
      <c r="E1133" s="9">
        <v>148716</v>
      </c>
      <c r="F1133" s="2" t="str">
        <f>INDEX(Vendors!E:E,MATCH(Vendor_Analysis!C1133,Vendors!A:A,0))</f>
        <v xml:space="preserve">60 </v>
      </c>
      <c r="G1133" s="2">
        <v>60</v>
      </c>
      <c r="H1133" s="16">
        <f t="shared" si="17"/>
        <v>45431</v>
      </c>
      <c r="J1133" s="2"/>
    </row>
    <row r="1134" spans="1:10" x14ac:dyDescent="0.25">
      <c r="A1134" s="8" t="s">
        <v>1069</v>
      </c>
      <c r="B1134" s="8" t="s">
        <v>1051</v>
      </c>
      <c r="C1134" s="8" t="s">
        <v>35</v>
      </c>
      <c r="D1134" s="10">
        <v>45390</v>
      </c>
      <c r="E1134" s="9">
        <v>320527</v>
      </c>
      <c r="F1134" s="2" t="str">
        <f>INDEX(Vendors!E:E,MATCH(Vendor_Analysis!C1134,Vendors!A:A,0))</f>
        <v xml:space="preserve">60 </v>
      </c>
      <c r="G1134" s="2">
        <v>60</v>
      </c>
      <c r="H1134" s="16">
        <f t="shared" si="17"/>
        <v>45450</v>
      </c>
      <c r="J1134" s="2"/>
    </row>
    <row r="1135" spans="1:10" x14ac:dyDescent="0.25">
      <c r="A1135" s="8" t="s">
        <v>1070</v>
      </c>
      <c r="B1135" s="8" t="s">
        <v>1051</v>
      </c>
      <c r="C1135" s="8" t="s">
        <v>21</v>
      </c>
      <c r="D1135" s="10">
        <v>45391</v>
      </c>
      <c r="E1135" s="9">
        <v>184992</v>
      </c>
      <c r="F1135" s="2" t="str">
        <f>INDEX(Vendors!E:E,MATCH(Vendor_Analysis!C1135,Vendors!A:A,0))</f>
        <v xml:space="preserve"> 90</v>
      </c>
      <c r="G1135" s="2">
        <v>90</v>
      </c>
      <c r="H1135" s="16">
        <f t="shared" si="17"/>
        <v>45481</v>
      </c>
      <c r="J1135" s="2"/>
    </row>
    <row r="1136" spans="1:10" x14ac:dyDescent="0.25">
      <c r="A1136" s="8" t="s">
        <v>1071</v>
      </c>
      <c r="B1136" s="8" t="s">
        <v>1051</v>
      </c>
      <c r="C1136" s="8" t="s">
        <v>35</v>
      </c>
      <c r="D1136" s="10">
        <v>45398</v>
      </c>
      <c r="E1136" s="9">
        <v>96138</v>
      </c>
      <c r="F1136" s="2" t="str">
        <f>INDEX(Vendors!E:E,MATCH(Vendor_Analysis!C1136,Vendors!A:A,0))</f>
        <v xml:space="preserve">60 </v>
      </c>
      <c r="G1136" s="2">
        <v>60</v>
      </c>
      <c r="H1136" s="16">
        <f t="shared" si="17"/>
        <v>45458</v>
      </c>
      <c r="J1136" s="2"/>
    </row>
    <row r="1137" spans="1:10" x14ac:dyDescent="0.25">
      <c r="A1137" s="8" t="s">
        <v>1072</v>
      </c>
      <c r="B1137" s="8" t="s">
        <v>1051</v>
      </c>
      <c r="C1137" s="8" t="s">
        <v>23</v>
      </c>
      <c r="D1137" s="10">
        <v>45411</v>
      </c>
      <c r="E1137" s="9">
        <v>156298</v>
      </c>
      <c r="F1137" s="2" t="str">
        <f>INDEX(Vendors!E:E,MATCH(Vendor_Analysis!C1137,Vendors!A:A,0))</f>
        <v xml:space="preserve"> 90</v>
      </c>
      <c r="G1137" s="2">
        <v>90</v>
      </c>
      <c r="H1137" s="16">
        <f t="shared" si="17"/>
        <v>45501</v>
      </c>
      <c r="J1137" s="2"/>
    </row>
    <row r="1138" spans="1:10" x14ac:dyDescent="0.25">
      <c r="A1138" s="8" t="s">
        <v>1073</v>
      </c>
      <c r="B1138" s="8" t="s">
        <v>1051</v>
      </c>
      <c r="C1138" s="8" t="s">
        <v>23</v>
      </c>
      <c r="D1138" s="10">
        <v>45411</v>
      </c>
      <c r="E1138" s="9">
        <v>171138</v>
      </c>
      <c r="F1138" s="2" t="str">
        <f>INDEX(Vendors!E:E,MATCH(Vendor_Analysis!C1138,Vendors!A:A,0))</f>
        <v xml:space="preserve"> 90</v>
      </c>
      <c r="G1138" s="2">
        <v>90</v>
      </c>
      <c r="H1138" s="16">
        <f t="shared" si="17"/>
        <v>45501</v>
      </c>
      <c r="J1138" s="2"/>
    </row>
    <row r="1139" spans="1:10" x14ac:dyDescent="0.25">
      <c r="A1139" s="8" t="s">
        <v>1074</v>
      </c>
      <c r="B1139" s="8" t="s">
        <v>1051</v>
      </c>
      <c r="C1139" s="8" t="s">
        <v>44</v>
      </c>
      <c r="D1139" s="10">
        <v>45424</v>
      </c>
      <c r="E1139" s="9">
        <v>249299</v>
      </c>
      <c r="F1139" s="2" t="str">
        <f>INDEX(Vendors!E:E,MATCH(Vendor_Analysis!C1139,Vendors!A:A,0))</f>
        <v xml:space="preserve">45 </v>
      </c>
      <c r="G1139" s="2">
        <v>45</v>
      </c>
      <c r="H1139" s="16">
        <f t="shared" si="17"/>
        <v>45469</v>
      </c>
      <c r="J1139" s="2"/>
    </row>
    <row r="1140" spans="1:10" x14ac:dyDescent="0.25">
      <c r="A1140" s="8" t="s">
        <v>1075</v>
      </c>
      <c r="B1140" s="8" t="s">
        <v>1051</v>
      </c>
      <c r="C1140" s="8" t="s">
        <v>19</v>
      </c>
      <c r="D1140" s="10">
        <v>45444</v>
      </c>
      <c r="E1140" s="9">
        <v>246452</v>
      </c>
      <c r="F1140" s="2" t="str">
        <f>INDEX(Vendors!E:E,MATCH(Vendor_Analysis!C1140,Vendors!A:A,0))</f>
        <v xml:space="preserve">45 </v>
      </c>
      <c r="G1140" s="2">
        <v>45</v>
      </c>
      <c r="H1140" s="16">
        <f t="shared" si="17"/>
        <v>45489</v>
      </c>
      <c r="J1140" s="2"/>
    </row>
    <row r="1141" spans="1:10" x14ac:dyDescent="0.25">
      <c r="A1141" s="8" t="s">
        <v>1076</v>
      </c>
      <c r="B1141" s="8" t="s">
        <v>1051</v>
      </c>
      <c r="C1141" s="8" t="s">
        <v>73</v>
      </c>
      <c r="D1141" s="10">
        <v>45456</v>
      </c>
      <c r="E1141" s="9">
        <v>92413</v>
      </c>
      <c r="F1141" s="2" t="str">
        <f>INDEX(Vendors!E:E,MATCH(Vendor_Analysis!C1141,Vendors!A:A,0))</f>
        <v xml:space="preserve">60 </v>
      </c>
      <c r="G1141" s="2">
        <v>60</v>
      </c>
      <c r="H1141" s="16">
        <f t="shared" si="17"/>
        <v>45516</v>
      </c>
      <c r="J1141" s="2"/>
    </row>
    <row r="1142" spans="1:10" x14ac:dyDescent="0.25">
      <c r="A1142" s="8" t="s">
        <v>1077</v>
      </c>
      <c r="B1142" s="8" t="s">
        <v>1051</v>
      </c>
      <c r="C1142" s="8" t="s">
        <v>23</v>
      </c>
      <c r="D1142" s="10">
        <v>45472</v>
      </c>
      <c r="E1142" s="9">
        <v>256197</v>
      </c>
      <c r="F1142" s="2" t="str">
        <f>INDEX(Vendors!E:E,MATCH(Vendor_Analysis!C1142,Vendors!A:A,0))</f>
        <v xml:space="preserve"> 90</v>
      </c>
      <c r="G1142" s="2">
        <v>90</v>
      </c>
      <c r="H1142" s="16">
        <f t="shared" si="17"/>
        <v>45562</v>
      </c>
      <c r="J1142" s="2"/>
    </row>
    <row r="1143" spans="1:10" x14ac:dyDescent="0.25">
      <c r="A1143" s="8" t="s">
        <v>1078</v>
      </c>
      <c r="B1143" s="8" t="s">
        <v>1051</v>
      </c>
      <c r="C1143" s="8" t="s">
        <v>14</v>
      </c>
      <c r="D1143" s="10">
        <v>45492</v>
      </c>
      <c r="E1143" s="9">
        <v>159424</v>
      </c>
      <c r="F1143" s="2" t="str">
        <f>INDEX(Vendors!E:E,MATCH(Vendor_Analysis!C1143,Vendors!A:A,0))</f>
        <v xml:space="preserve"> 90</v>
      </c>
      <c r="G1143" s="2">
        <v>90</v>
      </c>
      <c r="H1143" s="16">
        <f t="shared" si="17"/>
        <v>45582</v>
      </c>
      <c r="J1143" s="2"/>
    </row>
    <row r="1144" spans="1:10" x14ac:dyDescent="0.25">
      <c r="A1144" s="8" t="s">
        <v>1079</v>
      </c>
      <c r="B1144" s="8" t="s">
        <v>1051</v>
      </c>
      <c r="C1144" s="8" t="s">
        <v>25</v>
      </c>
      <c r="D1144" s="10">
        <v>45516</v>
      </c>
      <c r="E1144" s="9">
        <v>148030</v>
      </c>
      <c r="F1144" s="2" t="str">
        <f>INDEX(Vendors!E:E,MATCH(Vendor_Analysis!C1144,Vendors!A:A,0))</f>
        <v xml:space="preserve">30 </v>
      </c>
      <c r="G1144" s="2">
        <v>30</v>
      </c>
      <c r="H1144" s="16">
        <f t="shared" si="17"/>
        <v>45546</v>
      </c>
      <c r="J1144" s="2"/>
    </row>
    <row r="1145" spans="1:10" x14ac:dyDescent="0.25">
      <c r="A1145" s="8" t="s">
        <v>1080</v>
      </c>
      <c r="B1145" s="8" t="s">
        <v>1051</v>
      </c>
      <c r="C1145" s="8" t="s">
        <v>27</v>
      </c>
      <c r="D1145" s="10">
        <v>45520</v>
      </c>
      <c r="E1145" s="9">
        <v>275185</v>
      </c>
      <c r="F1145" s="2" t="str">
        <f>INDEX(Vendors!E:E,MATCH(Vendor_Analysis!C1145,Vendors!A:A,0))</f>
        <v xml:space="preserve">45 </v>
      </c>
      <c r="G1145" s="2">
        <v>45</v>
      </c>
      <c r="H1145" s="16">
        <f t="shared" si="17"/>
        <v>45565</v>
      </c>
      <c r="J1145" s="2"/>
    </row>
    <row r="1146" spans="1:10" x14ac:dyDescent="0.25">
      <c r="A1146" s="8" t="s">
        <v>1081</v>
      </c>
      <c r="B1146" s="8" t="s">
        <v>1051</v>
      </c>
      <c r="C1146" s="8" t="s">
        <v>48</v>
      </c>
      <c r="D1146" s="10">
        <v>45522</v>
      </c>
      <c r="E1146" s="9">
        <v>168932</v>
      </c>
      <c r="F1146" s="2" t="str">
        <f>INDEX(Vendors!E:E,MATCH(Vendor_Analysis!C1146,Vendors!A:A,0))</f>
        <v xml:space="preserve"> 90</v>
      </c>
      <c r="G1146" s="2">
        <v>90</v>
      </c>
      <c r="H1146" s="16">
        <f t="shared" si="17"/>
        <v>45612</v>
      </c>
      <c r="J1146" s="2"/>
    </row>
    <row r="1147" spans="1:10" x14ac:dyDescent="0.25">
      <c r="A1147" s="8" t="s">
        <v>1082</v>
      </c>
      <c r="B1147" s="8" t="s">
        <v>1051</v>
      </c>
      <c r="C1147" s="8" t="s">
        <v>50</v>
      </c>
      <c r="D1147" s="10">
        <v>45553</v>
      </c>
      <c r="E1147" s="9">
        <v>273495</v>
      </c>
      <c r="F1147" s="2" t="str">
        <f>INDEX(Vendors!E:E,MATCH(Vendor_Analysis!C1147,Vendors!A:A,0))</f>
        <v xml:space="preserve"> 90</v>
      </c>
      <c r="G1147" s="2">
        <v>90</v>
      </c>
      <c r="H1147" s="16">
        <f t="shared" si="17"/>
        <v>45643</v>
      </c>
      <c r="J1147" s="2"/>
    </row>
    <row r="1148" spans="1:10" x14ac:dyDescent="0.25">
      <c r="A1148" s="8" t="s">
        <v>1083</v>
      </c>
      <c r="B1148" s="8" t="s">
        <v>1051</v>
      </c>
      <c r="C1148" s="8" t="s">
        <v>10</v>
      </c>
      <c r="D1148" s="10">
        <v>45554</v>
      </c>
      <c r="E1148" s="9">
        <v>201875</v>
      </c>
      <c r="F1148" s="2" t="str">
        <f>INDEX(Vendors!E:E,MATCH(Vendor_Analysis!C1148,Vendors!A:A,0))</f>
        <v xml:space="preserve">60 </v>
      </c>
      <c r="G1148" s="2">
        <v>60</v>
      </c>
      <c r="H1148" s="16">
        <f t="shared" si="17"/>
        <v>45614</v>
      </c>
      <c r="J1148" s="2"/>
    </row>
    <row r="1149" spans="1:10" x14ac:dyDescent="0.25">
      <c r="A1149" s="8" t="s">
        <v>1084</v>
      </c>
      <c r="B1149" s="8" t="s">
        <v>1051</v>
      </c>
      <c r="C1149" s="8" t="s">
        <v>6</v>
      </c>
      <c r="D1149" s="10">
        <v>45561</v>
      </c>
      <c r="E1149" s="9">
        <v>721902</v>
      </c>
      <c r="F1149" s="2" t="str">
        <f>INDEX(Vendors!E:E,MATCH(Vendor_Analysis!C1149,Vendors!A:A,0))</f>
        <v xml:space="preserve">60 </v>
      </c>
      <c r="G1149" s="2">
        <v>60</v>
      </c>
      <c r="H1149" s="16">
        <f t="shared" si="17"/>
        <v>45621</v>
      </c>
      <c r="J1149" s="2"/>
    </row>
    <row r="1150" spans="1:10" x14ac:dyDescent="0.25">
      <c r="A1150" s="8" t="s">
        <v>1085</v>
      </c>
      <c r="B1150" s="8" t="s">
        <v>1051</v>
      </c>
      <c r="C1150" s="8" t="s">
        <v>17</v>
      </c>
      <c r="D1150" s="10">
        <v>45564</v>
      </c>
      <c r="E1150" s="9">
        <v>204931</v>
      </c>
      <c r="F1150" s="2" t="str">
        <f>INDEX(Vendors!E:E,MATCH(Vendor_Analysis!C1150,Vendors!A:A,0))</f>
        <v xml:space="preserve">45 </v>
      </c>
      <c r="G1150" s="2">
        <v>45</v>
      </c>
      <c r="H1150" s="16">
        <f t="shared" si="17"/>
        <v>45609</v>
      </c>
      <c r="J1150" s="2"/>
    </row>
    <row r="1151" spans="1:10" x14ac:dyDescent="0.25">
      <c r="A1151" s="8" t="s">
        <v>1086</v>
      </c>
      <c r="B1151" s="8" t="s">
        <v>1087</v>
      </c>
      <c r="C1151" s="8" t="s">
        <v>109</v>
      </c>
      <c r="D1151" s="10">
        <v>45657</v>
      </c>
      <c r="E1151" s="9">
        <v>161932</v>
      </c>
      <c r="F1151" s="2" t="str">
        <f>INDEX(Vendors!E:E,MATCH(Vendor_Analysis!C1151,Vendors!A:A,0))</f>
        <v xml:space="preserve">30 </v>
      </c>
      <c r="G1151" s="2">
        <v>30</v>
      </c>
      <c r="H1151" s="16">
        <f t="shared" si="17"/>
        <v>45687</v>
      </c>
      <c r="J1151" s="2"/>
    </row>
    <row r="1152" spans="1:10" x14ac:dyDescent="0.25">
      <c r="A1152" s="8" t="s">
        <v>1088</v>
      </c>
      <c r="B1152" s="8" t="s">
        <v>1087</v>
      </c>
      <c r="C1152" s="8" t="s">
        <v>109</v>
      </c>
      <c r="D1152" s="10">
        <v>45657</v>
      </c>
      <c r="E1152" s="9">
        <v>160345</v>
      </c>
      <c r="F1152" s="2" t="str">
        <f>INDEX(Vendors!E:E,MATCH(Vendor_Analysis!C1152,Vendors!A:A,0))</f>
        <v xml:space="preserve">30 </v>
      </c>
      <c r="G1152" s="2">
        <v>30</v>
      </c>
      <c r="H1152" s="16">
        <f t="shared" si="17"/>
        <v>45687</v>
      </c>
      <c r="J1152" s="2"/>
    </row>
    <row r="1153" spans="1:10" x14ac:dyDescent="0.25">
      <c r="A1153" s="8" t="s">
        <v>1089</v>
      </c>
      <c r="B1153" s="8" t="s">
        <v>1087</v>
      </c>
      <c r="C1153" s="8" t="s">
        <v>17</v>
      </c>
      <c r="D1153" s="10">
        <v>45658</v>
      </c>
      <c r="E1153" s="9">
        <v>187827</v>
      </c>
      <c r="F1153" s="2" t="str">
        <f>INDEX(Vendors!E:E,MATCH(Vendor_Analysis!C1153,Vendors!A:A,0))</f>
        <v xml:space="preserve">45 </v>
      </c>
      <c r="G1153" s="2">
        <v>45</v>
      </c>
      <c r="H1153" s="16">
        <f t="shared" si="17"/>
        <v>45703</v>
      </c>
      <c r="J1153" s="2"/>
    </row>
    <row r="1154" spans="1:10" x14ac:dyDescent="0.25">
      <c r="A1154" s="8" t="s">
        <v>1090</v>
      </c>
      <c r="B1154" s="8" t="s">
        <v>1087</v>
      </c>
      <c r="C1154" s="8" t="s">
        <v>110</v>
      </c>
      <c r="D1154" s="10">
        <v>45659</v>
      </c>
      <c r="E1154" s="9">
        <v>190724</v>
      </c>
      <c r="F1154" s="2" t="str">
        <f>INDEX(Vendors!E:E,MATCH(Vendor_Analysis!C1154,Vendors!A:A,0))</f>
        <v xml:space="preserve">30 </v>
      </c>
      <c r="G1154" s="2">
        <v>30</v>
      </c>
      <c r="H1154" s="16">
        <f t="shared" si="17"/>
        <v>45689</v>
      </c>
      <c r="J1154" s="2"/>
    </row>
    <row r="1155" spans="1:10" x14ac:dyDescent="0.25">
      <c r="A1155" s="8" t="s">
        <v>1091</v>
      </c>
      <c r="B1155" s="8" t="s">
        <v>1087</v>
      </c>
      <c r="C1155" s="8" t="s">
        <v>71</v>
      </c>
      <c r="D1155" s="10">
        <v>45662</v>
      </c>
      <c r="E1155" s="9">
        <v>163971</v>
      </c>
      <c r="F1155" s="2" t="str">
        <f>INDEX(Vendors!E:E,MATCH(Vendor_Analysis!C1155,Vendors!A:A,0))</f>
        <v xml:space="preserve">45 </v>
      </c>
      <c r="G1155" s="2">
        <v>45</v>
      </c>
      <c r="H1155" s="16">
        <f t="shared" ref="H1155:H1218" si="18">D1155+F1155</f>
        <v>45707</v>
      </c>
      <c r="J1155" s="2"/>
    </row>
    <row r="1156" spans="1:10" x14ac:dyDescent="0.25">
      <c r="A1156" s="8" t="s">
        <v>1092</v>
      </c>
      <c r="B1156" s="8" t="s">
        <v>1087</v>
      </c>
      <c r="C1156" s="8" t="s">
        <v>108</v>
      </c>
      <c r="D1156" s="10">
        <v>45663</v>
      </c>
      <c r="E1156" s="9">
        <v>160764</v>
      </c>
      <c r="F1156" s="2" t="str">
        <f>INDEX(Vendors!E:E,MATCH(Vendor_Analysis!C1156,Vendors!A:A,0))</f>
        <v xml:space="preserve"> 90</v>
      </c>
      <c r="G1156" s="2">
        <v>90</v>
      </c>
      <c r="H1156" s="16">
        <f t="shared" si="18"/>
        <v>45753</v>
      </c>
      <c r="J1156" s="2"/>
    </row>
    <row r="1157" spans="1:10" x14ac:dyDescent="0.25">
      <c r="A1157" s="8" t="s">
        <v>1093</v>
      </c>
      <c r="B1157" s="8" t="s">
        <v>1087</v>
      </c>
      <c r="C1157" s="8" t="s">
        <v>29</v>
      </c>
      <c r="D1157" s="10">
        <v>45683</v>
      </c>
      <c r="E1157" s="9">
        <v>152836</v>
      </c>
      <c r="F1157" s="2" t="str">
        <f>INDEX(Vendors!E:E,MATCH(Vendor_Analysis!C1157,Vendors!A:A,0))</f>
        <v xml:space="preserve">30 </v>
      </c>
      <c r="G1157" s="2">
        <v>30</v>
      </c>
      <c r="H1157" s="16">
        <f t="shared" si="18"/>
        <v>45713</v>
      </c>
      <c r="J1157" s="2"/>
    </row>
    <row r="1158" spans="1:10" x14ac:dyDescent="0.25">
      <c r="A1158" s="8" t="s">
        <v>1094</v>
      </c>
      <c r="B1158" s="8" t="s">
        <v>1087</v>
      </c>
      <c r="C1158" s="8" t="s">
        <v>55</v>
      </c>
      <c r="D1158" s="10">
        <v>45698</v>
      </c>
      <c r="E1158" s="9">
        <v>174946</v>
      </c>
      <c r="F1158" s="2" t="str">
        <f>INDEX(Vendors!E:E,MATCH(Vendor_Analysis!C1158,Vendors!A:A,0))</f>
        <v xml:space="preserve">30 </v>
      </c>
      <c r="G1158" s="2">
        <v>30</v>
      </c>
      <c r="H1158" s="16">
        <f t="shared" si="18"/>
        <v>45728</v>
      </c>
      <c r="J1158" s="2"/>
    </row>
    <row r="1159" spans="1:10" x14ac:dyDescent="0.25">
      <c r="A1159" s="8" t="s">
        <v>1095</v>
      </c>
      <c r="B1159" s="8" t="s">
        <v>1087</v>
      </c>
      <c r="C1159" s="8" t="s">
        <v>50</v>
      </c>
      <c r="D1159" s="10">
        <v>45699</v>
      </c>
      <c r="E1159" s="9">
        <v>193896</v>
      </c>
      <c r="F1159" s="2" t="str">
        <f>INDEX(Vendors!E:E,MATCH(Vendor_Analysis!C1159,Vendors!A:A,0))</f>
        <v xml:space="preserve"> 90</v>
      </c>
      <c r="G1159" s="2">
        <v>90</v>
      </c>
      <c r="H1159" s="16">
        <f t="shared" si="18"/>
        <v>45789</v>
      </c>
      <c r="J1159" s="2"/>
    </row>
    <row r="1160" spans="1:10" x14ac:dyDescent="0.25">
      <c r="A1160" s="8" t="s">
        <v>1096</v>
      </c>
      <c r="B1160" s="8" t="s">
        <v>1087</v>
      </c>
      <c r="C1160" s="8" t="s">
        <v>14</v>
      </c>
      <c r="D1160" s="10">
        <v>45728</v>
      </c>
      <c r="E1160" s="9">
        <v>80947</v>
      </c>
      <c r="F1160" s="2" t="str">
        <f>INDEX(Vendors!E:E,MATCH(Vendor_Analysis!C1160,Vendors!A:A,0))</f>
        <v xml:space="preserve"> 90</v>
      </c>
      <c r="G1160" s="2">
        <v>90</v>
      </c>
      <c r="H1160" s="16">
        <f t="shared" si="18"/>
        <v>45818</v>
      </c>
      <c r="J1160" s="2"/>
    </row>
    <row r="1161" spans="1:10" x14ac:dyDescent="0.25">
      <c r="A1161" s="8" t="s">
        <v>1097</v>
      </c>
      <c r="B1161" s="8" t="s">
        <v>1087</v>
      </c>
      <c r="C1161" s="8" t="s">
        <v>73</v>
      </c>
      <c r="D1161" s="10">
        <v>45733</v>
      </c>
      <c r="E1161" s="9">
        <v>132217</v>
      </c>
      <c r="F1161" s="2" t="str">
        <f>INDEX(Vendors!E:E,MATCH(Vendor_Analysis!C1161,Vendors!A:A,0))</f>
        <v xml:space="preserve">60 </v>
      </c>
      <c r="G1161" s="2">
        <v>60</v>
      </c>
      <c r="H1161" s="16">
        <f t="shared" si="18"/>
        <v>45793</v>
      </c>
      <c r="J1161" s="2"/>
    </row>
    <row r="1162" spans="1:10" x14ac:dyDescent="0.25">
      <c r="A1162" s="8" t="s">
        <v>1098</v>
      </c>
      <c r="B1162" s="8" t="s">
        <v>1087</v>
      </c>
      <c r="C1162" s="8" t="s">
        <v>8</v>
      </c>
      <c r="D1162" s="10">
        <v>45733</v>
      </c>
      <c r="E1162" s="9">
        <v>131554</v>
      </c>
      <c r="F1162" s="2" t="str">
        <f>INDEX(Vendors!E:E,MATCH(Vendor_Analysis!C1162,Vendors!A:A,0))</f>
        <v xml:space="preserve">60 </v>
      </c>
      <c r="G1162" s="2">
        <v>60</v>
      </c>
      <c r="H1162" s="16">
        <f t="shared" si="18"/>
        <v>45793</v>
      </c>
      <c r="J1162" s="2"/>
    </row>
    <row r="1163" spans="1:10" x14ac:dyDescent="0.25">
      <c r="A1163" s="8" t="s">
        <v>1099</v>
      </c>
      <c r="B1163" s="8" t="s">
        <v>1087</v>
      </c>
      <c r="C1163" s="8" t="s">
        <v>73</v>
      </c>
      <c r="D1163" s="10">
        <v>45734</v>
      </c>
      <c r="E1163" s="9">
        <v>99350</v>
      </c>
      <c r="F1163" s="2" t="str">
        <f>INDEX(Vendors!E:E,MATCH(Vendor_Analysis!C1163,Vendors!A:A,0))</f>
        <v xml:space="preserve">60 </v>
      </c>
      <c r="G1163" s="2">
        <v>60</v>
      </c>
      <c r="H1163" s="16">
        <f t="shared" si="18"/>
        <v>45794</v>
      </c>
      <c r="J1163" s="2"/>
    </row>
    <row r="1164" spans="1:10" x14ac:dyDescent="0.25">
      <c r="A1164" s="8" t="s">
        <v>1100</v>
      </c>
      <c r="B1164" s="8" t="s">
        <v>1087</v>
      </c>
      <c r="C1164" s="8" t="s">
        <v>14</v>
      </c>
      <c r="D1164" s="10">
        <v>45735</v>
      </c>
      <c r="E1164" s="9">
        <v>182499</v>
      </c>
      <c r="F1164" s="2" t="str">
        <f>INDEX(Vendors!E:E,MATCH(Vendor_Analysis!C1164,Vendors!A:A,0))</f>
        <v xml:space="preserve"> 90</v>
      </c>
      <c r="G1164" s="2">
        <v>90</v>
      </c>
      <c r="H1164" s="16">
        <f t="shared" si="18"/>
        <v>45825</v>
      </c>
      <c r="J1164" s="2"/>
    </row>
    <row r="1165" spans="1:10" x14ac:dyDescent="0.25">
      <c r="A1165" s="8" t="s">
        <v>1101</v>
      </c>
      <c r="B1165" s="8" t="s">
        <v>1087</v>
      </c>
      <c r="C1165" s="8" t="s">
        <v>73</v>
      </c>
      <c r="D1165" s="10">
        <v>45740</v>
      </c>
      <c r="E1165" s="9">
        <v>121768</v>
      </c>
      <c r="F1165" s="2" t="str">
        <f>INDEX(Vendors!E:E,MATCH(Vendor_Analysis!C1165,Vendors!A:A,0))</f>
        <v xml:space="preserve">60 </v>
      </c>
      <c r="G1165" s="2">
        <v>60</v>
      </c>
      <c r="H1165" s="16">
        <f t="shared" si="18"/>
        <v>45800</v>
      </c>
      <c r="J1165" s="2"/>
    </row>
    <row r="1166" spans="1:10" x14ac:dyDescent="0.25">
      <c r="A1166" s="8" t="s">
        <v>1102</v>
      </c>
      <c r="B1166" s="8" t="s">
        <v>1087</v>
      </c>
      <c r="C1166" s="8" t="s">
        <v>6</v>
      </c>
      <c r="D1166" s="10">
        <v>45741</v>
      </c>
      <c r="E1166" s="9">
        <v>128339</v>
      </c>
      <c r="F1166" s="2" t="str">
        <f>INDEX(Vendors!E:E,MATCH(Vendor_Analysis!C1166,Vendors!A:A,0))</f>
        <v xml:space="preserve">60 </v>
      </c>
      <c r="G1166" s="2">
        <v>60</v>
      </c>
      <c r="H1166" s="16">
        <f t="shared" si="18"/>
        <v>45801</v>
      </c>
      <c r="J1166" s="2"/>
    </row>
    <row r="1167" spans="1:10" x14ac:dyDescent="0.25">
      <c r="A1167" s="8" t="s">
        <v>1103</v>
      </c>
      <c r="B1167" s="8" t="s">
        <v>1087</v>
      </c>
      <c r="C1167" s="8" t="s">
        <v>73</v>
      </c>
      <c r="D1167" s="10">
        <v>45778</v>
      </c>
      <c r="E1167" s="9">
        <v>98035</v>
      </c>
      <c r="F1167" s="2" t="str">
        <f>INDEX(Vendors!E:E,MATCH(Vendor_Analysis!C1167,Vendors!A:A,0))</f>
        <v xml:space="preserve">60 </v>
      </c>
      <c r="G1167" s="2">
        <v>60</v>
      </c>
      <c r="H1167" s="16">
        <f t="shared" si="18"/>
        <v>45838</v>
      </c>
      <c r="J1167" s="2"/>
    </row>
    <row r="1168" spans="1:10" x14ac:dyDescent="0.25">
      <c r="A1168" s="8" t="s">
        <v>1104</v>
      </c>
      <c r="B1168" s="8" t="s">
        <v>1087</v>
      </c>
      <c r="C1168" s="8" t="s">
        <v>27</v>
      </c>
      <c r="D1168" s="10">
        <v>45779</v>
      </c>
      <c r="E1168" s="9">
        <v>191730</v>
      </c>
      <c r="F1168" s="2" t="str">
        <f>INDEX(Vendors!E:E,MATCH(Vendor_Analysis!C1168,Vendors!A:A,0))</f>
        <v xml:space="preserve">45 </v>
      </c>
      <c r="G1168" s="2">
        <v>45</v>
      </c>
      <c r="H1168" s="16">
        <f t="shared" si="18"/>
        <v>45824</v>
      </c>
      <c r="J1168" s="2"/>
    </row>
    <row r="1169" spans="1:10" x14ac:dyDescent="0.25">
      <c r="A1169" s="8" t="s">
        <v>1105</v>
      </c>
      <c r="B1169" s="8" t="s">
        <v>1087</v>
      </c>
      <c r="C1169" s="8" t="s">
        <v>73</v>
      </c>
      <c r="D1169" s="10">
        <v>45794</v>
      </c>
      <c r="E1169" s="9">
        <v>77641</v>
      </c>
      <c r="F1169" s="2" t="str">
        <f>INDEX(Vendors!E:E,MATCH(Vendor_Analysis!C1169,Vendors!A:A,0))</f>
        <v xml:space="preserve">60 </v>
      </c>
      <c r="G1169" s="2">
        <v>60</v>
      </c>
      <c r="H1169" s="16">
        <f t="shared" si="18"/>
        <v>45854</v>
      </c>
      <c r="J1169" s="2"/>
    </row>
    <row r="1170" spans="1:10" x14ac:dyDescent="0.25">
      <c r="A1170" s="8" t="s">
        <v>1106</v>
      </c>
      <c r="B1170" s="8" t="s">
        <v>1087</v>
      </c>
      <c r="C1170" s="8" t="s">
        <v>12</v>
      </c>
      <c r="D1170" s="10">
        <v>45798</v>
      </c>
      <c r="E1170" s="9">
        <v>88494</v>
      </c>
      <c r="F1170" s="2" t="str">
        <f>INDEX(Vendors!E:E,MATCH(Vendor_Analysis!C1170,Vendors!A:A,0))</f>
        <v xml:space="preserve">30 </v>
      </c>
      <c r="G1170" s="2">
        <v>30</v>
      </c>
      <c r="H1170" s="16">
        <f t="shared" si="18"/>
        <v>45828</v>
      </c>
      <c r="J1170" s="2"/>
    </row>
    <row r="1171" spans="1:10" x14ac:dyDescent="0.25">
      <c r="A1171" s="8" t="s">
        <v>1107</v>
      </c>
      <c r="B1171" s="8" t="s">
        <v>1087</v>
      </c>
      <c r="C1171" s="8" t="s">
        <v>6</v>
      </c>
      <c r="D1171" s="10">
        <v>45836</v>
      </c>
      <c r="E1171" s="9">
        <v>67433</v>
      </c>
      <c r="F1171" s="2" t="str">
        <f>INDEX(Vendors!E:E,MATCH(Vendor_Analysis!C1171,Vendors!A:A,0))</f>
        <v xml:space="preserve">60 </v>
      </c>
      <c r="G1171" s="2">
        <v>60</v>
      </c>
      <c r="H1171" s="16">
        <f t="shared" si="18"/>
        <v>45896</v>
      </c>
      <c r="J1171" s="2"/>
    </row>
    <row r="1172" spans="1:10" x14ac:dyDescent="0.25">
      <c r="A1172" s="8" t="s">
        <v>1108</v>
      </c>
      <c r="B1172" s="8" t="s">
        <v>1087</v>
      </c>
      <c r="C1172" s="8" t="s">
        <v>44</v>
      </c>
      <c r="D1172" s="10">
        <v>45877</v>
      </c>
      <c r="E1172" s="9">
        <v>172790</v>
      </c>
      <c r="F1172" s="2" t="str">
        <f>INDEX(Vendors!E:E,MATCH(Vendor_Analysis!C1172,Vendors!A:A,0))</f>
        <v xml:space="preserve">45 </v>
      </c>
      <c r="G1172" s="2">
        <v>45</v>
      </c>
      <c r="H1172" s="16">
        <f t="shared" si="18"/>
        <v>45922</v>
      </c>
      <c r="J1172" s="2"/>
    </row>
    <row r="1173" spans="1:10" x14ac:dyDescent="0.25">
      <c r="A1173" s="8" t="s">
        <v>1109</v>
      </c>
      <c r="B1173" s="8" t="s">
        <v>1110</v>
      </c>
      <c r="C1173" s="8" t="s">
        <v>12</v>
      </c>
      <c r="D1173" s="10">
        <v>45515</v>
      </c>
      <c r="E1173" s="9">
        <v>76503</v>
      </c>
      <c r="F1173" s="2" t="str">
        <f>INDEX(Vendors!E:E,MATCH(Vendor_Analysis!C1173,Vendors!A:A,0))</f>
        <v xml:space="preserve">30 </v>
      </c>
      <c r="G1173" s="2">
        <v>30</v>
      </c>
      <c r="H1173" s="16">
        <f t="shared" si="18"/>
        <v>45545</v>
      </c>
      <c r="J1173" s="2"/>
    </row>
    <row r="1174" spans="1:10" x14ac:dyDescent="0.25">
      <c r="A1174" s="8" t="s">
        <v>1111</v>
      </c>
      <c r="B1174" s="8" t="s">
        <v>1110</v>
      </c>
      <c r="C1174" s="8" t="s">
        <v>91</v>
      </c>
      <c r="D1174" s="10">
        <v>45545</v>
      </c>
      <c r="E1174" s="9">
        <v>100617</v>
      </c>
      <c r="F1174" s="2" t="str">
        <f>INDEX(Vendors!E:E,MATCH(Vendor_Analysis!C1174,Vendors!A:A,0))</f>
        <v xml:space="preserve">60 </v>
      </c>
      <c r="G1174" s="2">
        <v>60</v>
      </c>
      <c r="H1174" s="16">
        <f t="shared" si="18"/>
        <v>45605</v>
      </c>
      <c r="J1174" s="2"/>
    </row>
    <row r="1175" spans="1:10" x14ac:dyDescent="0.25">
      <c r="A1175" s="8" t="s">
        <v>1112</v>
      </c>
      <c r="B1175" s="8" t="s">
        <v>1110</v>
      </c>
      <c r="C1175" s="8" t="s">
        <v>29</v>
      </c>
      <c r="D1175" s="10">
        <v>45550</v>
      </c>
      <c r="E1175" s="9">
        <v>192740</v>
      </c>
      <c r="F1175" s="2" t="str">
        <f>INDEX(Vendors!E:E,MATCH(Vendor_Analysis!C1175,Vendors!A:A,0))</f>
        <v xml:space="preserve">30 </v>
      </c>
      <c r="G1175" s="2">
        <v>30</v>
      </c>
      <c r="H1175" s="16">
        <f t="shared" si="18"/>
        <v>45580</v>
      </c>
      <c r="J1175" s="2"/>
    </row>
    <row r="1176" spans="1:10" x14ac:dyDescent="0.25">
      <c r="A1176" s="8" t="s">
        <v>1113</v>
      </c>
      <c r="B1176" s="8" t="s">
        <v>1110</v>
      </c>
      <c r="C1176" s="8" t="s">
        <v>48</v>
      </c>
      <c r="D1176" s="10">
        <v>45562</v>
      </c>
      <c r="E1176" s="9">
        <v>114258</v>
      </c>
      <c r="F1176" s="2" t="str">
        <f>INDEX(Vendors!E:E,MATCH(Vendor_Analysis!C1176,Vendors!A:A,0))</f>
        <v xml:space="preserve"> 90</v>
      </c>
      <c r="G1176" s="2">
        <v>90</v>
      </c>
      <c r="H1176" s="16">
        <f t="shared" si="18"/>
        <v>45652</v>
      </c>
      <c r="J1176" s="2"/>
    </row>
    <row r="1177" spans="1:10" x14ac:dyDescent="0.25">
      <c r="A1177" s="8" t="s">
        <v>1114</v>
      </c>
      <c r="B1177" s="8" t="s">
        <v>1110</v>
      </c>
      <c r="C1177" s="8" t="s">
        <v>14</v>
      </c>
      <c r="D1177" s="10">
        <v>45562</v>
      </c>
      <c r="E1177" s="9">
        <v>55189</v>
      </c>
      <c r="F1177" s="2" t="str">
        <f>INDEX(Vendors!E:E,MATCH(Vendor_Analysis!C1177,Vendors!A:A,0))</f>
        <v xml:space="preserve"> 90</v>
      </c>
      <c r="G1177" s="2">
        <v>90</v>
      </c>
      <c r="H1177" s="16">
        <f t="shared" si="18"/>
        <v>45652</v>
      </c>
      <c r="J1177" s="2"/>
    </row>
    <row r="1178" spans="1:10" x14ac:dyDescent="0.25">
      <c r="A1178" s="8" t="s">
        <v>1115</v>
      </c>
      <c r="B1178" s="8" t="s">
        <v>1110</v>
      </c>
      <c r="C1178" s="8" t="s">
        <v>55</v>
      </c>
      <c r="D1178" s="10">
        <v>45566</v>
      </c>
      <c r="E1178" s="9">
        <v>116206</v>
      </c>
      <c r="F1178" s="2" t="str">
        <f>INDEX(Vendors!E:E,MATCH(Vendor_Analysis!C1178,Vendors!A:A,0))</f>
        <v xml:space="preserve">30 </v>
      </c>
      <c r="G1178" s="2">
        <v>30</v>
      </c>
      <c r="H1178" s="16">
        <f t="shared" si="18"/>
        <v>45596</v>
      </c>
      <c r="J1178" s="2"/>
    </row>
    <row r="1179" spans="1:10" x14ac:dyDescent="0.25">
      <c r="A1179" s="8" t="s">
        <v>1116</v>
      </c>
      <c r="B1179" s="8" t="s">
        <v>1110</v>
      </c>
      <c r="C1179" s="8" t="s">
        <v>55</v>
      </c>
      <c r="D1179" s="10">
        <v>45576</v>
      </c>
      <c r="E1179" s="9">
        <v>109410</v>
      </c>
      <c r="F1179" s="2" t="str">
        <f>INDEX(Vendors!E:E,MATCH(Vendor_Analysis!C1179,Vendors!A:A,0))</f>
        <v xml:space="preserve">30 </v>
      </c>
      <c r="G1179" s="2">
        <v>30</v>
      </c>
      <c r="H1179" s="16">
        <f t="shared" si="18"/>
        <v>45606</v>
      </c>
      <c r="J1179" s="2"/>
    </row>
    <row r="1180" spans="1:10" x14ac:dyDescent="0.25">
      <c r="A1180" s="8" t="s">
        <v>1117</v>
      </c>
      <c r="B1180" s="8" t="s">
        <v>1110</v>
      </c>
      <c r="C1180" s="8" t="s">
        <v>25</v>
      </c>
      <c r="D1180" s="10">
        <v>45578</v>
      </c>
      <c r="E1180" s="9">
        <v>65602</v>
      </c>
      <c r="F1180" s="2" t="str">
        <f>INDEX(Vendors!E:E,MATCH(Vendor_Analysis!C1180,Vendors!A:A,0))</f>
        <v xml:space="preserve">30 </v>
      </c>
      <c r="G1180" s="2">
        <v>30</v>
      </c>
      <c r="H1180" s="16">
        <f t="shared" si="18"/>
        <v>45608</v>
      </c>
      <c r="J1180" s="2"/>
    </row>
    <row r="1181" spans="1:10" x14ac:dyDescent="0.25">
      <c r="A1181" s="8" t="s">
        <v>1118</v>
      </c>
      <c r="B1181" s="8" t="s">
        <v>1110</v>
      </c>
      <c r="C1181" s="8" t="s">
        <v>71</v>
      </c>
      <c r="D1181" s="10">
        <v>45600</v>
      </c>
      <c r="E1181" s="9">
        <v>72425</v>
      </c>
      <c r="F1181" s="2" t="str">
        <f>INDEX(Vendors!E:E,MATCH(Vendor_Analysis!C1181,Vendors!A:A,0))</f>
        <v xml:space="preserve">45 </v>
      </c>
      <c r="G1181" s="2">
        <v>45</v>
      </c>
      <c r="H1181" s="16">
        <f t="shared" si="18"/>
        <v>45645</v>
      </c>
      <c r="J1181" s="2"/>
    </row>
    <row r="1182" spans="1:10" x14ac:dyDescent="0.25">
      <c r="A1182" s="8" t="s">
        <v>1119</v>
      </c>
      <c r="B1182" s="8" t="s">
        <v>1110</v>
      </c>
      <c r="C1182" s="8" t="s">
        <v>73</v>
      </c>
      <c r="D1182" s="10">
        <v>45602</v>
      </c>
      <c r="E1182" s="9">
        <v>40596</v>
      </c>
      <c r="F1182" s="2" t="str">
        <f>INDEX(Vendors!E:E,MATCH(Vendor_Analysis!C1182,Vendors!A:A,0))</f>
        <v xml:space="preserve">60 </v>
      </c>
      <c r="G1182" s="2">
        <v>60</v>
      </c>
      <c r="H1182" s="16">
        <f t="shared" si="18"/>
        <v>45662</v>
      </c>
      <c r="J1182" s="2"/>
    </row>
    <row r="1183" spans="1:10" x14ac:dyDescent="0.25">
      <c r="A1183" s="8" t="s">
        <v>1120</v>
      </c>
      <c r="B1183" s="8" t="s">
        <v>1110</v>
      </c>
      <c r="C1183" s="8" t="s">
        <v>33</v>
      </c>
      <c r="D1183" s="10">
        <v>45619</v>
      </c>
      <c r="E1183" s="9">
        <v>58450</v>
      </c>
      <c r="F1183" s="2" t="str">
        <f>INDEX(Vendors!E:E,MATCH(Vendor_Analysis!C1183,Vendors!A:A,0))</f>
        <v xml:space="preserve">30 </v>
      </c>
      <c r="G1183" s="2">
        <v>30</v>
      </c>
      <c r="H1183" s="16">
        <f t="shared" si="18"/>
        <v>45649</v>
      </c>
      <c r="J1183" s="2"/>
    </row>
    <row r="1184" spans="1:10" x14ac:dyDescent="0.25">
      <c r="A1184" s="8" t="s">
        <v>1121</v>
      </c>
      <c r="B1184" s="8" t="s">
        <v>1110</v>
      </c>
      <c r="C1184" s="8" t="s">
        <v>44</v>
      </c>
      <c r="D1184" s="10">
        <v>45629</v>
      </c>
      <c r="E1184" s="9">
        <v>132309</v>
      </c>
      <c r="F1184" s="2" t="str">
        <f>INDEX(Vendors!E:E,MATCH(Vendor_Analysis!C1184,Vendors!A:A,0))</f>
        <v xml:space="preserve">45 </v>
      </c>
      <c r="G1184" s="2">
        <v>45</v>
      </c>
      <c r="H1184" s="16">
        <f t="shared" si="18"/>
        <v>45674</v>
      </c>
      <c r="J1184" s="2"/>
    </row>
    <row r="1185" spans="1:10" x14ac:dyDescent="0.25">
      <c r="A1185" s="8" t="s">
        <v>1122</v>
      </c>
      <c r="B1185" s="8" t="s">
        <v>1110</v>
      </c>
      <c r="C1185" s="8" t="s">
        <v>73</v>
      </c>
      <c r="D1185" s="10">
        <v>45630</v>
      </c>
      <c r="E1185" s="9">
        <v>112453</v>
      </c>
      <c r="F1185" s="2" t="str">
        <f>INDEX(Vendors!E:E,MATCH(Vendor_Analysis!C1185,Vendors!A:A,0))</f>
        <v xml:space="preserve">60 </v>
      </c>
      <c r="G1185" s="2">
        <v>60</v>
      </c>
      <c r="H1185" s="16">
        <f t="shared" si="18"/>
        <v>45690</v>
      </c>
      <c r="J1185" s="2"/>
    </row>
    <row r="1186" spans="1:10" x14ac:dyDescent="0.25">
      <c r="A1186" s="8" t="s">
        <v>1123</v>
      </c>
      <c r="B1186" s="8" t="s">
        <v>1110</v>
      </c>
      <c r="C1186" s="8" t="s">
        <v>50</v>
      </c>
      <c r="D1186" s="10">
        <v>45639</v>
      </c>
      <c r="E1186" s="9">
        <v>79226</v>
      </c>
      <c r="F1186" s="2" t="str">
        <f>INDEX(Vendors!E:E,MATCH(Vendor_Analysis!C1186,Vendors!A:A,0))</f>
        <v xml:space="preserve"> 90</v>
      </c>
      <c r="G1186" s="2">
        <v>90</v>
      </c>
      <c r="H1186" s="16">
        <f t="shared" si="18"/>
        <v>45729</v>
      </c>
      <c r="J1186" s="2"/>
    </row>
    <row r="1187" spans="1:10" x14ac:dyDescent="0.25">
      <c r="A1187" s="8" t="s">
        <v>1124</v>
      </c>
      <c r="B1187" s="8" t="s">
        <v>1110</v>
      </c>
      <c r="C1187" s="8" t="s">
        <v>110</v>
      </c>
      <c r="D1187" s="10">
        <v>45640</v>
      </c>
      <c r="E1187" s="9">
        <v>88526</v>
      </c>
      <c r="F1187" s="2" t="str">
        <f>INDEX(Vendors!E:E,MATCH(Vendor_Analysis!C1187,Vendors!A:A,0))</f>
        <v xml:space="preserve">30 </v>
      </c>
      <c r="G1187" s="2">
        <v>30</v>
      </c>
      <c r="H1187" s="16">
        <f t="shared" si="18"/>
        <v>45670</v>
      </c>
      <c r="J1187" s="2"/>
    </row>
    <row r="1188" spans="1:10" x14ac:dyDescent="0.25">
      <c r="A1188" s="8" t="s">
        <v>1125</v>
      </c>
      <c r="B1188" s="8" t="s">
        <v>1110</v>
      </c>
      <c r="C1188" s="8" t="s">
        <v>6</v>
      </c>
      <c r="D1188" s="10">
        <v>45644</v>
      </c>
      <c r="E1188" s="9">
        <v>39898</v>
      </c>
      <c r="F1188" s="2" t="str">
        <f>INDEX(Vendors!E:E,MATCH(Vendor_Analysis!C1188,Vendors!A:A,0))</f>
        <v xml:space="preserve">60 </v>
      </c>
      <c r="G1188" s="2">
        <v>60</v>
      </c>
      <c r="H1188" s="16">
        <f t="shared" si="18"/>
        <v>45704</v>
      </c>
      <c r="J1188" s="2"/>
    </row>
    <row r="1189" spans="1:10" x14ac:dyDescent="0.25">
      <c r="A1189" s="8" t="s">
        <v>1126</v>
      </c>
      <c r="B1189" s="8" t="s">
        <v>1110</v>
      </c>
      <c r="C1189" s="8" t="s">
        <v>91</v>
      </c>
      <c r="D1189" s="10">
        <v>45670</v>
      </c>
      <c r="E1189" s="9">
        <v>44386</v>
      </c>
      <c r="F1189" s="2" t="str">
        <f>INDEX(Vendors!E:E,MATCH(Vendor_Analysis!C1189,Vendors!A:A,0))</f>
        <v xml:space="preserve">60 </v>
      </c>
      <c r="G1189" s="2">
        <v>60</v>
      </c>
      <c r="H1189" s="16">
        <f t="shared" si="18"/>
        <v>45730</v>
      </c>
      <c r="J1189" s="2"/>
    </row>
    <row r="1190" spans="1:10" x14ac:dyDescent="0.25">
      <c r="A1190" s="8" t="s">
        <v>1127</v>
      </c>
      <c r="B1190" s="8" t="s">
        <v>1110</v>
      </c>
      <c r="C1190" s="8" t="s">
        <v>110</v>
      </c>
      <c r="D1190" s="10">
        <v>45677</v>
      </c>
      <c r="E1190" s="9">
        <v>109368</v>
      </c>
      <c r="F1190" s="2" t="str">
        <f>INDEX(Vendors!E:E,MATCH(Vendor_Analysis!C1190,Vendors!A:A,0))</f>
        <v xml:space="preserve">30 </v>
      </c>
      <c r="G1190" s="2">
        <v>30</v>
      </c>
      <c r="H1190" s="16">
        <f t="shared" si="18"/>
        <v>45707</v>
      </c>
      <c r="J1190" s="2"/>
    </row>
    <row r="1191" spans="1:10" x14ac:dyDescent="0.25">
      <c r="A1191" s="8" t="s">
        <v>1128</v>
      </c>
      <c r="B1191" s="8" t="s">
        <v>1110</v>
      </c>
      <c r="C1191" s="8" t="s">
        <v>73</v>
      </c>
      <c r="D1191" s="10">
        <v>45678</v>
      </c>
      <c r="E1191" s="9">
        <v>94188</v>
      </c>
      <c r="F1191" s="2" t="str">
        <f>INDEX(Vendors!E:E,MATCH(Vendor_Analysis!C1191,Vendors!A:A,0))</f>
        <v xml:space="preserve">60 </v>
      </c>
      <c r="G1191" s="2">
        <v>60</v>
      </c>
      <c r="H1191" s="16">
        <f t="shared" si="18"/>
        <v>45738</v>
      </c>
      <c r="J1191" s="2"/>
    </row>
    <row r="1192" spans="1:10" x14ac:dyDescent="0.25">
      <c r="A1192" s="8" t="s">
        <v>1129</v>
      </c>
      <c r="B1192" s="8" t="s">
        <v>1110</v>
      </c>
      <c r="C1192" s="8" t="s">
        <v>71</v>
      </c>
      <c r="D1192" s="10">
        <v>45696</v>
      </c>
      <c r="E1192" s="9">
        <v>100252</v>
      </c>
      <c r="F1192" s="2" t="str">
        <f>INDEX(Vendors!E:E,MATCH(Vendor_Analysis!C1192,Vendors!A:A,0))</f>
        <v xml:space="preserve">45 </v>
      </c>
      <c r="G1192" s="2">
        <v>45</v>
      </c>
      <c r="H1192" s="16">
        <f t="shared" si="18"/>
        <v>45741</v>
      </c>
      <c r="J1192" s="2"/>
    </row>
    <row r="1193" spans="1:10" x14ac:dyDescent="0.25">
      <c r="A1193" s="8" t="s">
        <v>1130</v>
      </c>
      <c r="B1193" s="8" t="s">
        <v>1110</v>
      </c>
      <c r="C1193" s="8" t="s">
        <v>12</v>
      </c>
      <c r="D1193" s="10">
        <v>45698</v>
      </c>
      <c r="E1193" s="9">
        <v>47248</v>
      </c>
      <c r="F1193" s="2" t="str">
        <f>INDEX(Vendors!E:E,MATCH(Vendor_Analysis!C1193,Vendors!A:A,0))</f>
        <v xml:space="preserve">30 </v>
      </c>
      <c r="G1193" s="2">
        <v>30</v>
      </c>
      <c r="H1193" s="16">
        <f t="shared" si="18"/>
        <v>45728</v>
      </c>
      <c r="J1193" s="2"/>
    </row>
    <row r="1194" spans="1:10" x14ac:dyDescent="0.25">
      <c r="A1194" s="8" t="s">
        <v>1131</v>
      </c>
      <c r="B1194" s="8" t="s">
        <v>1110</v>
      </c>
      <c r="C1194" s="8" t="s">
        <v>110</v>
      </c>
      <c r="D1194" s="10">
        <v>45727</v>
      </c>
      <c r="E1194" s="9">
        <v>116654</v>
      </c>
      <c r="F1194" s="2" t="str">
        <f>INDEX(Vendors!E:E,MATCH(Vendor_Analysis!C1194,Vendors!A:A,0))</f>
        <v xml:space="preserve">30 </v>
      </c>
      <c r="G1194" s="2">
        <v>30</v>
      </c>
      <c r="H1194" s="16">
        <f t="shared" si="18"/>
        <v>45757</v>
      </c>
      <c r="J1194" s="2"/>
    </row>
    <row r="1195" spans="1:10" x14ac:dyDescent="0.25">
      <c r="A1195" s="8" t="s">
        <v>1941</v>
      </c>
      <c r="B1195" s="8" t="s">
        <v>1110</v>
      </c>
      <c r="C1195" s="8" t="s">
        <v>6</v>
      </c>
      <c r="D1195" s="10">
        <v>45729</v>
      </c>
      <c r="E1195" s="9">
        <v>50837</v>
      </c>
      <c r="F1195" s="2" t="str">
        <f>INDEX(Vendors!E:E,MATCH(Vendor_Analysis!C1195,Vendors!A:A,0))</f>
        <v xml:space="preserve">60 </v>
      </c>
      <c r="G1195" s="2">
        <v>60</v>
      </c>
      <c r="H1195" s="16">
        <f t="shared" si="18"/>
        <v>45789</v>
      </c>
      <c r="J1195" s="2"/>
    </row>
    <row r="1196" spans="1:10" x14ac:dyDescent="0.25">
      <c r="A1196" s="8" t="s">
        <v>1942</v>
      </c>
      <c r="B1196" s="8" t="s">
        <v>1110</v>
      </c>
      <c r="C1196" s="8" t="s">
        <v>50</v>
      </c>
      <c r="D1196" s="10">
        <v>45755</v>
      </c>
      <c r="E1196" s="9">
        <v>380062</v>
      </c>
      <c r="F1196" s="2" t="str">
        <f>INDEX(Vendors!E:E,MATCH(Vendor_Analysis!C1196,Vendors!A:A,0))</f>
        <v xml:space="preserve"> 90</v>
      </c>
      <c r="G1196" s="2">
        <v>90</v>
      </c>
      <c r="H1196" s="16">
        <f t="shared" si="18"/>
        <v>45845</v>
      </c>
      <c r="J1196" s="2"/>
    </row>
    <row r="1197" spans="1:10" x14ac:dyDescent="0.25">
      <c r="A1197" s="8" t="s">
        <v>1943</v>
      </c>
      <c r="B1197" s="8" t="s">
        <v>1110</v>
      </c>
      <c r="C1197" s="8" t="s">
        <v>17</v>
      </c>
      <c r="D1197" s="10">
        <v>45757</v>
      </c>
      <c r="E1197" s="9">
        <v>61522</v>
      </c>
      <c r="F1197" s="2" t="str">
        <f>INDEX(Vendors!E:E,MATCH(Vendor_Analysis!C1197,Vendors!A:A,0))</f>
        <v xml:space="preserve">45 </v>
      </c>
      <c r="G1197" s="2">
        <v>45</v>
      </c>
      <c r="H1197" s="16">
        <f t="shared" si="18"/>
        <v>45802</v>
      </c>
      <c r="J1197" s="2"/>
    </row>
    <row r="1198" spans="1:10" x14ac:dyDescent="0.25">
      <c r="A1198" s="8" t="s">
        <v>1944</v>
      </c>
      <c r="B1198" s="8" t="s">
        <v>1110</v>
      </c>
      <c r="C1198" s="8" t="s">
        <v>48</v>
      </c>
      <c r="D1198" s="10">
        <v>45764</v>
      </c>
      <c r="E1198" s="9">
        <v>111315</v>
      </c>
      <c r="F1198" s="2" t="str">
        <f>INDEX(Vendors!E:E,MATCH(Vendor_Analysis!C1198,Vendors!A:A,0))</f>
        <v xml:space="preserve"> 90</v>
      </c>
      <c r="G1198" s="2">
        <v>90</v>
      </c>
      <c r="H1198" s="16">
        <f t="shared" si="18"/>
        <v>45854</v>
      </c>
      <c r="J1198" s="2"/>
    </row>
    <row r="1199" spans="1:10" x14ac:dyDescent="0.25">
      <c r="A1199" s="8" t="s">
        <v>1945</v>
      </c>
      <c r="B1199" s="8" t="s">
        <v>1110</v>
      </c>
      <c r="C1199" s="8" t="s">
        <v>17</v>
      </c>
      <c r="D1199" s="10">
        <v>45780</v>
      </c>
      <c r="E1199" s="9">
        <v>51801</v>
      </c>
      <c r="F1199" s="2" t="str">
        <f>INDEX(Vendors!E:E,MATCH(Vendor_Analysis!C1199,Vendors!A:A,0))</f>
        <v xml:space="preserve">45 </v>
      </c>
      <c r="G1199" s="2">
        <v>45</v>
      </c>
      <c r="H1199" s="16">
        <f t="shared" si="18"/>
        <v>45825</v>
      </c>
      <c r="J1199" s="2"/>
    </row>
    <row r="1200" spans="1:10" x14ac:dyDescent="0.25">
      <c r="A1200" s="8" t="s">
        <v>1132</v>
      </c>
      <c r="B1200" s="8" t="s">
        <v>1133</v>
      </c>
      <c r="C1200" s="8" t="s">
        <v>27</v>
      </c>
      <c r="D1200" s="10">
        <v>45427</v>
      </c>
      <c r="E1200" s="9">
        <v>113624</v>
      </c>
      <c r="F1200" s="2" t="str">
        <f>INDEX(Vendors!E:E,MATCH(Vendor_Analysis!C1200,Vendors!A:A,0))</f>
        <v xml:space="preserve">45 </v>
      </c>
      <c r="G1200" s="2">
        <v>45</v>
      </c>
      <c r="H1200" s="16">
        <f t="shared" si="18"/>
        <v>45472</v>
      </c>
      <c r="J1200" s="2"/>
    </row>
    <row r="1201" spans="1:10" x14ac:dyDescent="0.25">
      <c r="A1201" s="8" t="s">
        <v>1134</v>
      </c>
      <c r="B1201" s="8" t="s">
        <v>1133</v>
      </c>
      <c r="C1201" s="8" t="s">
        <v>44</v>
      </c>
      <c r="D1201" s="10">
        <v>45431</v>
      </c>
      <c r="E1201" s="9">
        <v>80792</v>
      </c>
      <c r="F1201" s="2" t="str">
        <f>INDEX(Vendors!E:E,MATCH(Vendor_Analysis!C1201,Vendors!A:A,0))</f>
        <v xml:space="preserve">45 </v>
      </c>
      <c r="G1201" s="2">
        <v>45</v>
      </c>
      <c r="H1201" s="16">
        <f t="shared" si="18"/>
        <v>45476</v>
      </c>
      <c r="J1201" s="2"/>
    </row>
    <row r="1202" spans="1:10" x14ac:dyDescent="0.25">
      <c r="A1202" s="8" t="s">
        <v>1135</v>
      </c>
      <c r="B1202" s="8" t="s">
        <v>1133</v>
      </c>
      <c r="C1202" s="8" t="s">
        <v>37</v>
      </c>
      <c r="D1202" s="10">
        <v>45452</v>
      </c>
      <c r="E1202" s="9">
        <v>70981</v>
      </c>
      <c r="F1202" s="2" t="str">
        <f>INDEX(Vendors!E:E,MATCH(Vendor_Analysis!C1202,Vendors!A:A,0))</f>
        <v xml:space="preserve">30 </v>
      </c>
      <c r="G1202" s="2">
        <v>30</v>
      </c>
      <c r="H1202" s="16">
        <f t="shared" si="18"/>
        <v>45482</v>
      </c>
      <c r="J1202" s="2"/>
    </row>
    <row r="1203" spans="1:10" x14ac:dyDescent="0.25">
      <c r="A1203" s="8" t="s">
        <v>1136</v>
      </c>
      <c r="B1203" s="8" t="s">
        <v>1133</v>
      </c>
      <c r="C1203" s="8" t="s">
        <v>37</v>
      </c>
      <c r="D1203" s="10">
        <v>45459</v>
      </c>
      <c r="E1203" s="9">
        <v>103818</v>
      </c>
      <c r="F1203" s="2" t="str">
        <f>INDEX(Vendors!E:E,MATCH(Vendor_Analysis!C1203,Vendors!A:A,0))</f>
        <v xml:space="preserve">30 </v>
      </c>
      <c r="G1203" s="2">
        <v>30</v>
      </c>
      <c r="H1203" s="16">
        <f t="shared" si="18"/>
        <v>45489</v>
      </c>
      <c r="J1203" s="2"/>
    </row>
    <row r="1204" spans="1:10" x14ac:dyDescent="0.25">
      <c r="A1204" s="8" t="s">
        <v>1137</v>
      </c>
      <c r="B1204" s="8" t="s">
        <v>1133</v>
      </c>
      <c r="C1204" s="8" t="s">
        <v>21</v>
      </c>
      <c r="D1204" s="10">
        <v>45464</v>
      </c>
      <c r="E1204" s="9">
        <v>74995</v>
      </c>
      <c r="F1204" s="2" t="str">
        <f>INDEX(Vendors!E:E,MATCH(Vendor_Analysis!C1204,Vendors!A:A,0))</f>
        <v xml:space="preserve"> 90</v>
      </c>
      <c r="G1204" s="2">
        <v>90</v>
      </c>
      <c r="H1204" s="16">
        <f t="shared" si="18"/>
        <v>45554</v>
      </c>
      <c r="J1204" s="2"/>
    </row>
    <row r="1205" spans="1:10" x14ac:dyDescent="0.25">
      <c r="A1205" s="8" t="s">
        <v>1138</v>
      </c>
      <c r="B1205" s="8" t="s">
        <v>1133</v>
      </c>
      <c r="C1205" s="8" t="s">
        <v>35</v>
      </c>
      <c r="D1205" s="10">
        <v>45494</v>
      </c>
      <c r="E1205" s="9">
        <v>87131</v>
      </c>
      <c r="F1205" s="2" t="str">
        <f>INDEX(Vendors!E:E,MATCH(Vendor_Analysis!C1205,Vendors!A:A,0))</f>
        <v xml:space="preserve">60 </v>
      </c>
      <c r="G1205" s="2">
        <v>60</v>
      </c>
      <c r="H1205" s="16">
        <f t="shared" si="18"/>
        <v>45554</v>
      </c>
      <c r="J1205" s="2"/>
    </row>
    <row r="1206" spans="1:10" x14ac:dyDescent="0.25">
      <c r="A1206" s="8" t="s">
        <v>1139</v>
      </c>
      <c r="B1206" s="8" t="s">
        <v>1133</v>
      </c>
      <c r="C1206" s="8" t="s">
        <v>29</v>
      </c>
      <c r="D1206" s="10">
        <v>45538</v>
      </c>
      <c r="E1206" s="9">
        <v>109653</v>
      </c>
      <c r="F1206" s="2" t="str">
        <f>INDEX(Vendors!E:E,MATCH(Vendor_Analysis!C1206,Vendors!A:A,0))</f>
        <v xml:space="preserve">30 </v>
      </c>
      <c r="G1206" s="2">
        <v>30</v>
      </c>
      <c r="H1206" s="16">
        <f t="shared" si="18"/>
        <v>45568</v>
      </c>
      <c r="J1206" s="2"/>
    </row>
    <row r="1207" spans="1:10" x14ac:dyDescent="0.25">
      <c r="A1207" s="8" t="s">
        <v>1140</v>
      </c>
      <c r="B1207" s="8" t="s">
        <v>1133</v>
      </c>
      <c r="C1207" s="8" t="s">
        <v>8</v>
      </c>
      <c r="D1207" s="10">
        <v>45578</v>
      </c>
      <c r="E1207" s="9">
        <v>55862</v>
      </c>
      <c r="F1207" s="2" t="str">
        <f>INDEX(Vendors!E:E,MATCH(Vendor_Analysis!C1207,Vendors!A:A,0))</f>
        <v xml:space="preserve">60 </v>
      </c>
      <c r="G1207" s="2">
        <v>60</v>
      </c>
      <c r="H1207" s="16">
        <f t="shared" si="18"/>
        <v>45638</v>
      </c>
      <c r="J1207" s="2"/>
    </row>
    <row r="1208" spans="1:10" x14ac:dyDescent="0.25">
      <c r="A1208" s="8" t="s">
        <v>1141</v>
      </c>
      <c r="B1208" s="8" t="s">
        <v>1133</v>
      </c>
      <c r="C1208" s="8" t="s">
        <v>37</v>
      </c>
      <c r="D1208" s="10">
        <v>45585</v>
      </c>
      <c r="E1208" s="9">
        <v>56904</v>
      </c>
      <c r="F1208" s="2" t="str">
        <f>INDEX(Vendors!E:E,MATCH(Vendor_Analysis!C1208,Vendors!A:A,0))</f>
        <v xml:space="preserve">30 </v>
      </c>
      <c r="G1208" s="2">
        <v>30</v>
      </c>
      <c r="H1208" s="16">
        <f t="shared" si="18"/>
        <v>45615</v>
      </c>
      <c r="J1208" s="2"/>
    </row>
    <row r="1209" spans="1:10" x14ac:dyDescent="0.25">
      <c r="A1209" s="8" t="s">
        <v>1142</v>
      </c>
      <c r="B1209" s="8" t="s">
        <v>1133</v>
      </c>
      <c r="C1209" s="8" t="s">
        <v>19</v>
      </c>
      <c r="D1209" s="10">
        <v>45593</v>
      </c>
      <c r="E1209" s="9">
        <v>34190</v>
      </c>
      <c r="F1209" s="2" t="str">
        <f>INDEX(Vendors!E:E,MATCH(Vendor_Analysis!C1209,Vendors!A:A,0))</f>
        <v xml:space="preserve">45 </v>
      </c>
      <c r="G1209" s="2">
        <v>45</v>
      </c>
      <c r="H1209" s="16">
        <f t="shared" si="18"/>
        <v>45638</v>
      </c>
      <c r="J1209" s="2"/>
    </row>
    <row r="1210" spans="1:10" x14ac:dyDescent="0.25">
      <c r="A1210" s="8" t="s">
        <v>1143</v>
      </c>
      <c r="B1210" s="8" t="s">
        <v>1133</v>
      </c>
      <c r="C1210" s="8" t="s">
        <v>19</v>
      </c>
      <c r="D1210" s="10">
        <v>45600</v>
      </c>
      <c r="E1210" s="9">
        <v>85261</v>
      </c>
      <c r="F1210" s="2" t="str">
        <f>INDEX(Vendors!E:E,MATCH(Vendor_Analysis!C1210,Vendors!A:A,0))</f>
        <v xml:space="preserve">45 </v>
      </c>
      <c r="G1210" s="2">
        <v>45</v>
      </c>
      <c r="H1210" s="16">
        <f t="shared" si="18"/>
        <v>45645</v>
      </c>
      <c r="J1210" s="2"/>
    </row>
    <row r="1211" spans="1:10" x14ac:dyDescent="0.25">
      <c r="A1211" s="8" t="s">
        <v>1144</v>
      </c>
      <c r="B1211" s="8" t="s">
        <v>1133</v>
      </c>
      <c r="C1211" s="8" t="s">
        <v>21</v>
      </c>
      <c r="D1211" s="10">
        <v>45602</v>
      </c>
      <c r="E1211" s="9">
        <v>74808</v>
      </c>
      <c r="F1211" s="2" t="str">
        <f>INDEX(Vendors!E:E,MATCH(Vendor_Analysis!C1211,Vendors!A:A,0))</f>
        <v xml:space="preserve"> 90</v>
      </c>
      <c r="G1211" s="2">
        <v>90</v>
      </c>
      <c r="H1211" s="16">
        <f t="shared" si="18"/>
        <v>45692</v>
      </c>
      <c r="J1211" s="2"/>
    </row>
    <row r="1212" spans="1:10" x14ac:dyDescent="0.25">
      <c r="A1212" s="8" t="s">
        <v>1145</v>
      </c>
      <c r="B1212" s="8" t="s">
        <v>1133</v>
      </c>
      <c r="C1212" s="8" t="s">
        <v>48</v>
      </c>
      <c r="D1212" s="10">
        <v>45613</v>
      </c>
      <c r="E1212" s="9">
        <v>37119</v>
      </c>
      <c r="F1212" s="2" t="str">
        <f>INDEX(Vendors!E:E,MATCH(Vendor_Analysis!C1212,Vendors!A:A,0))</f>
        <v xml:space="preserve"> 90</v>
      </c>
      <c r="G1212" s="2">
        <v>90</v>
      </c>
      <c r="H1212" s="16">
        <f t="shared" si="18"/>
        <v>45703</v>
      </c>
      <c r="J1212" s="2"/>
    </row>
    <row r="1213" spans="1:10" x14ac:dyDescent="0.25">
      <c r="A1213" s="8" t="s">
        <v>1146</v>
      </c>
      <c r="B1213" s="8" t="s">
        <v>1133</v>
      </c>
      <c r="C1213" s="8" t="s">
        <v>110</v>
      </c>
      <c r="D1213" s="10">
        <v>45614</v>
      </c>
      <c r="E1213" s="9">
        <v>63007</v>
      </c>
      <c r="F1213" s="2" t="str">
        <f>INDEX(Vendors!E:E,MATCH(Vendor_Analysis!C1213,Vendors!A:A,0))</f>
        <v xml:space="preserve">30 </v>
      </c>
      <c r="G1213" s="2">
        <v>30</v>
      </c>
      <c r="H1213" s="16">
        <f t="shared" si="18"/>
        <v>45644</v>
      </c>
      <c r="J1213" s="2"/>
    </row>
    <row r="1214" spans="1:10" x14ac:dyDescent="0.25">
      <c r="A1214" s="8" t="s">
        <v>1147</v>
      </c>
      <c r="B1214" s="8" t="s">
        <v>1133</v>
      </c>
      <c r="C1214" s="8" t="s">
        <v>21</v>
      </c>
      <c r="D1214" s="10">
        <v>45621</v>
      </c>
      <c r="E1214" s="9">
        <v>85010</v>
      </c>
      <c r="F1214" s="2" t="str">
        <f>INDEX(Vendors!E:E,MATCH(Vendor_Analysis!C1214,Vendors!A:A,0))</f>
        <v xml:space="preserve"> 90</v>
      </c>
      <c r="G1214" s="2">
        <v>90</v>
      </c>
      <c r="H1214" s="16">
        <f t="shared" si="18"/>
        <v>45711</v>
      </c>
      <c r="J1214" s="2"/>
    </row>
    <row r="1215" spans="1:10" x14ac:dyDescent="0.25">
      <c r="A1215" s="8" t="s">
        <v>1148</v>
      </c>
      <c r="B1215" s="8" t="s">
        <v>1133</v>
      </c>
      <c r="C1215" s="8" t="s">
        <v>23</v>
      </c>
      <c r="D1215" s="10">
        <v>45629</v>
      </c>
      <c r="E1215" s="9">
        <v>94982</v>
      </c>
      <c r="F1215" s="2" t="str">
        <f>INDEX(Vendors!E:E,MATCH(Vendor_Analysis!C1215,Vendors!A:A,0))</f>
        <v xml:space="preserve"> 90</v>
      </c>
      <c r="G1215" s="2">
        <v>90</v>
      </c>
      <c r="H1215" s="16">
        <f t="shared" si="18"/>
        <v>45719</v>
      </c>
      <c r="J1215" s="2"/>
    </row>
    <row r="1216" spans="1:10" x14ac:dyDescent="0.25">
      <c r="A1216" s="8" t="s">
        <v>1149</v>
      </c>
      <c r="B1216" s="8" t="s">
        <v>1133</v>
      </c>
      <c r="C1216" s="8" t="s">
        <v>50</v>
      </c>
      <c r="D1216" s="10">
        <v>45656</v>
      </c>
      <c r="E1216" s="9">
        <v>95077</v>
      </c>
      <c r="F1216" s="2" t="str">
        <f>INDEX(Vendors!E:E,MATCH(Vendor_Analysis!C1216,Vendors!A:A,0))</f>
        <v xml:space="preserve"> 90</v>
      </c>
      <c r="G1216" s="2">
        <v>90</v>
      </c>
      <c r="H1216" s="16">
        <f t="shared" si="18"/>
        <v>45746</v>
      </c>
      <c r="J1216" s="2"/>
    </row>
    <row r="1217" spans="1:10" x14ac:dyDescent="0.25">
      <c r="A1217" s="8" t="s">
        <v>1150</v>
      </c>
      <c r="B1217" s="8" t="s">
        <v>1133</v>
      </c>
      <c r="C1217" s="8" t="s">
        <v>23</v>
      </c>
      <c r="D1217" s="10">
        <v>45670</v>
      </c>
      <c r="E1217" s="9">
        <v>65180</v>
      </c>
      <c r="F1217" s="2" t="str">
        <f>INDEX(Vendors!E:E,MATCH(Vendor_Analysis!C1217,Vendors!A:A,0))</f>
        <v xml:space="preserve"> 90</v>
      </c>
      <c r="G1217" s="2">
        <v>90</v>
      </c>
      <c r="H1217" s="16">
        <f t="shared" si="18"/>
        <v>45760</v>
      </c>
      <c r="J1217" s="2"/>
    </row>
    <row r="1218" spans="1:10" x14ac:dyDescent="0.25">
      <c r="A1218" s="8" t="s">
        <v>1151</v>
      </c>
      <c r="B1218" s="8" t="s">
        <v>1133</v>
      </c>
      <c r="C1218" s="8" t="s">
        <v>21</v>
      </c>
      <c r="D1218" s="10">
        <v>45694</v>
      </c>
      <c r="E1218" s="9">
        <v>92549</v>
      </c>
      <c r="F1218" s="2" t="str">
        <f>INDEX(Vendors!E:E,MATCH(Vendor_Analysis!C1218,Vendors!A:A,0))</f>
        <v xml:space="preserve"> 90</v>
      </c>
      <c r="G1218" s="2">
        <v>90</v>
      </c>
      <c r="H1218" s="16">
        <f t="shared" si="18"/>
        <v>45784</v>
      </c>
      <c r="J1218" s="2"/>
    </row>
    <row r="1219" spans="1:10" x14ac:dyDescent="0.25">
      <c r="A1219" s="8" t="s">
        <v>1152</v>
      </c>
      <c r="B1219" s="8" t="s">
        <v>1133</v>
      </c>
      <c r="C1219" s="8" t="s">
        <v>12</v>
      </c>
      <c r="D1219" s="10">
        <v>45703</v>
      </c>
      <c r="E1219" s="9">
        <v>70572</v>
      </c>
      <c r="F1219" s="2" t="str">
        <f>INDEX(Vendors!E:E,MATCH(Vendor_Analysis!C1219,Vendors!A:A,0))</f>
        <v xml:space="preserve">30 </v>
      </c>
      <c r="G1219" s="2">
        <v>30</v>
      </c>
      <c r="H1219" s="16">
        <f t="shared" ref="H1219:H1282" si="19">D1219+F1219</f>
        <v>45733</v>
      </c>
      <c r="J1219" s="2"/>
    </row>
    <row r="1220" spans="1:10" x14ac:dyDescent="0.25">
      <c r="A1220" s="8" t="s">
        <v>1153</v>
      </c>
      <c r="B1220" s="8" t="s">
        <v>1133</v>
      </c>
      <c r="C1220" s="8" t="s">
        <v>110</v>
      </c>
      <c r="D1220" s="10">
        <v>45715</v>
      </c>
      <c r="E1220" s="9">
        <v>98243</v>
      </c>
      <c r="F1220" s="2" t="str">
        <f>INDEX(Vendors!E:E,MATCH(Vendor_Analysis!C1220,Vendors!A:A,0))</f>
        <v xml:space="preserve">30 </v>
      </c>
      <c r="G1220" s="2">
        <v>30</v>
      </c>
      <c r="H1220" s="16">
        <f t="shared" si="19"/>
        <v>45745</v>
      </c>
      <c r="J1220" s="2"/>
    </row>
    <row r="1221" spans="1:10" x14ac:dyDescent="0.25">
      <c r="A1221" s="8" t="s">
        <v>1154</v>
      </c>
      <c r="B1221" s="8" t="s">
        <v>1133</v>
      </c>
      <c r="C1221" s="8" t="s">
        <v>37</v>
      </c>
      <c r="D1221" s="10">
        <v>45733</v>
      </c>
      <c r="E1221" s="9">
        <v>66076</v>
      </c>
      <c r="F1221" s="2" t="str">
        <f>INDEX(Vendors!E:E,MATCH(Vendor_Analysis!C1221,Vendors!A:A,0))</f>
        <v xml:space="preserve">30 </v>
      </c>
      <c r="G1221" s="2">
        <v>30</v>
      </c>
      <c r="H1221" s="16">
        <f t="shared" si="19"/>
        <v>45763</v>
      </c>
      <c r="J1221" s="2"/>
    </row>
    <row r="1222" spans="1:10" x14ac:dyDescent="0.25">
      <c r="A1222" s="8" t="s">
        <v>1155</v>
      </c>
      <c r="B1222" s="8" t="s">
        <v>1133</v>
      </c>
      <c r="C1222" s="8" t="s">
        <v>25</v>
      </c>
      <c r="D1222" s="10">
        <v>45735</v>
      </c>
      <c r="E1222" s="9">
        <v>39888</v>
      </c>
      <c r="F1222" s="2" t="str">
        <f>INDEX(Vendors!E:E,MATCH(Vendor_Analysis!C1222,Vendors!A:A,0))</f>
        <v xml:space="preserve">30 </v>
      </c>
      <c r="G1222" s="2">
        <v>30</v>
      </c>
      <c r="H1222" s="16">
        <f t="shared" si="19"/>
        <v>45765</v>
      </c>
      <c r="J1222" s="2"/>
    </row>
    <row r="1223" spans="1:10" x14ac:dyDescent="0.25">
      <c r="A1223" s="8" t="s">
        <v>1156</v>
      </c>
      <c r="B1223" s="8" t="s">
        <v>1133</v>
      </c>
      <c r="C1223" s="8" t="s">
        <v>48</v>
      </c>
      <c r="D1223" s="10">
        <v>45739</v>
      </c>
      <c r="E1223" s="9">
        <v>63770</v>
      </c>
      <c r="F1223" s="2" t="str">
        <f>INDEX(Vendors!E:E,MATCH(Vendor_Analysis!C1223,Vendors!A:A,0))</f>
        <v xml:space="preserve"> 90</v>
      </c>
      <c r="G1223" s="2">
        <v>90</v>
      </c>
      <c r="H1223" s="16">
        <f t="shared" si="19"/>
        <v>45829</v>
      </c>
      <c r="J1223" s="2"/>
    </row>
    <row r="1224" spans="1:10" x14ac:dyDescent="0.25">
      <c r="A1224" s="8" t="s">
        <v>1157</v>
      </c>
      <c r="B1224" s="8" t="s">
        <v>1133</v>
      </c>
      <c r="C1224" s="8" t="s">
        <v>10</v>
      </c>
      <c r="D1224" s="10">
        <v>45745</v>
      </c>
      <c r="E1224" s="9">
        <v>50862</v>
      </c>
      <c r="F1224" s="2" t="str">
        <f>INDEX(Vendors!E:E,MATCH(Vendor_Analysis!C1224,Vendors!A:A,0))</f>
        <v xml:space="preserve">60 </v>
      </c>
      <c r="G1224" s="2">
        <v>60</v>
      </c>
      <c r="H1224" s="16">
        <f t="shared" si="19"/>
        <v>45805</v>
      </c>
      <c r="J1224" s="2"/>
    </row>
    <row r="1225" spans="1:10" x14ac:dyDescent="0.25">
      <c r="A1225" s="8" t="s">
        <v>1158</v>
      </c>
      <c r="B1225" s="8" t="s">
        <v>1133</v>
      </c>
      <c r="C1225" s="8" t="s">
        <v>23</v>
      </c>
      <c r="D1225" s="10">
        <v>45753</v>
      </c>
      <c r="E1225" s="9">
        <v>33663</v>
      </c>
      <c r="F1225" s="2" t="str">
        <f>INDEX(Vendors!E:E,MATCH(Vendor_Analysis!C1225,Vendors!A:A,0))</f>
        <v xml:space="preserve"> 90</v>
      </c>
      <c r="G1225" s="2">
        <v>90</v>
      </c>
      <c r="H1225" s="16">
        <f t="shared" si="19"/>
        <v>45843</v>
      </c>
      <c r="J1225" s="2"/>
    </row>
    <row r="1226" spans="1:10" x14ac:dyDescent="0.25">
      <c r="A1226" s="8" t="s">
        <v>1159</v>
      </c>
      <c r="B1226" s="8" t="s">
        <v>1133</v>
      </c>
      <c r="C1226" s="8" t="s">
        <v>10</v>
      </c>
      <c r="D1226" s="10">
        <v>45762</v>
      </c>
      <c r="E1226" s="9">
        <v>52196</v>
      </c>
      <c r="F1226" s="2" t="str">
        <f>INDEX(Vendors!E:E,MATCH(Vendor_Analysis!C1226,Vendors!A:A,0))</f>
        <v xml:space="preserve">60 </v>
      </c>
      <c r="G1226" s="2">
        <v>60</v>
      </c>
      <c r="H1226" s="16">
        <f t="shared" si="19"/>
        <v>45822</v>
      </c>
      <c r="J1226" s="2"/>
    </row>
    <row r="1227" spans="1:10" x14ac:dyDescent="0.25">
      <c r="A1227" s="8" t="s">
        <v>1160</v>
      </c>
      <c r="B1227" s="8" t="s">
        <v>1133</v>
      </c>
      <c r="C1227" s="8" t="s">
        <v>12</v>
      </c>
      <c r="D1227" s="10">
        <v>45763</v>
      </c>
      <c r="E1227" s="9">
        <v>59968</v>
      </c>
      <c r="F1227" s="2" t="str">
        <f>INDEX(Vendors!E:E,MATCH(Vendor_Analysis!C1227,Vendors!A:A,0))</f>
        <v xml:space="preserve">30 </v>
      </c>
      <c r="G1227" s="2">
        <v>30</v>
      </c>
      <c r="H1227" s="16">
        <f t="shared" si="19"/>
        <v>45793</v>
      </c>
      <c r="J1227" s="2"/>
    </row>
    <row r="1228" spans="1:10" x14ac:dyDescent="0.25">
      <c r="A1228" s="8" t="s">
        <v>1161</v>
      </c>
      <c r="B1228" s="8" t="s">
        <v>1133</v>
      </c>
      <c r="C1228" s="8" t="s">
        <v>108</v>
      </c>
      <c r="D1228" s="10">
        <v>45763</v>
      </c>
      <c r="E1228" s="9">
        <v>90947</v>
      </c>
      <c r="F1228" s="2" t="str">
        <f>INDEX(Vendors!E:E,MATCH(Vendor_Analysis!C1228,Vendors!A:A,0))</f>
        <v xml:space="preserve"> 90</v>
      </c>
      <c r="G1228" s="2">
        <v>90</v>
      </c>
      <c r="H1228" s="16">
        <f t="shared" si="19"/>
        <v>45853</v>
      </c>
      <c r="J1228" s="2"/>
    </row>
    <row r="1229" spans="1:10" x14ac:dyDescent="0.25">
      <c r="A1229" s="8" t="s">
        <v>1162</v>
      </c>
      <c r="B1229" s="8" t="s">
        <v>1133</v>
      </c>
      <c r="C1229" s="8" t="s">
        <v>44</v>
      </c>
      <c r="D1229" s="10">
        <v>45771</v>
      </c>
      <c r="E1229" s="9">
        <v>94013</v>
      </c>
      <c r="F1229" s="2" t="str">
        <f>INDEX(Vendors!E:E,MATCH(Vendor_Analysis!C1229,Vendors!A:A,0))</f>
        <v xml:space="preserve">45 </v>
      </c>
      <c r="G1229" s="2">
        <v>45</v>
      </c>
      <c r="H1229" s="16">
        <f t="shared" si="19"/>
        <v>45816</v>
      </c>
      <c r="J1229" s="2"/>
    </row>
    <row r="1230" spans="1:10" x14ac:dyDescent="0.25">
      <c r="A1230" s="8" t="s">
        <v>1163</v>
      </c>
      <c r="B1230" s="8" t="s">
        <v>1133</v>
      </c>
      <c r="C1230" s="8" t="s">
        <v>48</v>
      </c>
      <c r="D1230" s="10">
        <v>45775</v>
      </c>
      <c r="E1230" s="9">
        <v>60971</v>
      </c>
      <c r="F1230" s="2" t="str">
        <f>INDEX(Vendors!E:E,MATCH(Vendor_Analysis!C1230,Vendors!A:A,0))</f>
        <v xml:space="preserve"> 90</v>
      </c>
      <c r="G1230" s="2">
        <v>90</v>
      </c>
      <c r="H1230" s="16">
        <f t="shared" si="19"/>
        <v>45865</v>
      </c>
      <c r="J1230" s="2"/>
    </row>
    <row r="1231" spans="1:10" x14ac:dyDescent="0.25">
      <c r="A1231" s="8" t="s">
        <v>1164</v>
      </c>
      <c r="B1231" s="8" t="s">
        <v>1133</v>
      </c>
      <c r="C1231" s="8" t="s">
        <v>21</v>
      </c>
      <c r="D1231" s="10">
        <v>45781</v>
      </c>
      <c r="E1231" s="9">
        <v>79456</v>
      </c>
      <c r="F1231" s="2" t="str">
        <f>INDEX(Vendors!E:E,MATCH(Vendor_Analysis!C1231,Vendors!A:A,0))</f>
        <v xml:space="preserve"> 90</v>
      </c>
      <c r="G1231" s="2">
        <v>90</v>
      </c>
      <c r="H1231" s="16">
        <f t="shared" si="19"/>
        <v>45871</v>
      </c>
      <c r="J1231" s="2"/>
    </row>
    <row r="1232" spans="1:10" x14ac:dyDescent="0.25">
      <c r="A1232" s="8" t="s">
        <v>1165</v>
      </c>
      <c r="B1232" s="8" t="s">
        <v>1133</v>
      </c>
      <c r="C1232" s="8" t="s">
        <v>108</v>
      </c>
      <c r="D1232" s="10">
        <v>45782</v>
      </c>
      <c r="E1232" s="9">
        <v>96901</v>
      </c>
      <c r="F1232" s="2" t="str">
        <f>INDEX(Vendors!E:E,MATCH(Vendor_Analysis!C1232,Vendors!A:A,0))</f>
        <v xml:space="preserve"> 90</v>
      </c>
      <c r="G1232" s="2">
        <v>90</v>
      </c>
      <c r="H1232" s="16">
        <f t="shared" si="19"/>
        <v>45872</v>
      </c>
      <c r="J1232" s="2"/>
    </row>
    <row r="1233" spans="1:10" x14ac:dyDescent="0.25">
      <c r="A1233" s="8" t="s">
        <v>1166</v>
      </c>
      <c r="B1233" s="8" t="s">
        <v>1133</v>
      </c>
      <c r="C1233" s="8" t="s">
        <v>108</v>
      </c>
      <c r="D1233" s="10">
        <v>45804</v>
      </c>
      <c r="E1233" s="9">
        <v>61654</v>
      </c>
      <c r="F1233" s="2" t="str">
        <f>INDEX(Vendors!E:E,MATCH(Vendor_Analysis!C1233,Vendors!A:A,0))</f>
        <v xml:space="preserve"> 90</v>
      </c>
      <c r="G1233" s="2">
        <v>90</v>
      </c>
      <c r="H1233" s="16">
        <f t="shared" si="19"/>
        <v>45894</v>
      </c>
      <c r="J1233" s="2"/>
    </row>
    <row r="1234" spans="1:10" x14ac:dyDescent="0.25">
      <c r="A1234" s="8" t="s">
        <v>1167</v>
      </c>
      <c r="B1234" s="8" t="s">
        <v>1133</v>
      </c>
      <c r="C1234" s="8" t="s">
        <v>55</v>
      </c>
      <c r="D1234" s="10">
        <v>45816</v>
      </c>
      <c r="E1234" s="9">
        <v>87341</v>
      </c>
      <c r="F1234" s="2" t="str">
        <f>INDEX(Vendors!E:E,MATCH(Vendor_Analysis!C1234,Vendors!A:A,0))</f>
        <v xml:space="preserve">30 </v>
      </c>
      <c r="G1234" s="2">
        <v>30</v>
      </c>
      <c r="H1234" s="16">
        <f t="shared" si="19"/>
        <v>45846</v>
      </c>
      <c r="J1234" s="2"/>
    </row>
    <row r="1235" spans="1:10" x14ac:dyDescent="0.25">
      <c r="A1235" s="8" t="s">
        <v>1168</v>
      </c>
      <c r="B1235" s="8" t="s">
        <v>1133</v>
      </c>
      <c r="C1235" s="8" t="s">
        <v>14</v>
      </c>
      <c r="D1235" s="10">
        <v>45817</v>
      </c>
      <c r="E1235" s="9">
        <v>68793</v>
      </c>
      <c r="F1235" s="2" t="str">
        <f>INDEX(Vendors!E:E,MATCH(Vendor_Analysis!C1235,Vendors!A:A,0))</f>
        <v xml:space="preserve"> 90</v>
      </c>
      <c r="G1235" s="2">
        <v>90</v>
      </c>
      <c r="H1235" s="16">
        <f t="shared" si="19"/>
        <v>45907</v>
      </c>
      <c r="J1235" s="2"/>
    </row>
    <row r="1236" spans="1:10" x14ac:dyDescent="0.25">
      <c r="A1236" s="8" t="s">
        <v>1169</v>
      </c>
      <c r="B1236" s="8" t="s">
        <v>1133</v>
      </c>
      <c r="C1236" s="8" t="s">
        <v>21</v>
      </c>
      <c r="D1236" s="10">
        <v>45824</v>
      </c>
      <c r="E1236" s="9">
        <v>79592</v>
      </c>
      <c r="F1236" s="2" t="str">
        <f>INDEX(Vendors!E:E,MATCH(Vendor_Analysis!C1236,Vendors!A:A,0))</f>
        <v xml:space="preserve"> 90</v>
      </c>
      <c r="G1236" s="2">
        <v>90</v>
      </c>
      <c r="H1236" s="16">
        <f t="shared" si="19"/>
        <v>45914</v>
      </c>
      <c r="J1236" s="2"/>
    </row>
    <row r="1237" spans="1:10" x14ac:dyDescent="0.25">
      <c r="A1237" s="8" t="s">
        <v>1170</v>
      </c>
      <c r="B1237" s="8" t="s">
        <v>1171</v>
      </c>
      <c r="C1237" s="8" t="s">
        <v>10</v>
      </c>
      <c r="D1237" s="10">
        <v>45251</v>
      </c>
      <c r="E1237" s="9">
        <v>56012</v>
      </c>
      <c r="F1237" s="2" t="str">
        <f>INDEX(Vendors!E:E,MATCH(Vendor_Analysis!C1237,Vendors!A:A,0))</f>
        <v xml:space="preserve">60 </v>
      </c>
      <c r="G1237" s="2">
        <v>60</v>
      </c>
      <c r="H1237" s="16">
        <f t="shared" si="19"/>
        <v>45311</v>
      </c>
      <c r="J1237" s="2"/>
    </row>
    <row r="1238" spans="1:10" x14ac:dyDescent="0.25">
      <c r="A1238" s="8" t="s">
        <v>1172</v>
      </c>
      <c r="B1238" s="8" t="s">
        <v>1171</v>
      </c>
      <c r="C1238" s="8" t="s">
        <v>108</v>
      </c>
      <c r="D1238" s="10">
        <v>45271</v>
      </c>
      <c r="E1238" s="9">
        <v>52238</v>
      </c>
      <c r="F1238" s="2" t="str">
        <f>INDEX(Vendors!E:E,MATCH(Vendor_Analysis!C1238,Vendors!A:A,0))</f>
        <v xml:space="preserve"> 90</v>
      </c>
      <c r="G1238" s="2">
        <v>90</v>
      </c>
      <c r="H1238" s="16">
        <f t="shared" si="19"/>
        <v>45361</v>
      </c>
      <c r="J1238" s="2"/>
    </row>
    <row r="1239" spans="1:10" x14ac:dyDescent="0.25">
      <c r="A1239" s="8" t="s">
        <v>1173</v>
      </c>
      <c r="B1239" s="8" t="s">
        <v>1171</v>
      </c>
      <c r="C1239" s="8" t="s">
        <v>29</v>
      </c>
      <c r="D1239" s="10">
        <v>45302</v>
      </c>
      <c r="E1239" s="9">
        <v>43099</v>
      </c>
      <c r="F1239" s="2" t="str">
        <f>INDEX(Vendors!E:E,MATCH(Vendor_Analysis!C1239,Vendors!A:A,0))</f>
        <v xml:space="preserve">30 </v>
      </c>
      <c r="G1239" s="2">
        <v>30</v>
      </c>
      <c r="H1239" s="16">
        <f t="shared" si="19"/>
        <v>45332</v>
      </c>
      <c r="J1239" s="2"/>
    </row>
    <row r="1240" spans="1:10" x14ac:dyDescent="0.25">
      <c r="A1240" s="8" t="s">
        <v>1174</v>
      </c>
      <c r="B1240" s="8" t="s">
        <v>1171</v>
      </c>
      <c r="C1240" s="8" t="s">
        <v>27</v>
      </c>
      <c r="D1240" s="10">
        <v>45303</v>
      </c>
      <c r="E1240" s="9">
        <v>71479</v>
      </c>
      <c r="F1240" s="2" t="str">
        <f>INDEX(Vendors!E:E,MATCH(Vendor_Analysis!C1240,Vendors!A:A,0))</f>
        <v xml:space="preserve">45 </v>
      </c>
      <c r="G1240" s="2">
        <v>45</v>
      </c>
      <c r="H1240" s="16">
        <f t="shared" si="19"/>
        <v>45348</v>
      </c>
      <c r="J1240" s="2"/>
    </row>
    <row r="1241" spans="1:10" x14ac:dyDescent="0.25">
      <c r="A1241" s="8" t="s">
        <v>1175</v>
      </c>
      <c r="B1241" s="8" t="s">
        <v>1171</v>
      </c>
      <c r="C1241" s="8" t="s">
        <v>10</v>
      </c>
      <c r="D1241" s="10">
        <v>45304</v>
      </c>
      <c r="E1241" s="9">
        <v>57340</v>
      </c>
      <c r="F1241" s="2" t="str">
        <f>INDEX(Vendors!E:E,MATCH(Vendor_Analysis!C1241,Vendors!A:A,0))</f>
        <v xml:space="preserve">60 </v>
      </c>
      <c r="G1241" s="2">
        <v>60</v>
      </c>
      <c r="H1241" s="16">
        <f t="shared" si="19"/>
        <v>45364</v>
      </c>
      <c r="J1241" s="2"/>
    </row>
    <row r="1242" spans="1:10" x14ac:dyDescent="0.25">
      <c r="A1242" s="8" t="s">
        <v>1176</v>
      </c>
      <c r="B1242" s="8" t="s">
        <v>1171</v>
      </c>
      <c r="C1242" s="8" t="s">
        <v>29</v>
      </c>
      <c r="D1242" s="10">
        <v>45324</v>
      </c>
      <c r="E1242" s="9">
        <v>68017</v>
      </c>
      <c r="F1242" s="2" t="str">
        <f>INDEX(Vendors!E:E,MATCH(Vendor_Analysis!C1242,Vendors!A:A,0))</f>
        <v xml:space="preserve">30 </v>
      </c>
      <c r="G1242" s="2">
        <v>30</v>
      </c>
      <c r="H1242" s="16">
        <f t="shared" si="19"/>
        <v>45354</v>
      </c>
      <c r="J1242" s="2"/>
    </row>
    <row r="1243" spans="1:10" x14ac:dyDescent="0.25">
      <c r="A1243" s="8" t="s">
        <v>1177</v>
      </c>
      <c r="B1243" s="8" t="s">
        <v>1171</v>
      </c>
      <c r="C1243" s="8" t="s">
        <v>109</v>
      </c>
      <c r="D1243" s="10">
        <v>45331</v>
      </c>
      <c r="E1243" s="9">
        <v>44349</v>
      </c>
      <c r="F1243" s="2" t="str">
        <f>INDEX(Vendors!E:E,MATCH(Vendor_Analysis!C1243,Vendors!A:A,0))</f>
        <v xml:space="preserve">30 </v>
      </c>
      <c r="G1243" s="2">
        <v>30</v>
      </c>
      <c r="H1243" s="16">
        <f t="shared" si="19"/>
        <v>45361</v>
      </c>
      <c r="J1243" s="2"/>
    </row>
    <row r="1244" spans="1:10" x14ac:dyDescent="0.25">
      <c r="A1244" s="8" t="s">
        <v>1178</v>
      </c>
      <c r="B1244" s="8" t="s">
        <v>1171</v>
      </c>
      <c r="C1244" s="8" t="s">
        <v>33</v>
      </c>
      <c r="D1244" s="10">
        <v>45364</v>
      </c>
      <c r="E1244" s="9">
        <v>58403</v>
      </c>
      <c r="F1244" s="2" t="str">
        <f>INDEX(Vendors!E:E,MATCH(Vendor_Analysis!C1244,Vendors!A:A,0))</f>
        <v xml:space="preserve">30 </v>
      </c>
      <c r="G1244" s="2">
        <v>30</v>
      </c>
      <c r="H1244" s="16">
        <f t="shared" si="19"/>
        <v>45394</v>
      </c>
      <c r="J1244" s="2"/>
    </row>
    <row r="1245" spans="1:10" x14ac:dyDescent="0.25">
      <c r="A1245" s="8" t="s">
        <v>1179</v>
      </c>
      <c r="B1245" s="8" t="s">
        <v>1171</v>
      </c>
      <c r="C1245" s="8" t="s">
        <v>108</v>
      </c>
      <c r="D1245" s="10">
        <v>45374</v>
      </c>
      <c r="E1245" s="9">
        <v>50180</v>
      </c>
      <c r="F1245" s="2" t="str">
        <f>INDEX(Vendors!E:E,MATCH(Vendor_Analysis!C1245,Vendors!A:A,0))</f>
        <v xml:space="preserve"> 90</v>
      </c>
      <c r="G1245" s="2">
        <v>90</v>
      </c>
      <c r="H1245" s="16">
        <f t="shared" si="19"/>
        <v>45464</v>
      </c>
      <c r="J1245" s="2"/>
    </row>
    <row r="1246" spans="1:10" x14ac:dyDescent="0.25">
      <c r="A1246" s="8" t="s">
        <v>1180</v>
      </c>
      <c r="B1246" s="8" t="s">
        <v>1171</v>
      </c>
      <c r="C1246" s="8" t="s">
        <v>109</v>
      </c>
      <c r="D1246" s="10">
        <v>45377</v>
      </c>
      <c r="E1246" s="9">
        <v>71982</v>
      </c>
      <c r="F1246" s="2" t="str">
        <f>INDEX(Vendors!E:E,MATCH(Vendor_Analysis!C1246,Vendors!A:A,0))</f>
        <v xml:space="preserve">30 </v>
      </c>
      <c r="G1246" s="2">
        <v>30</v>
      </c>
      <c r="H1246" s="16">
        <f t="shared" si="19"/>
        <v>45407</v>
      </c>
      <c r="J1246" s="2"/>
    </row>
    <row r="1247" spans="1:10" x14ac:dyDescent="0.25">
      <c r="A1247" s="8" t="s">
        <v>1181</v>
      </c>
      <c r="B1247" s="8" t="s">
        <v>1171</v>
      </c>
      <c r="C1247" s="8" t="s">
        <v>12</v>
      </c>
      <c r="D1247" s="10">
        <v>45377</v>
      </c>
      <c r="E1247" s="9">
        <v>27613</v>
      </c>
      <c r="F1247" s="2" t="str">
        <f>INDEX(Vendors!E:E,MATCH(Vendor_Analysis!C1247,Vendors!A:A,0))</f>
        <v xml:space="preserve">30 </v>
      </c>
      <c r="G1247" s="2">
        <v>30</v>
      </c>
      <c r="H1247" s="16">
        <f t="shared" si="19"/>
        <v>45407</v>
      </c>
      <c r="J1247" s="2"/>
    </row>
    <row r="1248" spans="1:10" x14ac:dyDescent="0.25">
      <c r="A1248" s="8" t="s">
        <v>1182</v>
      </c>
      <c r="B1248" s="8" t="s">
        <v>1171</v>
      </c>
      <c r="C1248" s="8" t="s">
        <v>10</v>
      </c>
      <c r="D1248" s="10">
        <v>45378</v>
      </c>
      <c r="E1248" s="9">
        <v>249614</v>
      </c>
      <c r="F1248" s="2" t="str">
        <f>INDEX(Vendors!E:E,MATCH(Vendor_Analysis!C1248,Vendors!A:A,0))</f>
        <v xml:space="preserve">60 </v>
      </c>
      <c r="G1248" s="2">
        <v>60</v>
      </c>
      <c r="H1248" s="16">
        <f t="shared" si="19"/>
        <v>45438</v>
      </c>
      <c r="J1248" s="2"/>
    </row>
    <row r="1249" spans="1:10" x14ac:dyDescent="0.25">
      <c r="A1249" s="8" t="s">
        <v>1183</v>
      </c>
      <c r="B1249" s="8" t="s">
        <v>1171</v>
      </c>
      <c r="C1249" s="8" t="s">
        <v>73</v>
      </c>
      <c r="D1249" s="10">
        <v>45398</v>
      </c>
      <c r="E1249" s="9">
        <v>30574</v>
      </c>
      <c r="F1249" s="2" t="str">
        <f>INDEX(Vendors!E:E,MATCH(Vendor_Analysis!C1249,Vendors!A:A,0))</f>
        <v xml:space="preserve">60 </v>
      </c>
      <c r="G1249" s="2">
        <v>60</v>
      </c>
      <c r="H1249" s="16">
        <f t="shared" si="19"/>
        <v>45458</v>
      </c>
      <c r="J1249" s="2"/>
    </row>
    <row r="1250" spans="1:10" x14ac:dyDescent="0.25">
      <c r="A1250" s="8" t="s">
        <v>1184</v>
      </c>
      <c r="B1250" s="8" t="s">
        <v>1171</v>
      </c>
      <c r="C1250" s="8" t="s">
        <v>91</v>
      </c>
      <c r="D1250" s="10">
        <v>45406</v>
      </c>
      <c r="E1250" s="9">
        <v>59818</v>
      </c>
      <c r="F1250" s="2" t="str">
        <f>INDEX(Vendors!E:E,MATCH(Vendor_Analysis!C1250,Vendors!A:A,0))</f>
        <v xml:space="preserve">60 </v>
      </c>
      <c r="G1250" s="2">
        <v>60</v>
      </c>
      <c r="H1250" s="16">
        <f t="shared" si="19"/>
        <v>45466</v>
      </c>
      <c r="J1250" s="2"/>
    </row>
    <row r="1251" spans="1:10" x14ac:dyDescent="0.25">
      <c r="A1251" s="8" t="s">
        <v>1185</v>
      </c>
      <c r="B1251" s="8" t="s">
        <v>1171</v>
      </c>
      <c r="C1251" s="8" t="s">
        <v>27</v>
      </c>
      <c r="D1251" s="10">
        <v>45412</v>
      </c>
      <c r="E1251" s="9">
        <v>65885</v>
      </c>
      <c r="F1251" s="2" t="str">
        <f>INDEX(Vendors!E:E,MATCH(Vendor_Analysis!C1251,Vendors!A:A,0))</f>
        <v xml:space="preserve">45 </v>
      </c>
      <c r="G1251" s="2">
        <v>45</v>
      </c>
      <c r="H1251" s="16">
        <f t="shared" si="19"/>
        <v>45457</v>
      </c>
      <c r="J1251" s="2"/>
    </row>
    <row r="1252" spans="1:10" x14ac:dyDescent="0.25">
      <c r="A1252" s="8" t="s">
        <v>1186</v>
      </c>
      <c r="B1252" s="8" t="s">
        <v>1171</v>
      </c>
      <c r="C1252" s="8" t="s">
        <v>108</v>
      </c>
      <c r="D1252" s="10">
        <v>45431</v>
      </c>
      <c r="E1252" s="9">
        <v>27700</v>
      </c>
      <c r="F1252" s="2" t="str">
        <f>INDEX(Vendors!E:E,MATCH(Vendor_Analysis!C1252,Vendors!A:A,0))</f>
        <v xml:space="preserve"> 90</v>
      </c>
      <c r="G1252" s="2">
        <v>90</v>
      </c>
      <c r="H1252" s="16">
        <f t="shared" si="19"/>
        <v>45521</v>
      </c>
      <c r="J1252" s="2"/>
    </row>
    <row r="1253" spans="1:10" x14ac:dyDescent="0.25">
      <c r="A1253" s="8" t="s">
        <v>1187</v>
      </c>
      <c r="B1253" s="8" t="s">
        <v>1171</v>
      </c>
      <c r="C1253" s="8" t="s">
        <v>14</v>
      </c>
      <c r="D1253" s="10">
        <v>45436</v>
      </c>
      <c r="E1253" s="9">
        <v>68020</v>
      </c>
      <c r="F1253" s="2" t="str">
        <f>INDEX(Vendors!E:E,MATCH(Vendor_Analysis!C1253,Vendors!A:A,0))</f>
        <v xml:space="preserve"> 90</v>
      </c>
      <c r="G1253" s="2">
        <v>90</v>
      </c>
      <c r="H1253" s="16">
        <f t="shared" si="19"/>
        <v>45526</v>
      </c>
      <c r="J1253" s="2"/>
    </row>
    <row r="1254" spans="1:10" x14ac:dyDescent="0.25">
      <c r="A1254" s="8" t="s">
        <v>1188</v>
      </c>
      <c r="B1254" s="8" t="s">
        <v>1171</v>
      </c>
      <c r="C1254" s="8" t="s">
        <v>19</v>
      </c>
      <c r="D1254" s="10">
        <v>45468</v>
      </c>
      <c r="E1254" s="9">
        <v>70118</v>
      </c>
      <c r="F1254" s="2" t="str">
        <f>INDEX(Vendors!E:E,MATCH(Vendor_Analysis!C1254,Vendors!A:A,0))</f>
        <v xml:space="preserve">45 </v>
      </c>
      <c r="G1254" s="2">
        <v>45</v>
      </c>
      <c r="H1254" s="16">
        <f t="shared" si="19"/>
        <v>45513</v>
      </c>
      <c r="J1254" s="2"/>
    </row>
    <row r="1255" spans="1:10" x14ac:dyDescent="0.25">
      <c r="A1255" s="8" t="s">
        <v>1189</v>
      </c>
      <c r="B1255" s="8" t="s">
        <v>1171</v>
      </c>
      <c r="C1255" s="8" t="s">
        <v>108</v>
      </c>
      <c r="D1255" s="10">
        <v>45482</v>
      </c>
      <c r="E1255" s="9">
        <v>27796</v>
      </c>
      <c r="F1255" s="2" t="str">
        <f>INDEX(Vendors!E:E,MATCH(Vendor_Analysis!C1255,Vendors!A:A,0))</f>
        <v xml:space="preserve"> 90</v>
      </c>
      <c r="G1255" s="2">
        <v>90</v>
      </c>
      <c r="H1255" s="16">
        <f t="shared" si="19"/>
        <v>45572</v>
      </c>
      <c r="J1255" s="2"/>
    </row>
    <row r="1256" spans="1:10" x14ac:dyDescent="0.25">
      <c r="A1256" s="8" t="s">
        <v>1190</v>
      </c>
      <c r="B1256" s="8" t="s">
        <v>1171</v>
      </c>
      <c r="C1256" s="8" t="s">
        <v>23</v>
      </c>
      <c r="D1256" s="10">
        <v>45491</v>
      </c>
      <c r="E1256" s="9">
        <v>40393</v>
      </c>
      <c r="F1256" s="2" t="str">
        <f>INDEX(Vendors!E:E,MATCH(Vendor_Analysis!C1256,Vendors!A:A,0))</f>
        <v xml:space="preserve"> 90</v>
      </c>
      <c r="G1256" s="2">
        <v>90</v>
      </c>
      <c r="H1256" s="16">
        <f t="shared" si="19"/>
        <v>45581</v>
      </c>
      <c r="J1256" s="2"/>
    </row>
    <row r="1257" spans="1:10" x14ac:dyDescent="0.25">
      <c r="A1257" s="8" t="s">
        <v>1191</v>
      </c>
      <c r="B1257" s="8" t="s">
        <v>1171</v>
      </c>
      <c r="C1257" s="8" t="s">
        <v>50</v>
      </c>
      <c r="D1257" s="10">
        <v>45494</v>
      </c>
      <c r="E1257" s="9">
        <v>44968</v>
      </c>
      <c r="F1257" s="2" t="str">
        <f>INDEX(Vendors!E:E,MATCH(Vendor_Analysis!C1257,Vendors!A:A,0))</f>
        <v xml:space="preserve"> 90</v>
      </c>
      <c r="G1257" s="2">
        <v>90</v>
      </c>
      <c r="H1257" s="16">
        <f t="shared" si="19"/>
        <v>45584</v>
      </c>
      <c r="J1257" s="2"/>
    </row>
    <row r="1258" spans="1:10" x14ac:dyDescent="0.25">
      <c r="A1258" s="8" t="s">
        <v>1192</v>
      </c>
      <c r="B1258" s="8" t="s">
        <v>1171</v>
      </c>
      <c r="C1258" s="8" t="s">
        <v>44</v>
      </c>
      <c r="D1258" s="10">
        <v>45506</v>
      </c>
      <c r="E1258" s="9">
        <v>77058</v>
      </c>
      <c r="F1258" s="2" t="str">
        <f>INDEX(Vendors!E:E,MATCH(Vendor_Analysis!C1258,Vendors!A:A,0))</f>
        <v xml:space="preserve">45 </v>
      </c>
      <c r="G1258" s="2">
        <v>45</v>
      </c>
      <c r="H1258" s="16">
        <f t="shared" si="19"/>
        <v>45551</v>
      </c>
      <c r="J1258" s="2"/>
    </row>
    <row r="1259" spans="1:10" x14ac:dyDescent="0.25">
      <c r="A1259" s="8" t="s">
        <v>1193</v>
      </c>
      <c r="B1259" s="8" t="s">
        <v>1171</v>
      </c>
      <c r="C1259" s="8" t="s">
        <v>25</v>
      </c>
      <c r="D1259" s="10">
        <v>45520</v>
      </c>
      <c r="E1259" s="9">
        <v>69757</v>
      </c>
      <c r="F1259" s="2" t="str">
        <f>INDEX(Vendors!E:E,MATCH(Vendor_Analysis!C1259,Vendors!A:A,0))</f>
        <v xml:space="preserve">30 </v>
      </c>
      <c r="G1259" s="2">
        <v>30</v>
      </c>
      <c r="H1259" s="16">
        <f t="shared" si="19"/>
        <v>45550</v>
      </c>
      <c r="J1259" s="2"/>
    </row>
    <row r="1260" spans="1:10" x14ac:dyDescent="0.25">
      <c r="A1260" s="8" t="s">
        <v>1194</v>
      </c>
      <c r="B1260" s="8" t="s">
        <v>1171</v>
      </c>
      <c r="C1260" s="8" t="s">
        <v>109</v>
      </c>
      <c r="D1260" s="10">
        <v>45538</v>
      </c>
      <c r="E1260" s="9">
        <v>68558</v>
      </c>
      <c r="F1260" s="2" t="str">
        <f>INDEX(Vendors!E:E,MATCH(Vendor_Analysis!C1260,Vendors!A:A,0))</f>
        <v xml:space="preserve">30 </v>
      </c>
      <c r="G1260" s="2">
        <v>30</v>
      </c>
      <c r="H1260" s="16">
        <f t="shared" si="19"/>
        <v>45568</v>
      </c>
      <c r="J1260" s="2"/>
    </row>
    <row r="1261" spans="1:10" x14ac:dyDescent="0.25">
      <c r="A1261" s="8" t="s">
        <v>1195</v>
      </c>
      <c r="B1261" s="8" t="s">
        <v>1171</v>
      </c>
      <c r="C1261" s="8" t="s">
        <v>8</v>
      </c>
      <c r="D1261" s="10">
        <v>45543</v>
      </c>
      <c r="E1261" s="9">
        <v>57176</v>
      </c>
      <c r="F1261" s="2" t="str">
        <f>INDEX(Vendors!E:E,MATCH(Vendor_Analysis!C1261,Vendors!A:A,0))</f>
        <v xml:space="preserve">60 </v>
      </c>
      <c r="G1261" s="2">
        <v>60</v>
      </c>
      <c r="H1261" s="16">
        <f t="shared" si="19"/>
        <v>45603</v>
      </c>
      <c r="J1261" s="2"/>
    </row>
    <row r="1262" spans="1:10" x14ac:dyDescent="0.25">
      <c r="A1262" s="8" t="s">
        <v>1196</v>
      </c>
      <c r="B1262" s="8" t="s">
        <v>1171</v>
      </c>
      <c r="C1262" s="8" t="s">
        <v>33</v>
      </c>
      <c r="D1262" s="10">
        <v>45547</v>
      </c>
      <c r="E1262" s="9">
        <v>44947</v>
      </c>
      <c r="F1262" s="2" t="str">
        <f>INDEX(Vendors!E:E,MATCH(Vendor_Analysis!C1262,Vendors!A:A,0))</f>
        <v xml:space="preserve">30 </v>
      </c>
      <c r="G1262" s="2">
        <v>30</v>
      </c>
      <c r="H1262" s="16">
        <f t="shared" si="19"/>
        <v>45577</v>
      </c>
      <c r="J1262" s="2"/>
    </row>
    <row r="1263" spans="1:10" x14ac:dyDescent="0.25">
      <c r="A1263" s="8" t="s">
        <v>1197</v>
      </c>
      <c r="B1263" s="8" t="s">
        <v>1171</v>
      </c>
      <c r="C1263" s="8" t="s">
        <v>33</v>
      </c>
      <c r="D1263" s="10">
        <v>45554</v>
      </c>
      <c r="E1263" s="9">
        <v>47538</v>
      </c>
      <c r="F1263" s="2" t="str">
        <f>INDEX(Vendors!E:E,MATCH(Vendor_Analysis!C1263,Vendors!A:A,0))</f>
        <v xml:space="preserve">30 </v>
      </c>
      <c r="G1263" s="2">
        <v>30</v>
      </c>
      <c r="H1263" s="16">
        <f t="shared" si="19"/>
        <v>45584</v>
      </c>
      <c r="J1263" s="2"/>
    </row>
    <row r="1264" spans="1:10" x14ac:dyDescent="0.25">
      <c r="A1264" s="8" t="s">
        <v>1198</v>
      </c>
      <c r="B1264" s="8" t="s">
        <v>1171</v>
      </c>
      <c r="C1264" s="8" t="s">
        <v>19</v>
      </c>
      <c r="D1264" s="10">
        <v>45580</v>
      </c>
      <c r="E1264" s="9">
        <v>35265</v>
      </c>
      <c r="F1264" s="2" t="str">
        <f>INDEX(Vendors!E:E,MATCH(Vendor_Analysis!C1264,Vendors!A:A,0))</f>
        <v xml:space="preserve">45 </v>
      </c>
      <c r="G1264" s="2">
        <v>45</v>
      </c>
      <c r="H1264" s="16">
        <f t="shared" si="19"/>
        <v>45625</v>
      </c>
      <c r="J1264" s="2"/>
    </row>
    <row r="1265" spans="1:10" x14ac:dyDescent="0.25">
      <c r="A1265" s="8" t="s">
        <v>1199</v>
      </c>
      <c r="B1265" s="8" t="s">
        <v>1171</v>
      </c>
      <c r="C1265" s="8" t="s">
        <v>10</v>
      </c>
      <c r="D1265" s="10">
        <v>45584</v>
      </c>
      <c r="E1265" s="9">
        <v>64379</v>
      </c>
      <c r="F1265" s="2" t="str">
        <f>INDEX(Vendors!E:E,MATCH(Vendor_Analysis!C1265,Vendors!A:A,0))</f>
        <v xml:space="preserve">60 </v>
      </c>
      <c r="G1265" s="2">
        <v>60</v>
      </c>
      <c r="H1265" s="16">
        <f t="shared" si="19"/>
        <v>45644</v>
      </c>
      <c r="J1265" s="2"/>
    </row>
    <row r="1266" spans="1:10" x14ac:dyDescent="0.25">
      <c r="A1266" s="8" t="s">
        <v>1200</v>
      </c>
      <c r="B1266" s="8" t="s">
        <v>1171</v>
      </c>
      <c r="C1266" s="8" t="s">
        <v>35</v>
      </c>
      <c r="D1266" s="10">
        <v>45585</v>
      </c>
      <c r="E1266" s="9">
        <v>63893</v>
      </c>
      <c r="F1266" s="2" t="str">
        <f>INDEX(Vendors!E:E,MATCH(Vendor_Analysis!C1266,Vendors!A:A,0))</f>
        <v xml:space="preserve">60 </v>
      </c>
      <c r="G1266" s="2">
        <v>60</v>
      </c>
      <c r="H1266" s="16">
        <f t="shared" si="19"/>
        <v>45645</v>
      </c>
      <c r="J1266" s="2"/>
    </row>
    <row r="1267" spans="1:10" x14ac:dyDescent="0.25">
      <c r="A1267" s="8" t="s">
        <v>1201</v>
      </c>
      <c r="B1267" s="8" t="s">
        <v>1171</v>
      </c>
      <c r="C1267" s="8" t="s">
        <v>44</v>
      </c>
      <c r="D1267" s="10">
        <v>45601</v>
      </c>
      <c r="E1267" s="9">
        <v>31345</v>
      </c>
      <c r="F1267" s="2" t="str">
        <f>INDEX(Vendors!E:E,MATCH(Vendor_Analysis!C1267,Vendors!A:A,0))</f>
        <v xml:space="preserve">45 </v>
      </c>
      <c r="G1267" s="2">
        <v>45</v>
      </c>
      <c r="H1267" s="16">
        <f t="shared" si="19"/>
        <v>45646</v>
      </c>
      <c r="J1267" s="2"/>
    </row>
    <row r="1268" spans="1:10" x14ac:dyDescent="0.25">
      <c r="A1268" s="8" t="s">
        <v>1202</v>
      </c>
      <c r="B1268" s="8" t="s">
        <v>1171</v>
      </c>
      <c r="C1268" s="8" t="s">
        <v>8</v>
      </c>
      <c r="D1268" s="10">
        <v>45605</v>
      </c>
      <c r="E1268" s="9">
        <v>59246</v>
      </c>
      <c r="F1268" s="2" t="str">
        <f>INDEX(Vendors!E:E,MATCH(Vendor_Analysis!C1268,Vendors!A:A,0))</f>
        <v xml:space="preserve">60 </v>
      </c>
      <c r="G1268" s="2">
        <v>60</v>
      </c>
      <c r="H1268" s="16">
        <f t="shared" si="19"/>
        <v>45665</v>
      </c>
      <c r="J1268" s="2"/>
    </row>
    <row r="1269" spans="1:10" x14ac:dyDescent="0.25">
      <c r="A1269" s="8" t="s">
        <v>1203</v>
      </c>
      <c r="B1269" s="8" t="s">
        <v>1171</v>
      </c>
      <c r="C1269" s="8" t="s">
        <v>110</v>
      </c>
      <c r="D1269" s="10">
        <v>45612</v>
      </c>
      <c r="E1269" s="9">
        <v>48417</v>
      </c>
      <c r="F1269" s="2" t="str">
        <f>INDEX(Vendors!E:E,MATCH(Vendor_Analysis!C1269,Vendors!A:A,0))</f>
        <v xml:space="preserve">30 </v>
      </c>
      <c r="G1269" s="2">
        <v>30</v>
      </c>
      <c r="H1269" s="16">
        <f t="shared" si="19"/>
        <v>45642</v>
      </c>
      <c r="J1269" s="2"/>
    </row>
    <row r="1270" spans="1:10" x14ac:dyDescent="0.25">
      <c r="A1270" s="8" t="s">
        <v>1204</v>
      </c>
      <c r="B1270" s="8" t="s">
        <v>1171</v>
      </c>
      <c r="C1270" s="8" t="s">
        <v>48</v>
      </c>
      <c r="D1270" s="10">
        <v>45615</v>
      </c>
      <c r="E1270" s="9">
        <v>63409</v>
      </c>
      <c r="F1270" s="2" t="str">
        <f>INDEX(Vendors!E:E,MATCH(Vendor_Analysis!C1270,Vendors!A:A,0))</f>
        <v xml:space="preserve"> 90</v>
      </c>
      <c r="G1270" s="2">
        <v>90</v>
      </c>
      <c r="H1270" s="16">
        <f t="shared" si="19"/>
        <v>45705</v>
      </c>
      <c r="J1270" s="2"/>
    </row>
    <row r="1271" spans="1:10" x14ac:dyDescent="0.25">
      <c r="A1271" s="8" t="s">
        <v>1205</v>
      </c>
      <c r="B1271" s="8" t="s">
        <v>1171</v>
      </c>
      <c r="C1271" s="8" t="s">
        <v>110</v>
      </c>
      <c r="D1271" s="10">
        <v>45629</v>
      </c>
      <c r="E1271" s="9">
        <v>50127</v>
      </c>
      <c r="F1271" s="2" t="str">
        <f>INDEX(Vendors!E:E,MATCH(Vendor_Analysis!C1271,Vendors!A:A,0))</f>
        <v xml:space="preserve">30 </v>
      </c>
      <c r="G1271" s="2">
        <v>30</v>
      </c>
      <c r="H1271" s="16">
        <f t="shared" si="19"/>
        <v>45659</v>
      </c>
      <c r="J1271" s="2"/>
    </row>
    <row r="1272" spans="1:10" x14ac:dyDescent="0.25">
      <c r="A1272" s="8" t="s">
        <v>1206</v>
      </c>
      <c r="B1272" s="8" t="s">
        <v>1171</v>
      </c>
      <c r="C1272" s="8" t="s">
        <v>33</v>
      </c>
      <c r="D1272" s="10">
        <v>45635</v>
      </c>
      <c r="E1272" s="9">
        <v>26020</v>
      </c>
      <c r="F1272" s="2" t="str">
        <f>INDEX(Vendors!E:E,MATCH(Vendor_Analysis!C1272,Vendors!A:A,0))</f>
        <v xml:space="preserve">30 </v>
      </c>
      <c r="G1272" s="2">
        <v>30</v>
      </c>
      <c r="H1272" s="16">
        <f t="shared" si="19"/>
        <v>45665</v>
      </c>
      <c r="J1272" s="2"/>
    </row>
    <row r="1273" spans="1:10" x14ac:dyDescent="0.25">
      <c r="A1273" s="8" t="s">
        <v>1207</v>
      </c>
      <c r="B1273" s="8" t="s">
        <v>1171</v>
      </c>
      <c r="C1273" s="8" t="s">
        <v>48</v>
      </c>
      <c r="D1273" s="10">
        <v>45641</v>
      </c>
      <c r="E1273" s="9">
        <v>57212</v>
      </c>
      <c r="F1273" s="2" t="str">
        <f>INDEX(Vendors!E:E,MATCH(Vendor_Analysis!C1273,Vendors!A:A,0))</f>
        <v xml:space="preserve"> 90</v>
      </c>
      <c r="G1273" s="2">
        <v>90</v>
      </c>
      <c r="H1273" s="16">
        <f t="shared" si="19"/>
        <v>45731</v>
      </c>
      <c r="J1273" s="2"/>
    </row>
    <row r="1274" spans="1:10" x14ac:dyDescent="0.25">
      <c r="A1274" s="8" t="s">
        <v>1208</v>
      </c>
      <c r="B1274" s="8" t="s">
        <v>1171</v>
      </c>
      <c r="C1274" s="8" t="s">
        <v>23</v>
      </c>
      <c r="D1274" s="10">
        <v>45647</v>
      </c>
      <c r="E1274" s="9">
        <v>32361</v>
      </c>
      <c r="F1274" s="2" t="str">
        <f>INDEX(Vendors!E:E,MATCH(Vendor_Analysis!C1274,Vendors!A:A,0))</f>
        <v xml:space="preserve"> 90</v>
      </c>
      <c r="G1274" s="2">
        <v>90</v>
      </c>
      <c r="H1274" s="16">
        <f t="shared" si="19"/>
        <v>45737</v>
      </c>
      <c r="J1274" s="2"/>
    </row>
    <row r="1275" spans="1:10" x14ac:dyDescent="0.25">
      <c r="A1275" s="8" t="s">
        <v>1209</v>
      </c>
      <c r="B1275" s="8" t="s">
        <v>1171</v>
      </c>
      <c r="C1275" s="8" t="s">
        <v>33</v>
      </c>
      <c r="D1275" s="10">
        <v>45648</v>
      </c>
      <c r="E1275" s="9">
        <v>24965</v>
      </c>
      <c r="F1275" s="2" t="str">
        <f>INDEX(Vendors!E:E,MATCH(Vendor_Analysis!C1275,Vendors!A:A,0))</f>
        <v xml:space="preserve">30 </v>
      </c>
      <c r="G1275" s="2">
        <v>30</v>
      </c>
      <c r="H1275" s="16">
        <f t="shared" si="19"/>
        <v>45678</v>
      </c>
      <c r="J1275" s="2"/>
    </row>
    <row r="1276" spans="1:10" x14ac:dyDescent="0.25">
      <c r="A1276" s="8" t="s">
        <v>1210</v>
      </c>
      <c r="B1276" s="8" t="s">
        <v>1171</v>
      </c>
      <c r="C1276" s="8" t="s">
        <v>108</v>
      </c>
      <c r="D1276" s="10">
        <v>45650</v>
      </c>
      <c r="E1276" s="9">
        <v>45602</v>
      </c>
      <c r="F1276" s="2" t="str">
        <f>INDEX(Vendors!E:E,MATCH(Vendor_Analysis!C1276,Vendors!A:A,0))</f>
        <v xml:space="preserve"> 90</v>
      </c>
      <c r="G1276" s="2">
        <v>90</v>
      </c>
      <c r="H1276" s="16">
        <f t="shared" si="19"/>
        <v>45740</v>
      </c>
      <c r="J1276" s="2"/>
    </row>
    <row r="1277" spans="1:10" x14ac:dyDescent="0.25">
      <c r="A1277" s="8" t="s">
        <v>1211</v>
      </c>
      <c r="B1277" s="8" t="s">
        <v>1171</v>
      </c>
      <c r="C1277" s="8" t="s">
        <v>21</v>
      </c>
      <c r="D1277" s="10">
        <v>45655</v>
      </c>
      <c r="E1277" s="9">
        <v>37579</v>
      </c>
      <c r="F1277" s="2" t="str">
        <f>INDEX(Vendors!E:E,MATCH(Vendor_Analysis!C1277,Vendors!A:A,0))</f>
        <v xml:space="preserve"> 90</v>
      </c>
      <c r="G1277" s="2">
        <v>90</v>
      </c>
      <c r="H1277" s="16">
        <f t="shared" si="19"/>
        <v>45745</v>
      </c>
      <c r="J1277" s="2"/>
    </row>
    <row r="1278" spans="1:10" x14ac:dyDescent="0.25">
      <c r="A1278" s="8" t="s">
        <v>1212</v>
      </c>
      <c r="B1278" s="8" t="s">
        <v>1171</v>
      </c>
      <c r="C1278" s="8" t="s">
        <v>37</v>
      </c>
      <c r="D1278" s="10">
        <v>45660</v>
      </c>
      <c r="E1278" s="9">
        <v>46447</v>
      </c>
      <c r="F1278" s="2" t="str">
        <f>INDEX(Vendors!E:E,MATCH(Vendor_Analysis!C1278,Vendors!A:A,0))</f>
        <v xml:space="preserve">30 </v>
      </c>
      <c r="G1278" s="2">
        <v>30</v>
      </c>
      <c r="H1278" s="16">
        <f t="shared" si="19"/>
        <v>45690</v>
      </c>
      <c r="J1278" s="2"/>
    </row>
    <row r="1279" spans="1:10" x14ac:dyDescent="0.25">
      <c r="A1279" s="8" t="s">
        <v>1213</v>
      </c>
      <c r="B1279" s="8" t="s">
        <v>1171</v>
      </c>
      <c r="C1279" s="8" t="s">
        <v>110</v>
      </c>
      <c r="D1279" s="10">
        <v>45683</v>
      </c>
      <c r="E1279" s="9">
        <v>45527</v>
      </c>
      <c r="F1279" s="2" t="str">
        <f>INDEX(Vendors!E:E,MATCH(Vendor_Analysis!C1279,Vendors!A:A,0))</f>
        <v xml:space="preserve">30 </v>
      </c>
      <c r="G1279" s="2">
        <v>30</v>
      </c>
      <c r="H1279" s="16">
        <f t="shared" si="19"/>
        <v>45713</v>
      </c>
      <c r="J1279" s="2"/>
    </row>
    <row r="1280" spans="1:10" x14ac:dyDescent="0.25">
      <c r="A1280" s="8" t="s">
        <v>1214</v>
      </c>
      <c r="B1280" s="8" t="s">
        <v>1171</v>
      </c>
      <c r="C1280" s="8" t="s">
        <v>29</v>
      </c>
      <c r="D1280" s="10">
        <v>45688</v>
      </c>
      <c r="E1280" s="9">
        <v>64982</v>
      </c>
      <c r="F1280" s="2" t="str">
        <f>INDEX(Vendors!E:E,MATCH(Vendor_Analysis!C1280,Vendors!A:A,0))</f>
        <v xml:space="preserve">30 </v>
      </c>
      <c r="G1280" s="2">
        <v>30</v>
      </c>
      <c r="H1280" s="16">
        <f t="shared" si="19"/>
        <v>45718</v>
      </c>
      <c r="J1280" s="2"/>
    </row>
    <row r="1281" spans="1:10" x14ac:dyDescent="0.25">
      <c r="A1281" s="8" t="s">
        <v>1215</v>
      </c>
      <c r="B1281" s="8" t="s">
        <v>1171</v>
      </c>
      <c r="C1281" s="8" t="s">
        <v>48</v>
      </c>
      <c r="D1281" s="10">
        <v>45688</v>
      </c>
      <c r="E1281" s="9">
        <v>38951</v>
      </c>
      <c r="F1281" s="2" t="str">
        <f>INDEX(Vendors!E:E,MATCH(Vendor_Analysis!C1281,Vendors!A:A,0))</f>
        <v xml:space="preserve"> 90</v>
      </c>
      <c r="G1281" s="2">
        <v>90</v>
      </c>
      <c r="H1281" s="16">
        <f t="shared" si="19"/>
        <v>45778</v>
      </c>
      <c r="J1281" s="2"/>
    </row>
    <row r="1282" spans="1:10" x14ac:dyDescent="0.25">
      <c r="A1282" s="8" t="s">
        <v>1216</v>
      </c>
      <c r="B1282" s="8" t="s">
        <v>1171</v>
      </c>
      <c r="C1282" s="8" t="s">
        <v>8</v>
      </c>
      <c r="D1282" s="10">
        <v>45694</v>
      </c>
      <c r="E1282" s="9">
        <v>52796</v>
      </c>
      <c r="F1282" s="2" t="str">
        <f>INDEX(Vendors!E:E,MATCH(Vendor_Analysis!C1282,Vendors!A:A,0))</f>
        <v xml:space="preserve">60 </v>
      </c>
      <c r="G1282" s="2">
        <v>60</v>
      </c>
      <c r="H1282" s="16">
        <f t="shared" si="19"/>
        <v>45754</v>
      </c>
      <c r="J1282" s="2"/>
    </row>
    <row r="1283" spans="1:10" x14ac:dyDescent="0.25">
      <c r="A1283" s="8" t="s">
        <v>1217</v>
      </c>
      <c r="B1283" s="8" t="s">
        <v>1171</v>
      </c>
      <c r="C1283" s="8" t="s">
        <v>8</v>
      </c>
      <c r="D1283" s="10">
        <v>45704</v>
      </c>
      <c r="E1283" s="9">
        <v>49273</v>
      </c>
      <c r="F1283" s="2" t="str">
        <f>INDEX(Vendors!E:E,MATCH(Vendor_Analysis!C1283,Vendors!A:A,0))</f>
        <v xml:space="preserve">60 </v>
      </c>
      <c r="G1283" s="2">
        <v>60</v>
      </c>
      <c r="H1283" s="16">
        <f t="shared" ref="H1283:H1346" si="20">D1283+F1283</f>
        <v>45764</v>
      </c>
      <c r="J1283" s="2"/>
    </row>
    <row r="1284" spans="1:10" x14ac:dyDescent="0.25">
      <c r="A1284" s="8" t="s">
        <v>1218</v>
      </c>
      <c r="B1284" s="8" t="s">
        <v>1171</v>
      </c>
      <c r="C1284" s="8" t="s">
        <v>12</v>
      </c>
      <c r="D1284" s="10">
        <v>45736</v>
      </c>
      <c r="E1284" s="9">
        <v>61723</v>
      </c>
      <c r="F1284" s="2" t="str">
        <f>INDEX(Vendors!E:E,MATCH(Vendor_Analysis!C1284,Vendors!A:A,0))</f>
        <v xml:space="preserve">30 </v>
      </c>
      <c r="G1284" s="2">
        <v>30</v>
      </c>
      <c r="H1284" s="16">
        <f t="shared" si="20"/>
        <v>45766</v>
      </c>
      <c r="J1284" s="2"/>
    </row>
    <row r="1285" spans="1:10" x14ac:dyDescent="0.25">
      <c r="A1285" s="8" t="s">
        <v>1219</v>
      </c>
      <c r="B1285" s="8" t="s">
        <v>1171</v>
      </c>
      <c r="C1285" s="8" t="s">
        <v>71</v>
      </c>
      <c r="D1285" s="10">
        <v>45737</v>
      </c>
      <c r="E1285" s="9">
        <v>54512</v>
      </c>
      <c r="F1285" s="2" t="str">
        <f>INDEX(Vendors!E:E,MATCH(Vendor_Analysis!C1285,Vendors!A:A,0))</f>
        <v xml:space="preserve">45 </v>
      </c>
      <c r="G1285" s="2">
        <v>45</v>
      </c>
      <c r="H1285" s="16">
        <f t="shared" si="20"/>
        <v>45782</v>
      </c>
      <c r="J1285" s="2"/>
    </row>
    <row r="1286" spans="1:10" x14ac:dyDescent="0.25">
      <c r="A1286" s="8" t="s">
        <v>1220</v>
      </c>
      <c r="B1286" s="8" t="s">
        <v>1171</v>
      </c>
      <c r="C1286" s="8" t="s">
        <v>17</v>
      </c>
      <c r="D1286" s="10">
        <v>45752</v>
      </c>
      <c r="E1286" s="9">
        <v>33358</v>
      </c>
      <c r="F1286" s="2" t="str">
        <f>INDEX(Vendors!E:E,MATCH(Vendor_Analysis!C1286,Vendors!A:A,0))</f>
        <v xml:space="preserve">45 </v>
      </c>
      <c r="G1286" s="2">
        <v>45</v>
      </c>
      <c r="H1286" s="16">
        <f t="shared" si="20"/>
        <v>45797</v>
      </c>
      <c r="J1286" s="2"/>
    </row>
    <row r="1287" spans="1:10" x14ac:dyDescent="0.25">
      <c r="A1287" s="8" t="s">
        <v>1221</v>
      </c>
      <c r="B1287" s="8" t="s">
        <v>1171</v>
      </c>
      <c r="C1287" s="8" t="s">
        <v>29</v>
      </c>
      <c r="D1287" s="10">
        <v>45760</v>
      </c>
      <c r="E1287" s="9">
        <v>24997</v>
      </c>
      <c r="F1287" s="2" t="str">
        <f>INDEX(Vendors!E:E,MATCH(Vendor_Analysis!C1287,Vendors!A:A,0))</f>
        <v xml:space="preserve">30 </v>
      </c>
      <c r="G1287" s="2">
        <v>30</v>
      </c>
      <c r="H1287" s="16">
        <f t="shared" si="20"/>
        <v>45790</v>
      </c>
      <c r="J1287" s="2"/>
    </row>
    <row r="1288" spans="1:10" x14ac:dyDescent="0.25">
      <c r="A1288" s="8" t="s">
        <v>1222</v>
      </c>
      <c r="B1288" s="8" t="s">
        <v>1171</v>
      </c>
      <c r="C1288" s="8" t="s">
        <v>108</v>
      </c>
      <c r="D1288" s="10">
        <v>45775</v>
      </c>
      <c r="E1288" s="9">
        <v>24138</v>
      </c>
      <c r="F1288" s="2" t="str">
        <f>INDEX(Vendors!E:E,MATCH(Vendor_Analysis!C1288,Vendors!A:A,0))</f>
        <v xml:space="preserve"> 90</v>
      </c>
      <c r="G1288" s="2">
        <v>90</v>
      </c>
      <c r="H1288" s="16">
        <f t="shared" si="20"/>
        <v>45865</v>
      </c>
      <c r="J1288" s="2"/>
    </row>
    <row r="1289" spans="1:10" x14ac:dyDescent="0.25">
      <c r="A1289" s="8" t="s">
        <v>1223</v>
      </c>
      <c r="B1289" s="8" t="s">
        <v>1171</v>
      </c>
      <c r="C1289" s="8" t="s">
        <v>33</v>
      </c>
      <c r="D1289" s="10">
        <v>45788</v>
      </c>
      <c r="E1289" s="9">
        <v>61229</v>
      </c>
      <c r="F1289" s="2" t="str">
        <f>INDEX(Vendors!E:E,MATCH(Vendor_Analysis!C1289,Vendors!A:A,0))</f>
        <v xml:space="preserve">30 </v>
      </c>
      <c r="G1289" s="2">
        <v>30</v>
      </c>
      <c r="H1289" s="16">
        <f t="shared" si="20"/>
        <v>45818</v>
      </c>
      <c r="J1289" s="2"/>
    </row>
    <row r="1290" spans="1:10" x14ac:dyDescent="0.25">
      <c r="A1290" s="8" t="s">
        <v>1224</v>
      </c>
      <c r="B1290" s="8" t="s">
        <v>1171</v>
      </c>
      <c r="C1290" s="8" t="s">
        <v>19</v>
      </c>
      <c r="D1290" s="10">
        <v>45791</v>
      </c>
      <c r="E1290" s="9">
        <v>24027</v>
      </c>
      <c r="F1290" s="2" t="str">
        <f>INDEX(Vendors!E:E,MATCH(Vendor_Analysis!C1290,Vendors!A:A,0))</f>
        <v xml:space="preserve">45 </v>
      </c>
      <c r="G1290" s="2">
        <v>45</v>
      </c>
      <c r="H1290" s="16">
        <f t="shared" si="20"/>
        <v>45836</v>
      </c>
      <c r="J1290" s="2"/>
    </row>
    <row r="1291" spans="1:10" x14ac:dyDescent="0.25">
      <c r="A1291" s="8" t="s">
        <v>1225</v>
      </c>
      <c r="B1291" s="8" t="s">
        <v>1171</v>
      </c>
      <c r="C1291" s="8" t="s">
        <v>109</v>
      </c>
      <c r="D1291" s="10">
        <v>45815</v>
      </c>
      <c r="E1291" s="9">
        <v>30541</v>
      </c>
      <c r="F1291" s="2" t="str">
        <f>INDEX(Vendors!E:E,MATCH(Vendor_Analysis!C1291,Vendors!A:A,0))</f>
        <v xml:space="preserve">30 </v>
      </c>
      <c r="G1291" s="2">
        <v>30</v>
      </c>
      <c r="H1291" s="16">
        <f t="shared" si="20"/>
        <v>45845</v>
      </c>
      <c r="J1291" s="2"/>
    </row>
    <row r="1292" spans="1:10" x14ac:dyDescent="0.25">
      <c r="A1292" s="8" t="s">
        <v>1226</v>
      </c>
      <c r="B1292" s="8" t="s">
        <v>1171</v>
      </c>
      <c r="C1292" s="8" t="s">
        <v>14</v>
      </c>
      <c r="D1292" s="10">
        <v>45819</v>
      </c>
      <c r="E1292" s="9">
        <v>57009</v>
      </c>
      <c r="F1292" s="2" t="str">
        <f>INDEX(Vendors!E:E,MATCH(Vendor_Analysis!C1292,Vendors!A:A,0))</f>
        <v xml:space="preserve"> 90</v>
      </c>
      <c r="G1292" s="2">
        <v>90</v>
      </c>
      <c r="H1292" s="16">
        <f t="shared" si="20"/>
        <v>45909</v>
      </c>
      <c r="J1292" s="2"/>
    </row>
    <row r="1293" spans="1:10" x14ac:dyDescent="0.25">
      <c r="A1293" s="8" t="s">
        <v>1227</v>
      </c>
      <c r="B1293" s="8" t="s">
        <v>1171</v>
      </c>
      <c r="C1293" s="8" t="s">
        <v>109</v>
      </c>
      <c r="D1293" s="10">
        <v>45841</v>
      </c>
      <c r="E1293" s="9">
        <v>59194</v>
      </c>
      <c r="F1293" s="2" t="str">
        <f>INDEX(Vendors!E:E,MATCH(Vendor_Analysis!C1293,Vendors!A:A,0))</f>
        <v xml:space="preserve">30 </v>
      </c>
      <c r="G1293" s="2">
        <v>30</v>
      </c>
      <c r="H1293" s="16">
        <f t="shared" si="20"/>
        <v>45871</v>
      </c>
      <c r="J1293" s="2"/>
    </row>
    <row r="1294" spans="1:10" x14ac:dyDescent="0.25">
      <c r="A1294" s="8" t="s">
        <v>1228</v>
      </c>
      <c r="B1294" s="8" t="s">
        <v>1171</v>
      </c>
      <c r="C1294" s="8" t="s">
        <v>109</v>
      </c>
      <c r="D1294" s="10">
        <v>45847</v>
      </c>
      <c r="E1294" s="9">
        <v>64042</v>
      </c>
      <c r="F1294" s="2" t="str">
        <f>INDEX(Vendors!E:E,MATCH(Vendor_Analysis!C1294,Vendors!A:A,0))</f>
        <v xml:space="preserve">30 </v>
      </c>
      <c r="G1294" s="2">
        <v>30</v>
      </c>
      <c r="H1294" s="16">
        <f t="shared" si="20"/>
        <v>45877</v>
      </c>
      <c r="J1294" s="2"/>
    </row>
    <row r="1295" spans="1:10" x14ac:dyDescent="0.25">
      <c r="A1295" s="8" t="s">
        <v>1229</v>
      </c>
      <c r="B1295" s="8" t="s">
        <v>1171</v>
      </c>
      <c r="C1295" s="8" t="s">
        <v>10</v>
      </c>
      <c r="D1295" s="10">
        <v>45876</v>
      </c>
      <c r="E1295" s="9">
        <v>40147</v>
      </c>
      <c r="F1295" s="2" t="str">
        <f>INDEX(Vendors!E:E,MATCH(Vendor_Analysis!C1295,Vendors!A:A,0))</f>
        <v xml:space="preserve">60 </v>
      </c>
      <c r="G1295" s="2">
        <v>60</v>
      </c>
      <c r="H1295" s="16">
        <f t="shared" si="20"/>
        <v>45936</v>
      </c>
      <c r="J1295" s="2"/>
    </row>
    <row r="1296" spans="1:10" x14ac:dyDescent="0.25">
      <c r="A1296" s="8" t="s">
        <v>1230</v>
      </c>
      <c r="B1296" s="8" t="s">
        <v>1171</v>
      </c>
      <c r="C1296" s="8" t="s">
        <v>44</v>
      </c>
      <c r="D1296" s="10">
        <v>45880</v>
      </c>
      <c r="E1296" s="9">
        <v>48797</v>
      </c>
      <c r="F1296" s="2" t="str">
        <f>INDEX(Vendors!E:E,MATCH(Vendor_Analysis!C1296,Vendors!A:A,0))</f>
        <v xml:space="preserve">45 </v>
      </c>
      <c r="G1296" s="2">
        <v>45</v>
      </c>
      <c r="H1296" s="16">
        <f t="shared" si="20"/>
        <v>45925</v>
      </c>
      <c r="J1296" s="2"/>
    </row>
    <row r="1297" spans="1:10" x14ac:dyDescent="0.25">
      <c r="A1297" s="8" t="s">
        <v>1231</v>
      </c>
      <c r="B1297" s="8" t="s">
        <v>1232</v>
      </c>
      <c r="C1297" s="8" t="s">
        <v>6</v>
      </c>
      <c r="D1297" s="10">
        <v>45310</v>
      </c>
      <c r="E1297" s="9">
        <v>433036</v>
      </c>
      <c r="F1297" s="2" t="str">
        <f>INDEX(Vendors!E:E,MATCH(Vendor_Analysis!C1297,Vendors!A:A,0))</f>
        <v xml:space="preserve">60 </v>
      </c>
      <c r="G1297" s="2">
        <v>60</v>
      </c>
      <c r="H1297" s="16">
        <f t="shared" si="20"/>
        <v>45370</v>
      </c>
      <c r="J1297" s="2"/>
    </row>
    <row r="1298" spans="1:10" x14ac:dyDescent="0.25">
      <c r="A1298" s="8" t="s">
        <v>1233</v>
      </c>
      <c r="B1298" s="8" t="s">
        <v>1232</v>
      </c>
      <c r="C1298" s="8" t="s">
        <v>8</v>
      </c>
      <c r="D1298" s="10">
        <v>45312</v>
      </c>
      <c r="E1298" s="9">
        <v>131439</v>
      </c>
      <c r="F1298" s="2" t="str">
        <f>INDEX(Vendors!E:E,MATCH(Vendor_Analysis!C1298,Vendors!A:A,0))</f>
        <v xml:space="preserve">60 </v>
      </c>
      <c r="G1298" s="2">
        <v>60</v>
      </c>
      <c r="H1298" s="16">
        <f t="shared" si="20"/>
        <v>45372</v>
      </c>
      <c r="J1298" s="2"/>
    </row>
    <row r="1299" spans="1:10" x14ac:dyDescent="0.25">
      <c r="A1299" s="8" t="s">
        <v>1234</v>
      </c>
      <c r="B1299" s="8" t="s">
        <v>1232</v>
      </c>
      <c r="C1299" s="8" t="s">
        <v>6</v>
      </c>
      <c r="D1299" s="10">
        <v>45343</v>
      </c>
      <c r="E1299" s="9">
        <v>128952</v>
      </c>
      <c r="F1299" s="2" t="str">
        <f>INDEX(Vendors!E:E,MATCH(Vendor_Analysis!C1299,Vendors!A:A,0))</f>
        <v xml:space="preserve">60 </v>
      </c>
      <c r="G1299" s="2">
        <v>60</v>
      </c>
      <c r="H1299" s="16">
        <f t="shared" si="20"/>
        <v>45403</v>
      </c>
      <c r="J1299" s="2"/>
    </row>
    <row r="1300" spans="1:10" x14ac:dyDescent="0.25">
      <c r="A1300" s="8" t="s">
        <v>1235</v>
      </c>
      <c r="B1300" s="8" t="s">
        <v>1232</v>
      </c>
      <c r="C1300" s="8" t="s">
        <v>44</v>
      </c>
      <c r="D1300" s="10">
        <v>45352</v>
      </c>
      <c r="E1300" s="9">
        <v>160952</v>
      </c>
      <c r="F1300" s="2" t="str">
        <f>INDEX(Vendors!E:E,MATCH(Vendor_Analysis!C1300,Vendors!A:A,0))</f>
        <v xml:space="preserve">45 </v>
      </c>
      <c r="G1300" s="2">
        <v>45</v>
      </c>
      <c r="H1300" s="16">
        <f t="shared" si="20"/>
        <v>45397</v>
      </c>
      <c r="J1300" s="2"/>
    </row>
    <row r="1301" spans="1:10" x14ac:dyDescent="0.25">
      <c r="A1301" s="8" t="s">
        <v>1236</v>
      </c>
      <c r="B1301" s="8" t="s">
        <v>1232</v>
      </c>
      <c r="C1301" s="8" t="s">
        <v>35</v>
      </c>
      <c r="D1301" s="10">
        <v>45359</v>
      </c>
      <c r="E1301" s="9">
        <v>205242</v>
      </c>
      <c r="F1301" s="2" t="str">
        <f>INDEX(Vendors!E:E,MATCH(Vendor_Analysis!C1301,Vendors!A:A,0))</f>
        <v xml:space="preserve">60 </v>
      </c>
      <c r="G1301" s="2">
        <v>60</v>
      </c>
      <c r="H1301" s="16">
        <f t="shared" si="20"/>
        <v>45419</v>
      </c>
      <c r="J1301" s="2"/>
    </row>
    <row r="1302" spans="1:10" x14ac:dyDescent="0.25">
      <c r="A1302" s="8" t="s">
        <v>1237</v>
      </c>
      <c r="B1302" s="8" t="s">
        <v>1232</v>
      </c>
      <c r="C1302" s="8" t="s">
        <v>110</v>
      </c>
      <c r="D1302" s="10">
        <v>45399</v>
      </c>
      <c r="E1302" s="9">
        <v>240294</v>
      </c>
      <c r="F1302" s="2" t="str">
        <f>INDEX(Vendors!E:E,MATCH(Vendor_Analysis!C1302,Vendors!A:A,0))</f>
        <v xml:space="preserve">30 </v>
      </c>
      <c r="G1302" s="2">
        <v>30</v>
      </c>
      <c r="H1302" s="16">
        <f t="shared" si="20"/>
        <v>45429</v>
      </c>
      <c r="J1302" s="2"/>
    </row>
    <row r="1303" spans="1:10" x14ac:dyDescent="0.25">
      <c r="A1303" s="8" t="s">
        <v>1238</v>
      </c>
      <c r="B1303" s="8" t="s">
        <v>1232</v>
      </c>
      <c r="C1303" s="8" t="s">
        <v>109</v>
      </c>
      <c r="D1303" s="10">
        <v>45405</v>
      </c>
      <c r="E1303" s="9">
        <v>255425</v>
      </c>
      <c r="F1303" s="2" t="str">
        <f>INDEX(Vendors!E:E,MATCH(Vendor_Analysis!C1303,Vendors!A:A,0))</f>
        <v xml:space="preserve">30 </v>
      </c>
      <c r="G1303" s="2">
        <v>30</v>
      </c>
      <c r="H1303" s="16">
        <f t="shared" si="20"/>
        <v>45435</v>
      </c>
      <c r="J1303" s="2"/>
    </row>
    <row r="1304" spans="1:10" x14ac:dyDescent="0.25">
      <c r="A1304" s="8" t="s">
        <v>1239</v>
      </c>
      <c r="B1304" s="8" t="s">
        <v>1232</v>
      </c>
      <c r="C1304" s="8" t="s">
        <v>17</v>
      </c>
      <c r="D1304" s="10">
        <v>45405</v>
      </c>
      <c r="E1304" s="9">
        <v>212929</v>
      </c>
      <c r="F1304" s="2" t="str">
        <f>INDEX(Vendors!E:E,MATCH(Vendor_Analysis!C1304,Vendors!A:A,0))</f>
        <v xml:space="preserve">45 </v>
      </c>
      <c r="G1304" s="2">
        <v>45</v>
      </c>
      <c r="H1304" s="16">
        <f t="shared" si="20"/>
        <v>45450</v>
      </c>
      <c r="J1304" s="2"/>
    </row>
    <row r="1305" spans="1:10" x14ac:dyDescent="0.25">
      <c r="A1305" s="8" t="s">
        <v>1240</v>
      </c>
      <c r="B1305" s="8" t="s">
        <v>1232</v>
      </c>
      <c r="C1305" s="8" t="s">
        <v>108</v>
      </c>
      <c r="D1305" s="10">
        <v>45407</v>
      </c>
      <c r="E1305" s="9">
        <v>244699</v>
      </c>
      <c r="F1305" s="2" t="str">
        <f>INDEX(Vendors!E:E,MATCH(Vendor_Analysis!C1305,Vendors!A:A,0))</f>
        <v xml:space="preserve"> 90</v>
      </c>
      <c r="G1305" s="2">
        <v>90</v>
      </c>
      <c r="H1305" s="16">
        <f t="shared" si="20"/>
        <v>45497</v>
      </c>
      <c r="J1305" s="2"/>
    </row>
    <row r="1306" spans="1:10" x14ac:dyDescent="0.25">
      <c r="A1306" s="8" t="s">
        <v>1241</v>
      </c>
      <c r="B1306" s="8" t="s">
        <v>1232</v>
      </c>
      <c r="C1306" s="8" t="s">
        <v>37</v>
      </c>
      <c r="D1306" s="10">
        <v>45430</v>
      </c>
      <c r="E1306" s="9">
        <v>140622</v>
      </c>
      <c r="F1306" s="2" t="str">
        <f>INDEX(Vendors!E:E,MATCH(Vendor_Analysis!C1306,Vendors!A:A,0))</f>
        <v xml:space="preserve">30 </v>
      </c>
      <c r="G1306" s="2">
        <v>30</v>
      </c>
      <c r="H1306" s="16">
        <f t="shared" si="20"/>
        <v>45460</v>
      </c>
      <c r="J1306" s="2"/>
    </row>
    <row r="1307" spans="1:10" x14ac:dyDescent="0.25">
      <c r="A1307" s="8" t="s">
        <v>1242</v>
      </c>
      <c r="B1307" s="8" t="s">
        <v>1232</v>
      </c>
      <c r="C1307" s="8" t="s">
        <v>73</v>
      </c>
      <c r="D1307" s="10">
        <v>45439</v>
      </c>
      <c r="E1307" s="9">
        <v>164506</v>
      </c>
      <c r="F1307" s="2" t="str">
        <f>INDEX(Vendors!E:E,MATCH(Vendor_Analysis!C1307,Vendors!A:A,0))</f>
        <v xml:space="preserve">60 </v>
      </c>
      <c r="G1307" s="2">
        <v>60</v>
      </c>
      <c r="H1307" s="16">
        <f t="shared" si="20"/>
        <v>45499</v>
      </c>
      <c r="J1307" s="2"/>
    </row>
    <row r="1308" spans="1:10" x14ac:dyDescent="0.25">
      <c r="A1308" s="8" t="s">
        <v>1243</v>
      </c>
      <c r="B1308" s="8" t="s">
        <v>1232</v>
      </c>
      <c r="C1308" s="8" t="s">
        <v>73</v>
      </c>
      <c r="D1308" s="10">
        <v>45443</v>
      </c>
      <c r="E1308" s="9">
        <v>177420</v>
      </c>
      <c r="F1308" s="2" t="str">
        <f>INDEX(Vendors!E:E,MATCH(Vendor_Analysis!C1308,Vendors!A:A,0))</f>
        <v xml:space="preserve">60 </v>
      </c>
      <c r="G1308" s="2">
        <v>60</v>
      </c>
      <c r="H1308" s="16">
        <f t="shared" si="20"/>
        <v>45503</v>
      </c>
      <c r="J1308" s="2"/>
    </row>
    <row r="1309" spans="1:10" x14ac:dyDescent="0.25">
      <c r="A1309" s="8" t="s">
        <v>1244</v>
      </c>
      <c r="B1309" s="8" t="s">
        <v>1232</v>
      </c>
      <c r="C1309" s="8" t="s">
        <v>109</v>
      </c>
      <c r="D1309" s="10">
        <v>45445</v>
      </c>
      <c r="E1309" s="9">
        <v>201138</v>
      </c>
      <c r="F1309" s="2" t="str">
        <f>INDEX(Vendors!E:E,MATCH(Vendor_Analysis!C1309,Vendors!A:A,0))</f>
        <v xml:space="preserve">30 </v>
      </c>
      <c r="G1309" s="2">
        <v>30</v>
      </c>
      <c r="H1309" s="16">
        <f t="shared" si="20"/>
        <v>45475</v>
      </c>
      <c r="J1309" s="2"/>
    </row>
    <row r="1310" spans="1:10" x14ac:dyDescent="0.25">
      <c r="A1310" s="8" t="s">
        <v>1245</v>
      </c>
      <c r="B1310" s="8" t="s">
        <v>1232</v>
      </c>
      <c r="C1310" s="8" t="s">
        <v>19</v>
      </c>
      <c r="D1310" s="10">
        <v>45452</v>
      </c>
      <c r="E1310" s="9">
        <v>147951</v>
      </c>
      <c r="F1310" s="2" t="str">
        <f>INDEX(Vendors!E:E,MATCH(Vendor_Analysis!C1310,Vendors!A:A,0))</f>
        <v xml:space="preserve">45 </v>
      </c>
      <c r="G1310" s="2">
        <v>45</v>
      </c>
      <c r="H1310" s="16">
        <f t="shared" si="20"/>
        <v>45497</v>
      </c>
      <c r="J1310" s="2"/>
    </row>
    <row r="1311" spans="1:10" x14ac:dyDescent="0.25">
      <c r="A1311" s="8" t="s">
        <v>1246</v>
      </c>
      <c r="B1311" s="8" t="s">
        <v>1232</v>
      </c>
      <c r="C1311" s="8" t="s">
        <v>108</v>
      </c>
      <c r="D1311" s="10">
        <v>45471</v>
      </c>
      <c r="E1311" s="9">
        <v>111789</v>
      </c>
      <c r="F1311" s="2" t="str">
        <f>INDEX(Vendors!E:E,MATCH(Vendor_Analysis!C1311,Vendors!A:A,0))</f>
        <v xml:space="preserve"> 90</v>
      </c>
      <c r="G1311" s="2">
        <v>90</v>
      </c>
      <c r="H1311" s="16">
        <f t="shared" si="20"/>
        <v>45561</v>
      </c>
      <c r="J1311" s="2"/>
    </row>
    <row r="1312" spans="1:10" x14ac:dyDescent="0.25">
      <c r="A1312" s="8" t="s">
        <v>1247</v>
      </c>
      <c r="B1312" s="8" t="s">
        <v>1232</v>
      </c>
      <c r="C1312" s="8" t="s">
        <v>12</v>
      </c>
      <c r="D1312" s="10">
        <v>45482</v>
      </c>
      <c r="E1312" s="9">
        <v>221495</v>
      </c>
      <c r="F1312" s="2" t="str">
        <f>INDEX(Vendors!E:E,MATCH(Vendor_Analysis!C1312,Vendors!A:A,0))</f>
        <v xml:space="preserve">30 </v>
      </c>
      <c r="G1312" s="2">
        <v>30</v>
      </c>
      <c r="H1312" s="16">
        <f t="shared" si="20"/>
        <v>45512</v>
      </c>
      <c r="J1312" s="2"/>
    </row>
    <row r="1313" spans="1:10" x14ac:dyDescent="0.25">
      <c r="A1313" s="8" t="s">
        <v>1248</v>
      </c>
      <c r="B1313" s="8" t="s">
        <v>1232</v>
      </c>
      <c r="C1313" s="8" t="s">
        <v>108</v>
      </c>
      <c r="D1313" s="10">
        <v>45521</v>
      </c>
      <c r="E1313" s="9">
        <v>139497</v>
      </c>
      <c r="F1313" s="2" t="str">
        <f>INDEX(Vendors!E:E,MATCH(Vendor_Analysis!C1313,Vendors!A:A,0))</f>
        <v xml:space="preserve"> 90</v>
      </c>
      <c r="G1313" s="2">
        <v>90</v>
      </c>
      <c r="H1313" s="16">
        <f t="shared" si="20"/>
        <v>45611</v>
      </c>
      <c r="J1313" s="2"/>
    </row>
    <row r="1314" spans="1:10" x14ac:dyDescent="0.25">
      <c r="A1314" s="8" t="s">
        <v>1249</v>
      </c>
      <c r="B1314" s="8" t="s">
        <v>1232</v>
      </c>
      <c r="C1314" s="8" t="s">
        <v>14</v>
      </c>
      <c r="D1314" s="10">
        <v>45552</v>
      </c>
      <c r="E1314" s="9">
        <v>164303</v>
      </c>
      <c r="F1314" s="2" t="str">
        <f>INDEX(Vendors!E:E,MATCH(Vendor_Analysis!C1314,Vendors!A:A,0))</f>
        <v xml:space="preserve"> 90</v>
      </c>
      <c r="G1314" s="2">
        <v>90</v>
      </c>
      <c r="H1314" s="16">
        <f t="shared" si="20"/>
        <v>45642</v>
      </c>
      <c r="J1314" s="2"/>
    </row>
    <row r="1315" spans="1:10" x14ac:dyDescent="0.25">
      <c r="A1315" s="8" t="s">
        <v>1250</v>
      </c>
      <c r="B1315" s="8" t="s">
        <v>1232</v>
      </c>
      <c r="C1315" s="8" t="s">
        <v>14</v>
      </c>
      <c r="D1315" s="10">
        <v>45563</v>
      </c>
      <c r="E1315" s="9">
        <v>165887</v>
      </c>
      <c r="F1315" s="2" t="str">
        <f>INDEX(Vendors!E:E,MATCH(Vendor_Analysis!C1315,Vendors!A:A,0))</f>
        <v xml:space="preserve"> 90</v>
      </c>
      <c r="G1315" s="2">
        <v>90</v>
      </c>
      <c r="H1315" s="16">
        <f t="shared" si="20"/>
        <v>45653</v>
      </c>
      <c r="J1315" s="2"/>
    </row>
    <row r="1316" spans="1:10" x14ac:dyDescent="0.25">
      <c r="A1316" s="8" t="s">
        <v>1251</v>
      </c>
      <c r="B1316" s="8" t="s">
        <v>1232</v>
      </c>
      <c r="C1316" s="8" t="s">
        <v>55</v>
      </c>
      <c r="D1316" s="10">
        <v>45583</v>
      </c>
      <c r="E1316" s="9">
        <v>189655</v>
      </c>
      <c r="F1316" s="2" t="str">
        <f>INDEX(Vendors!E:E,MATCH(Vendor_Analysis!C1316,Vendors!A:A,0))</f>
        <v xml:space="preserve">30 </v>
      </c>
      <c r="G1316" s="2">
        <v>30</v>
      </c>
      <c r="H1316" s="16">
        <f t="shared" si="20"/>
        <v>45613</v>
      </c>
      <c r="J1316" s="2"/>
    </row>
    <row r="1317" spans="1:10" x14ac:dyDescent="0.25">
      <c r="A1317" s="8" t="s">
        <v>1252</v>
      </c>
      <c r="B1317" s="8" t="s">
        <v>1232</v>
      </c>
      <c r="C1317" s="8" t="s">
        <v>14</v>
      </c>
      <c r="D1317" s="10">
        <v>45584</v>
      </c>
      <c r="E1317" s="9">
        <v>114855</v>
      </c>
      <c r="F1317" s="2" t="str">
        <f>INDEX(Vendors!E:E,MATCH(Vendor_Analysis!C1317,Vendors!A:A,0))</f>
        <v xml:space="preserve"> 90</v>
      </c>
      <c r="G1317" s="2">
        <v>90</v>
      </c>
      <c r="H1317" s="16">
        <f t="shared" si="20"/>
        <v>45674</v>
      </c>
      <c r="J1317" s="2"/>
    </row>
    <row r="1318" spans="1:10" x14ac:dyDescent="0.25">
      <c r="A1318" s="8" t="s">
        <v>1253</v>
      </c>
      <c r="B1318" s="8" t="s">
        <v>1232</v>
      </c>
      <c r="C1318" s="8" t="s">
        <v>108</v>
      </c>
      <c r="D1318" s="10">
        <v>45585</v>
      </c>
      <c r="E1318" s="9">
        <v>216614</v>
      </c>
      <c r="F1318" s="2" t="str">
        <f>INDEX(Vendors!E:E,MATCH(Vendor_Analysis!C1318,Vendors!A:A,0))</f>
        <v xml:space="preserve"> 90</v>
      </c>
      <c r="G1318" s="2">
        <v>90</v>
      </c>
      <c r="H1318" s="16">
        <f t="shared" si="20"/>
        <v>45675</v>
      </c>
      <c r="J1318" s="2"/>
    </row>
    <row r="1319" spans="1:10" x14ac:dyDescent="0.25">
      <c r="A1319" s="8" t="s">
        <v>1254</v>
      </c>
      <c r="B1319" s="8" t="s">
        <v>1232</v>
      </c>
      <c r="C1319" s="8" t="s">
        <v>44</v>
      </c>
      <c r="D1319" s="10">
        <v>45593</v>
      </c>
      <c r="E1319" s="9">
        <v>415713</v>
      </c>
      <c r="F1319" s="2" t="str">
        <f>INDEX(Vendors!E:E,MATCH(Vendor_Analysis!C1319,Vendors!A:A,0))</f>
        <v xml:space="preserve">45 </v>
      </c>
      <c r="G1319" s="2">
        <v>45</v>
      </c>
      <c r="H1319" s="16">
        <f t="shared" si="20"/>
        <v>45638</v>
      </c>
      <c r="J1319" s="2"/>
    </row>
    <row r="1320" spans="1:10" x14ac:dyDescent="0.25">
      <c r="A1320" s="8" t="s">
        <v>1255</v>
      </c>
      <c r="B1320" s="8" t="s">
        <v>1232</v>
      </c>
      <c r="C1320" s="8" t="s">
        <v>35</v>
      </c>
      <c r="D1320" s="10">
        <v>45594</v>
      </c>
      <c r="E1320" s="9">
        <v>696697</v>
      </c>
      <c r="F1320" s="2" t="str">
        <f>INDEX(Vendors!E:E,MATCH(Vendor_Analysis!C1320,Vendors!A:A,0))</f>
        <v xml:space="preserve">60 </v>
      </c>
      <c r="G1320" s="2">
        <v>60</v>
      </c>
      <c r="H1320" s="16">
        <f t="shared" si="20"/>
        <v>45654</v>
      </c>
      <c r="J1320" s="2"/>
    </row>
    <row r="1321" spans="1:10" x14ac:dyDescent="0.25">
      <c r="A1321" s="8" t="s">
        <v>1256</v>
      </c>
      <c r="B1321" s="8" t="s">
        <v>1232</v>
      </c>
      <c r="C1321" s="8" t="s">
        <v>35</v>
      </c>
      <c r="D1321" s="10">
        <v>45600</v>
      </c>
      <c r="E1321" s="9">
        <v>146268</v>
      </c>
      <c r="F1321" s="2" t="str">
        <f>INDEX(Vendors!E:E,MATCH(Vendor_Analysis!C1321,Vendors!A:A,0))</f>
        <v xml:space="preserve">60 </v>
      </c>
      <c r="G1321" s="2">
        <v>60</v>
      </c>
      <c r="H1321" s="16">
        <f t="shared" si="20"/>
        <v>45660</v>
      </c>
      <c r="J1321" s="2"/>
    </row>
    <row r="1322" spans="1:10" x14ac:dyDescent="0.25">
      <c r="A1322" s="8" t="s">
        <v>1257</v>
      </c>
      <c r="B1322" s="8" t="s">
        <v>1232</v>
      </c>
      <c r="C1322" s="8" t="s">
        <v>19</v>
      </c>
      <c r="D1322" s="10">
        <v>45609</v>
      </c>
      <c r="E1322" s="9">
        <v>122983</v>
      </c>
      <c r="F1322" s="2" t="str">
        <f>INDEX(Vendors!E:E,MATCH(Vendor_Analysis!C1322,Vendors!A:A,0))</f>
        <v xml:space="preserve">45 </v>
      </c>
      <c r="G1322" s="2">
        <v>45</v>
      </c>
      <c r="H1322" s="16">
        <f t="shared" si="20"/>
        <v>45654</v>
      </c>
      <c r="J1322" s="2"/>
    </row>
    <row r="1323" spans="1:10" x14ac:dyDescent="0.25">
      <c r="A1323" s="8" t="s">
        <v>1258</v>
      </c>
      <c r="B1323" s="8" t="s">
        <v>1232</v>
      </c>
      <c r="C1323" s="8" t="s">
        <v>73</v>
      </c>
      <c r="D1323" s="10">
        <v>45639</v>
      </c>
      <c r="E1323" s="9">
        <v>116003</v>
      </c>
      <c r="F1323" s="2" t="str">
        <f>INDEX(Vendors!E:E,MATCH(Vendor_Analysis!C1323,Vendors!A:A,0))</f>
        <v xml:space="preserve">60 </v>
      </c>
      <c r="G1323" s="2">
        <v>60</v>
      </c>
      <c r="H1323" s="16">
        <f t="shared" si="20"/>
        <v>45699</v>
      </c>
      <c r="J1323" s="2"/>
    </row>
    <row r="1324" spans="1:10" x14ac:dyDescent="0.25">
      <c r="A1324" s="8" t="s">
        <v>1259</v>
      </c>
      <c r="B1324" s="8" t="s">
        <v>1232</v>
      </c>
      <c r="C1324" s="8" t="s">
        <v>27</v>
      </c>
      <c r="D1324" s="10">
        <v>45666</v>
      </c>
      <c r="E1324" s="9">
        <v>152425</v>
      </c>
      <c r="F1324" s="2" t="str">
        <f>INDEX(Vendors!E:E,MATCH(Vendor_Analysis!C1324,Vendors!A:A,0))</f>
        <v xml:space="preserve">45 </v>
      </c>
      <c r="G1324" s="2">
        <v>45</v>
      </c>
      <c r="H1324" s="16">
        <f t="shared" si="20"/>
        <v>45711</v>
      </c>
      <c r="J1324" s="2"/>
    </row>
    <row r="1325" spans="1:10" x14ac:dyDescent="0.25">
      <c r="A1325" s="8" t="s">
        <v>1260</v>
      </c>
      <c r="B1325" s="8" t="s">
        <v>1232</v>
      </c>
      <c r="C1325" s="8" t="s">
        <v>33</v>
      </c>
      <c r="D1325" s="10">
        <v>45669</v>
      </c>
      <c r="E1325" s="9">
        <v>181637</v>
      </c>
      <c r="F1325" s="2" t="str">
        <f>INDEX(Vendors!E:E,MATCH(Vendor_Analysis!C1325,Vendors!A:A,0))</f>
        <v xml:space="preserve">30 </v>
      </c>
      <c r="G1325" s="2">
        <v>30</v>
      </c>
      <c r="H1325" s="16">
        <f t="shared" si="20"/>
        <v>45699</v>
      </c>
      <c r="J1325" s="2"/>
    </row>
    <row r="1326" spans="1:10" x14ac:dyDescent="0.25">
      <c r="A1326" s="8" t="s">
        <v>1261</v>
      </c>
      <c r="B1326" s="8" t="s">
        <v>1232</v>
      </c>
      <c r="C1326" s="8" t="s">
        <v>50</v>
      </c>
      <c r="D1326" s="10">
        <v>45669</v>
      </c>
      <c r="E1326" s="9">
        <v>88919</v>
      </c>
      <c r="F1326" s="2" t="str">
        <f>INDEX(Vendors!E:E,MATCH(Vendor_Analysis!C1326,Vendors!A:A,0))</f>
        <v xml:space="preserve"> 90</v>
      </c>
      <c r="G1326" s="2">
        <v>90</v>
      </c>
      <c r="H1326" s="16">
        <f t="shared" si="20"/>
        <v>45759</v>
      </c>
      <c r="J1326" s="2"/>
    </row>
    <row r="1327" spans="1:10" x14ac:dyDescent="0.25">
      <c r="A1327" s="8" t="s">
        <v>1262</v>
      </c>
      <c r="B1327" s="8" t="s">
        <v>1232</v>
      </c>
      <c r="C1327" s="8" t="s">
        <v>109</v>
      </c>
      <c r="D1327" s="10">
        <v>45676</v>
      </c>
      <c r="E1327" s="9">
        <v>188061</v>
      </c>
      <c r="F1327" s="2" t="str">
        <f>INDEX(Vendors!E:E,MATCH(Vendor_Analysis!C1327,Vendors!A:A,0))</f>
        <v xml:space="preserve">30 </v>
      </c>
      <c r="G1327" s="2">
        <v>30</v>
      </c>
      <c r="H1327" s="16">
        <f t="shared" si="20"/>
        <v>45706</v>
      </c>
      <c r="J1327" s="2"/>
    </row>
    <row r="1328" spans="1:10" x14ac:dyDescent="0.25">
      <c r="A1328" s="8" t="s">
        <v>1263</v>
      </c>
      <c r="B1328" s="8" t="s">
        <v>1232</v>
      </c>
      <c r="C1328" s="8" t="s">
        <v>110</v>
      </c>
      <c r="D1328" s="10">
        <v>45685</v>
      </c>
      <c r="E1328" s="9">
        <v>104204</v>
      </c>
      <c r="F1328" s="2" t="str">
        <f>INDEX(Vendors!E:E,MATCH(Vendor_Analysis!C1328,Vendors!A:A,0))</f>
        <v xml:space="preserve">30 </v>
      </c>
      <c r="G1328" s="2">
        <v>30</v>
      </c>
      <c r="H1328" s="16">
        <f t="shared" si="20"/>
        <v>45715</v>
      </c>
      <c r="J1328" s="2"/>
    </row>
    <row r="1329" spans="1:10" x14ac:dyDescent="0.25">
      <c r="A1329" s="8" t="s">
        <v>1264</v>
      </c>
      <c r="B1329" s="8" t="s">
        <v>1232</v>
      </c>
      <c r="C1329" s="8" t="s">
        <v>44</v>
      </c>
      <c r="D1329" s="10">
        <v>45687</v>
      </c>
      <c r="E1329" s="9">
        <v>139575</v>
      </c>
      <c r="F1329" s="2" t="str">
        <f>INDEX(Vendors!E:E,MATCH(Vendor_Analysis!C1329,Vendors!A:A,0))</f>
        <v xml:space="preserve">45 </v>
      </c>
      <c r="G1329" s="2">
        <v>45</v>
      </c>
      <c r="H1329" s="16">
        <f t="shared" si="20"/>
        <v>45732</v>
      </c>
      <c r="J1329" s="2"/>
    </row>
    <row r="1330" spans="1:10" x14ac:dyDescent="0.25">
      <c r="A1330" s="8" t="s">
        <v>1265</v>
      </c>
      <c r="B1330" s="8" t="s">
        <v>1232</v>
      </c>
      <c r="C1330" s="8" t="s">
        <v>19</v>
      </c>
      <c r="D1330" s="10">
        <v>45694</v>
      </c>
      <c r="E1330" s="9">
        <v>92467</v>
      </c>
      <c r="F1330" s="2" t="str">
        <f>INDEX(Vendors!E:E,MATCH(Vendor_Analysis!C1330,Vendors!A:A,0))</f>
        <v xml:space="preserve">45 </v>
      </c>
      <c r="G1330" s="2">
        <v>45</v>
      </c>
      <c r="H1330" s="16">
        <f t="shared" si="20"/>
        <v>45739</v>
      </c>
      <c r="J1330" s="2"/>
    </row>
    <row r="1331" spans="1:10" x14ac:dyDescent="0.25">
      <c r="A1331" s="8" t="s">
        <v>1266</v>
      </c>
      <c r="B1331" s="8" t="s">
        <v>1232</v>
      </c>
      <c r="C1331" s="8" t="s">
        <v>73</v>
      </c>
      <c r="D1331" s="10">
        <v>45712</v>
      </c>
      <c r="E1331" s="9">
        <v>215020</v>
      </c>
      <c r="F1331" s="2" t="str">
        <f>INDEX(Vendors!E:E,MATCH(Vendor_Analysis!C1331,Vendors!A:A,0))</f>
        <v xml:space="preserve">60 </v>
      </c>
      <c r="G1331" s="2">
        <v>60</v>
      </c>
      <c r="H1331" s="16">
        <f t="shared" si="20"/>
        <v>45772</v>
      </c>
      <c r="J1331" s="2"/>
    </row>
    <row r="1332" spans="1:10" x14ac:dyDescent="0.25">
      <c r="A1332" s="8" t="s">
        <v>1267</v>
      </c>
      <c r="B1332" s="8" t="s">
        <v>1232</v>
      </c>
      <c r="C1332" s="8" t="s">
        <v>6</v>
      </c>
      <c r="D1332" s="10">
        <v>45731</v>
      </c>
      <c r="E1332" s="9">
        <v>103004</v>
      </c>
      <c r="F1332" s="2" t="str">
        <f>INDEX(Vendors!E:E,MATCH(Vendor_Analysis!C1332,Vendors!A:A,0))</f>
        <v xml:space="preserve">60 </v>
      </c>
      <c r="G1332" s="2">
        <v>60</v>
      </c>
      <c r="H1332" s="16">
        <f t="shared" si="20"/>
        <v>45791</v>
      </c>
      <c r="J1332" s="2"/>
    </row>
    <row r="1333" spans="1:10" x14ac:dyDescent="0.25">
      <c r="A1333" s="8" t="s">
        <v>1268</v>
      </c>
      <c r="B1333" s="8" t="s">
        <v>1232</v>
      </c>
      <c r="C1333" s="8" t="s">
        <v>21</v>
      </c>
      <c r="D1333" s="10">
        <v>45745</v>
      </c>
      <c r="E1333" s="9">
        <v>204314</v>
      </c>
      <c r="F1333" s="2" t="str">
        <f>INDEX(Vendors!E:E,MATCH(Vendor_Analysis!C1333,Vendors!A:A,0))</f>
        <v xml:space="preserve"> 90</v>
      </c>
      <c r="G1333" s="2">
        <v>90</v>
      </c>
      <c r="H1333" s="16">
        <f t="shared" si="20"/>
        <v>45835</v>
      </c>
      <c r="J1333" s="2"/>
    </row>
    <row r="1334" spans="1:10" x14ac:dyDescent="0.25">
      <c r="A1334" s="8" t="s">
        <v>1269</v>
      </c>
      <c r="B1334" s="8" t="s">
        <v>1232</v>
      </c>
      <c r="C1334" s="8" t="s">
        <v>73</v>
      </c>
      <c r="D1334" s="10">
        <v>45748</v>
      </c>
      <c r="E1334" s="9">
        <v>202813</v>
      </c>
      <c r="F1334" s="2" t="str">
        <f>INDEX(Vendors!E:E,MATCH(Vendor_Analysis!C1334,Vendors!A:A,0))</f>
        <v xml:space="preserve">60 </v>
      </c>
      <c r="G1334" s="2">
        <v>60</v>
      </c>
      <c r="H1334" s="16">
        <f t="shared" si="20"/>
        <v>45808</v>
      </c>
      <c r="J1334" s="2"/>
    </row>
    <row r="1335" spans="1:10" x14ac:dyDescent="0.25">
      <c r="A1335" s="8" t="s">
        <v>1270</v>
      </c>
      <c r="B1335" s="8" t="s">
        <v>1232</v>
      </c>
      <c r="C1335" s="8" t="s">
        <v>50</v>
      </c>
      <c r="D1335" s="10">
        <v>45749</v>
      </c>
      <c r="E1335" s="9">
        <v>200296</v>
      </c>
      <c r="F1335" s="2" t="str">
        <f>INDEX(Vendors!E:E,MATCH(Vendor_Analysis!C1335,Vendors!A:A,0))</f>
        <v xml:space="preserve"> 90</v>
      </c>
      <c r="G1335" s="2">
        <v>90</v>
      </c>
      <c r="H1335" s="16">
        <f t="shared" si="20"/>
        <v>45839</v>
      </c>
      <c r="J1335" s="2"/>
    </row>
    <row r="1336" spans="1:10" x14ac:dyDescent="0.25">
      <c r="A1336" s="8" t="s">
        <v>1271</v>
      </c>
      <c r="B1336" s="8" t="s">
        <v>1232</v>
      </c>
      <c r="C1336" s="8" t="s">
        <v>50</v>
      </c>
      <c r="D1336" s="10">
        <v>45761</v>
      </c>
      <c r="E1336" s="9">
        <v>309966</v>
      </c>
      <c r="F1336" s="2" t="str">
        <f>INDEX(Vendors!E:E,MATCH(Vendor_Analysis!C1336,Vendors!A:A,0))</f>
        <v xml:space="preserve"> 90</v>
      </c>
      <c r="G1336" s="2">
        <v>90</v>
      </c>
      <c r="H1336" s="16">
        <f t="shared" si="20"/>
        <v>45851</v>
      </c>
      <c r="J1336" s="2"/>
    </row>
    <row r="1337" spans="1:10" x14ac:dyDescent="0.25">
      <c r="A1337" s="8" t="s">
        <v>1272</v>
      </c>
      <c r="B1337" s="8" t="s">
        <v>1232</v>
      </c>
      <c r="C1337" s="8" t="s">
        <v>44</v>
      </c>
      <c r="D1337" s="10">
        <v>45779</v>
      </c>
      <c r="E1337" s="9">
        <v>73256</v>
      </c>
      <c r="F1337" s="2" t="str">
        <f>INDEX(Vendors!E:E,MATCH(Vendor_Analysis!C1337,Vendors!A:A,0))</f>
        <v xml:space="preserve">45 </v>
      </c>
      <c r="G1337" s="2">
        <v>45</v>
      </c>
      <c r="H1337" s="16">
        <f t="shared" si="20"/>
        <v>45824</v>
      </c>
      <c r="J1337" s="2"/>
    </row>
    <row r="1338" spans="1:10" x14ac:dyDescent="0.25">
      <c r="A1338" s="8" t="s">
        <v>1273</v>
      </c>
      <c r="B1338" s="8" t="s">
        <v>1232</v>
      </c>
      <c r="C1338" s="8" t="s">
        <v>110</v>
      </c>
      <c r="D1338" s="10">
        <v>45780</v>
      </c>
      <c r="E1338" s="9">
        <v>78783</v>
      </c>
      <c r="F1338" s="2" t="str">
        <f>INDEX(Vendors!E:E,MATCH(Vendor_Analysis!C1338,Vendors!A:A,0))</f>
        <v xml:space="preserve">30 </v>
      </c>
      <c r="G1338" s="2">
        <v>30</v>
      </c>
      <c r="H1338" s="16">
        <f t="shared" si="20"/>
        <v>45810</v>
      </c>
      <c r="J1338" s="2"/>
    </row>
    <row r="1339" spans="1:10" x14ac:dyDescent="0.25">
      <c r="A1339" s="8" t="s">
        <v>1274</v>
      </c>
      <c r="B1339" s="8" t="s">
        <v>1232</v>
      </c>
      <c r="C1339" s="8" t="s">
        <v>37</v>
      </c>
      <c r="D1339" s="10">
        <v>45806</v>
      </c>
      <c r="E1339" s="9">
        <v>110305</v>
      </c>
      <c r="F1339" s="2" t="str">
        <f>INDEX(Vendors!E:E,MATCH(Vendor_Analysis!C1339,Vendors!A:A,0))</f>
        <v xml:space="preserve">30 </v>
      </c>
      <c r="G1339" s="2">
        <v>30</v>
      </c>
      <c r="H1339" s="16">
        <f t="shared" si="20"/>
        <v>45836</v>
      </c>
      <c r="J1339" s="2"/>
    </row>
    <row r="1340" spans="1:10" x14ac:dyDescent="0.25">
      <c r="A1340" s="8" t="s">
        <v>1275</v>
      </c>
      <c r="B1340" s="8" t="s">
        <v>1232</v>
      </c>
      <c r="C1340" s="8" t="s">
        <v>14</v>
      </c>
      <c r="D1340" s="10">
        <v>45809</v>
      </c>
      <c r="E1340" s="9">
        <v>147157</v>
      </c>
      <c r="F1340" s="2" t="str">
        <f>INDEX(Vendors!E:E,MATCH(Vendor_Analysis!C1340,Vendors!A:A,0))</f>
        <v xml:space="preserve"> 90</v>
      </c>
      <c r="G1340" s="2">
        <v>90</v>
      </c>
      <c r="H1340" s="16">
        <f t="shared" si="20"/>
        <v>45899</v>
      </c>
      <c r="J1340" s="2"/>
    </row>
    <row r="1341" spans="1:10" x14ac:dyDescent="0.25">
      <c r="A1341" s="8" t="s">
        <v>1276</v>
      </c>
      <c r="B1341" s="8" t="s">
        <v>1232</v>
      </c>
      <c r="C1341" s="8" t="s">
        <v>14</v>
      </c>
      <c r="D1341" s="10">
        <v>45816</v>
      </c>
      <c r="E1341" s="9">
        <v>79040</v>
      </c>
      <c r="F1341" s="2" t="str">
        <f>INDEX(Vendors!E:E,MATCH(Vendor_Analysis!C1341,Vendors!A:A,0))</f>
        <v xml:space="preserve"> 90</v>
      </c>
      <c r="G1341" s="2">
        <v>90</v>
      </c>
      <c r="H1341" s="16">
        <f t="shared" si="20"/>
        <v>45906</v>
      </c>
      <c r="J1341" s="2"/>
    </row>
    <row r="1342" spans="1:10" x14ac:dyDescent="0.25">
      <c r="A1342" s="8" t="s">
        <v>1277</v>
      </c>
      <c r="B1342" s="8" t="s">
        <v>1232</v>
      </c>
      <c r="C1342" s="8" t="s">
        <v>50</v>
      </c>
      <c r="D1342" s="10">
        <v>45836</v>
      </c>
      <c r="E1342" s="9">
        <v>174736</v>
      </c>
      <c r="F1342" s="2" t="str">
        <f>INDEX(Vendors!E:E,MATCH(Vendor_Analysis!C1342,Vendors!A:A,0))</f>
        <v xml:space="preserve"> 90</v>
      </c>
      <c r="G1342" s="2">
        <v>90</v>
      </c>
      <c r="H1342" s="16">
        <f t="shared" si="20"/>
        <v>45926</v>
      </c>
      <c r="J1342" s="2"/>
    </row>
    <row r="1343" spans="1:10" x14ac:dyDescent="0.25">
      <c r="A1343" s="8" t="s">
        <v>1278</v>
      </c>
      <c r="B1343" s="8" t="s">
        <v>1232</v>
      </c>
      <c r="C1343" s="8" t="s">
        <v>37</v>
      </c>
      <c r="D1343" s="10">
        <v>45857</v>
      </c>
      <c r="E1343" s="9">
        <v>159635</v>
      </c>
      <c r="F1343" s="2" t="str">
        <f>INDEX(Vendors!E:E,MATCH(Vendor_Analysis!C1343,Vendors!A:A,0))</f>
        <v xml:space="preserve">30 </v>
      </c>
      <c r="G1343" s="2">
        <v>30</v>
      </c>
      <c r="H1343" s="16">
        <f t="shared" si="20"/>
        <v>45887</v>
      </c>
      <c r="J1343" s="2"/>
    </row>
    <row r="1344" spans="1:10" x14ac:dyDescent="0.25">
      <c r="A1344" s="8" t="s">
        <v>1279</v>
      </c>
      <c r="B1344" s="8" t="s">
        <v>1280</v>
      </c>
      <c r="C1344" s="8" t="s">
        <v>109</v>
      </c>
      <c r="D1344" s="10">
        <v>45197</v>
      </c>
      <c r="E1344" s="9">
        <v>29581</v>
      </c>
      <c r="F1344" s="2" t="str">
        <f>INDEX(Vendors!E:E,MATCH(Vendor_Analysis!C1344,Vendors!A:A,0))</f>
        <v xml:space="preserve">30 </v>
      </c>
      <c r="G1344" s="2">
        <v>30</v>
      </c>
      <c r="H1344" s="16">
        <f t="shared" si="20"/>
        <v>45227</v>
      </c>
      <c r="J1344" s="2"/>
    </row>
    <row r="1345" spans="1:10" x14ac:dyDescent="0.25">
      <c r="A1345" s="8" t="s">
        <v>1281</v>
      </c>
      <c r="B1345" s="8" t="s">
        <v>1280</v>
      </c>
      <c r="C1345" s="8" t="s">
        <v>55</v>
      </c>
      <c r="D1345" s="10">
        <v>45208</v>
      </c>
      <c r="E1345" s="9">
        <v>12598</v>
      </c>
      <c r="F1345" s="2" t="str">
        <f>INDEX(Vendors!E:E,MATCH(Vendor_Analysis!C1345,Vendors!A:A,0))</f>
        <v xml:space="preserve">30 </v>
      </c>
      <c r="G1345" s="2">
        <v>30</v>
      </c>
      <c r="H1345" s="16">
        <f t="shared" si="20"/>
        <v>45238</v>
      </c>
      <c r="J1345" s="2"/>
    </row>
    <row r="1346" spans="1:10" x14ac:dyDescent="0.25">
      <c r="A1346" s="8" t="s">
        <v>1282</v>
      </c>
      <c r="B1346" s="8" t="s">
        <v>1280</v>
      </c>
      <c r="C1346" s="8" t="s">
        <v>23</v>
      </c>
      <c r="D1346" s="10">
        <v>45223</v>
      </c>
      <c r="E1346" s="9">
        <v>16276</v>
      </c>
      <c r="F1346" s="2" t="str">
        <f>INDEX(Vendors!E:E,MATCH(Vendor_Analysis!C1346,Vendors!A:A,0))</f>
        <v xml:space="preserve"> 90</v>
      </c>
      <c r="G1346" s="2">
        <v>90</v>
      </c>
      <c r="H1346" s="16">
        <f t="shared" si="20"/>
        <v>45313</v>
      </c>
      <c r="J1346" s="2"/>
    </row>
    <row r="1347" spans="1:10" x14ac:dyDescent="0.25">
      <c r="A1347" s="8" t="s">
        <v>1283</v>
      </c>
      <c r="B1347" s="8" t="s">
        <v>1280</v>
      </c>
      <c r="C1347" s="8" t="s">
        <v>91</v>
      </c>
      <c r="D1347" s="10">
        <v>45251</v>
      </c>
      <c r="E1347" s="9">
        <v>18041</v>
      </c>
      <c r="F1347" s="2" t="str">
        <f>INDEX(Vendors!E:E,MATCH(Vendor_Analysis!C1347,Vendors!A:A,0))</f>
        <v xml:space="preserve">60 </v>
      </c>
      <c r="G1347" s="2">
        <v>60</v>
      </c>
      <c r="H1347" s="16">
        <f t="shared" ref="H1347:H1410" si="21">D1347+F1347</f>
        <v>45311</v>
      </c>
      <c r="J1347" s="2"/>
    </row>
    <row r="1348" spans="1:10" x14ac:dyDescent="0.25">
      <c r="A1348" s="8" t="s">
        <v>1284</v>
      </c>
      <c r="B1348" s="8" t="s">
        <v>1280</v>
      </c>
      <c r="C1348" s="8" t="s">
        <v>17</v>
      </c>
      <c r="D1348" s="10">
        <v>45257</v>
      </c>
      <c r="E1348" s="9">
        <v>24889</v>
      </c>
      <c r="F1348" s="2" t="str">
        <f>INDEX(Vendors!E:E,MATCH(Vendor_Analysis!C1348,Vendors!A:A,0))</f>
        <v xml:space="preserve">45 </v>
      </c>
      <c r="G1348" s="2">
        <v>45</v>
      </c>
      <c r="H1348" s="16">
        <f t="shared" si="21"/>
        <v>45302</v>
      </c>
      <c r="J1348" s="2"/>
    </row>
    <row r="1349" spans="1:10" x14ac:dyDescent="0.25">
      <c r="A1349" s="8" t="s">
        <v>1285</v>
      </c>
      <c r="B1349" s="8" t="s">
        <v>1280</v>
      </c>
      <c r="C1349" s="8" t="s">
        <v>27</v>
      </c>
      <c r="D1349" s="10">
        <v>45265</v>
      </c>
      <c r="E1349" s="9">
        <v>12250</v>
      </c>
      <c r="F1349" s="2" t="str">
        <f>INDEX(Vendors!E:E,MATCH(Vendor_Analysis!C1349,Vendors!A:A,0))</f>
        <v xml:space="preserve">45 </v>
      </c>
      <c r="G1349" s="2">
        <v>45</v>
      </c>
      <c r="H1349" s="16">
        <f t="shared" si="21"/>
        <v>45310</v>
      </c>
      <c r="J1349" s="2"/>
    </row>
    <row r="1350" spans="1:10" x14ac:dyDescent="0.25">
      <c r="A1350" s="8" t="s">
        <v>1286</v>
      </c>
      <c r="B1350" s="8" t="s">
        <v>1280</v>
      </c>
      <c r="C1350" s="8" t="s">
        <v>35</v>
      </c>
      <c r="D1350" s="10">
        <v>45270</v>
      </c>
      <c r="E1350" s="9">
        <v>21575</v>
      </c>
      <c r="F1350" s="2" t="str">
        <f>INDEX(Vendors!E:E,MATCH(Vendor_Analysis!C1350,Vendors!A:A,0))</f>
        <v xml:space="preserve">60 </v>
      </c>
      <c r="G1350" s="2">
        <v>60</v>
      </c>
      <c r="H1350" s="16">
        <f t="shared" si="21"/>
        <v>45330</v>
      </c>
      <c r="J1350" s="2"/>
    </row>
    <row r="1351" spans="1:10" x14ac:dyDescent="0.25">
      <c r="A1351" s="8" t="s">
        <v>1287</v>
      </c>
      <c r="B1351" s="8" t="s">
        <v>1280</v>
      </c>
      <c r="C1351" s="8" t="s">
        <v>19</v>
      </c>
      <c r="D1351" s="10">
        <v>45275</v>
      </c>
      <c r="E1351" s="9">
        <v>24214</v>
      </c>
      <c r="F1351" s="2" t="str">
        <f>INDEX(Vendors!E:E,MATCH(Vendor_Analysis!C1351,Vendors!A:A,0))</f>
        <v xml:space="preserve">45 </v>
      </c>
      <c r="G1351" s="2">
        <v>45</v>
      </c>
      <c r="H1351" s="16">
        <f t="shared" si="21"/>
        <v>45320</v>
      </c>
      <c r="J1351" s="2"/>
    </row>
    <row r="1352" spans="1:10" x14ac:dyDescent="0.25">
      <c r="A1352" s="8" t="s">
        <v>1288</v>
      </c>
      <c r="B1352" s="8" t="s">
        <v>1280</v>
      </c>
      <c r="C1352" s="8" t="s">
        <v>33</v>
      </c>
      <c r="D1352" s="10">
        <v>45282</v>
      </c>
      <c r="E1352" s="9">
        <v>18191</v>
      </c>
      <c r="F1352" s="2" t="str">
        <f>INDEX(Vendors!E:E,MATCH(Vendor_Analysis!C1352,Vendors!A:A,0))</f>
        <v xml:space="preserve">30 </v>
      </c>
      <c r="G1352" s="2">
        <v>30</v>
      </c>
      <c r="H1352" s="16">
        <f t="shared" si="21"/>
        <v>45312</v>
      </c>
      <c r="J1352" s="2"/>
    </row>
    <row r="1353" spans="1:10" x14ac:dyDescent="0.25">
      <c r="A1353" s="8" t="s">
        <v>1289</v>
      </c>
      <c r="B1353" s="8" t="s">
        <v>1280</v>
      </c>
      <c r="C1353" s="8" t="s">
        <v>44</v>
      </c>
      <c r="D1353" s="10">
        <v>45284</v>
      </c>
      <c r="E1353" s="9">
        <v>30795</v>
      </c>
      <c r="F1353" s="2" t="str">
        <f>INDEX(Vendors!E:E,MATCH(Vendor_Analysis!C1353,Vendors!A:A,0))</f>
        <v xml:space="preserve">45 </v>
      </c>
      <c r="G1353" s="2">
        <v>45</v>
      </c>
      <c r="H1353" s="16">
        <f t="shared" si="21"/>
        <v>45329</v>
      </c>
      <c r="J1353" s="2"/>
    </row>
    <row r="1354" spans="1:10" x14ac:dyDescent="0.25">
      <c r="A1354" s="8" t="s">
        <v>1290</v>
      </c>
      <c r="B1354" s="8" t="s">
        <v>1280</v>
      </c>
      <c r="C1354" s="8" t="s">
        <v>55</v>
      </c>
      <c r="D1354" s="10">
        <v>45289</v>
      </c>
      <c r="E1354" s="9">
        <v>17068</v>
      </c>
      <c r="F1354" s="2" t="str">
        <f>INDEX(Vendors!E:E,MATCH(Vendor_Analysis!C1354,Vendors!A:A,0))</f>
        <v xml:space="preserve">30 </v>
      </c>
      <c r="G1354" s="2">
        <v>30</v>
      </c>
      <c r="H1354" s="16">
        <f t="shared" si="21"/>
        <v>45319</v>
      </c>
      <c r="J1354" s="2"/>
    </row>
    <row r="1355" spans="1:10" x14ac:dyDescent="0.25">
      <c r="A1355" s="8" t="s">
        <v>1291</v>
      </c>
      <c r="B1355" s="8" t="s">
        <v>1280</v>
      </c>
      <c r="C1355" s="8" t="s">
        <v>37</v>
      </c>
      <c r="D1355" s="10">
        <v>45300</v>
      </c>
      <c r="E1355" s="9">
        <v>34927</v>
      </c>
      <c r="F1355" s="2" t="str">
        <f>INDEX(Vendors!E:E,MATCH(Vendor_Analysis!C1355,Vendors!A:A,0))</f>
        <v xml:space="preserve">30 </v>
      </c>
      <c r="G1355" s="2">
        <v>30</v>
      </c>
      <c r="H1355" s="16">
        <f t="shared" si="21"/>
        <v>45330</v>
      </c>
      <c r="J1355" s="2"/>
    </row>
    <row r="1356" spans="1:10" x14ac:dyDescent="0.25">
      <c r="A1356" s="8" t="s">
        <v>1292</v>
      </c>
      <c r="B1356" s="8" t="s">
        <v>1280</v>
      </c>
      <c r="C1356" s="8" t="s">
        <v>37</v>
      </c>
      <c r="D1356" s="10">
        <v>45311</v>
      </c>
      <c r="E1356" s="9">
        <v>28719</v>
      </c>
      <c r="F1356" s="2" t="str">
        <f>INDEX(Vendors!E:E,MATCH(Vendor_Analysis!C1356,Vendors!A:A,0))</f>
        <v xml:space="preserve">30 </v>
      </c>
      <c r="G1356" s="2">
        <v>30</v>
      </c>
      <c r="H1356" s="16">
        <f t="shared" si="21"/>
        <v>45341</v>
      </c>
      <c r="J1356" s="2"/>
    </row>
    <row r="1357" spans="1:10" x14ac:dyDescent="0.25">
      <c r="A1357" s="8" t="s">
        <v>1293</v>
      </c>
      <c r="B1357" s="8" t="s">
        <v>1280</v>
      </c>
      <c r="C1357" s="8" t="s">
        <v>35</v>
      </c>
      <c r="D1357" s="10">
        <v>45331</v>
      </c>
      <c r="E1357" s="9">
        <v>46034</v>
      </c>
      <c r="F1357" s="2" t="str">
        <f>INDEX(Vendors!E:E,MATCH(Vendor_Analysis!C1357,Vendors!A:A,0))</f>
        <v xml:space="preserve">60 </v>
      </c>
      <c r="G1357" s="2">
        <v>60</v>
      </c>
      <c r="H1357" s="16">
        <f t="shared" si="21"/>
        <v>45391</v>
      </c>
      <c r="J1357" s="2"/>
    </row>
    <row r="1358" spans="1:10" x14ac:dyDescent="0.25">
      <c r="A1358" s="8" t="s">
        <v>1294</v>
      </c>
      <c r="B1358" s="8" t="s">
        <v>1280</v>
      </c>
      <c r="C1358" s="8" t="s">
        <v>50</v>
      </c>
      <c r="D1358" s="10">
        <v>45332</v>
      </c>
      <c r="E1358" s="9">
        <v>15984</v>
      </c>
      <c r="F1358" s="2" t="str">
        <f>INDEX(Vendors!E:E,MATCH(Vendor_Analysis!C1358,Vendors!A:A,0))</f>
        <v xml:space="preserve"> 90</v>
      </c>
      <c r="G1358" s="2">
        <v>90</v>
      </c>
      <c r="H1358" s="16">
        <f t="shared" si="21"/>
        <v>45422</v>
      </c>
      <c r="J1358" s="2"/>
    </row>
    <row r="1359" spans="1:10" x14ac:dyDescent="0.25">
      <c r="A1359" s="8" t="s">
        <v>1295</v>
      </c>
      <c r="B1359" s="8" t="s">
        <v>1280</v>
      </c>
      <c r="C1359" s="8" t="s">
        <v>14</v>
      </c>
      <c r="D1359" s="10">
        <v>45336</v>
      </c>
      <c r="E1359" s="9">
        <v>13449</v>
      </c>
      <c r="F1359" s="2" t="str">
        <f>INDEX(Vendors!E:E,MATCH(Vendor_Analysis!C1359,Vendors!A:A,0))</f>
        <v xml:space="preserve"> 90</v>
      </c>
      <c r="G1359" s="2">
        <v>90</v>
      </c>
      <c r="H1359" s="16">
        <f t="shared" si="21"/>
        <v>45426</v>
      </c>
      <c r="J1359" s="2"/>
    </row>
    <row r="1360" spans="1:10" x14ac:dyDescent="0.25">
      <c r="A1360" s="8" t="s">
        <v>1296</v>
      </c>
      <c r="B1360" s="8" t="s">
        <v>1280</v>
      </c>
      <c r="C1360" s="8" t="s">
        <v>17</v>
      </c>
      <c r="D1360" s="10">
        <v>45339</v>
      </c>
      <c r="E1360" s="9">
        <v>22252</v>
      </c>
      <c r="F1360" s="2" t="str">
        <f>INDEX(Vendors!E:E,MATCH(Vendor_Analysis!C1360,Vendors!A:A,0))</f>
        <v xml:space="preserve">45 </v>
      </c>
      <c r="G1360" s="2">
        <v>45</v>
      </c>
      <c r="H1360" s="16">
        <f t="shared" si="21"/>
        <v>45384</v>
      </c>
      <c r="J1360" s="2"/>
    </row>
    <row r="1361" spans="1:10" x14ac:dyDescent="0.25">
      <c r="A1361" s="8" t="s">
        <v>1297</v>
      </c>
      <c r="B1361" s="8" t="s">
        <v>1280</v>
      </c>
      <c r="C1361" s="8" t="s">
        <v>23</v>
      </c>
      <c r="D1361" s="10">
        <v>45342</v>
      </c>
      <c r="E1361" s="9">
        <v>22804</v>
      </c>
      <c r="F1361" s="2" t="str">
        <f>INDEX(Vendors!E:E,MATCH(Vendor_Analysis!C1361,Vendors!A:A,0))</f>
        <v xml:space="preserve"> 90</v>
      </c>
      <c r="G1361" s="2">
        <v>90</v>
      </c>
      <c r="H1361" s="16">
        <f t="shared" si="21"/>
        <v>45432</v>
      </c>
      <c r="J1361" s="2"/>
    </row>
    <row r="1362" spans="1:10" x14ac:dyDescent="0.25">
      <c r="A1362" s="8" t="s">
        <v>1298</v>
      </c>
      <c r="B1362" s="8" t="s">
        <v>1280</v>
      </c>
      <c r="C1362" s="8" t="s">
        <v>50</v>
      </c>
      <c r="D1362" s="10">
        <v>45416</v>
      </c>
      <c r="E1362" s="9">
        <v>35097</v>
      </c>
      <c r="F1362" s="2" t="str">
        <f>INDEX(Vendors!E:E,MATCH(Vendor_Analysis!C1362,Vendors!A:A,0))</f>
        <v xml:space="preserve"> 90</v>
      </c>
      <c r="G1362" s="2">
        <v>90</v>
      </c>
      <c r="H1362" s="16">
        <f t="shared" si="21"/>
        <v>45506</v>
      </c>
      <c r="J1362" s="2"/>
    </row>
    <row r="1363" spans="1:10" x14ac:dyDescent="0.25">
      <c r="A1363" s="8" t="s">
        <v>1299</v>
      </c>
      <c r="B1363" s="8" t="s">
        <v>1280</v>
      </c>
      <c r="C1363" s="8" t="s">
        <v>19</v>
      </c>
      <c r="D1363" s="10">
        <v>45427</v>
      </c>
      <c r="E1363" s="9">
        <v>17152</v>
      </c>
      <c r="F1363" s="2" t="str">
        <f>INDEX(Vendors!E:E,MATCH(Vendor_Analysis!C1363,Vendors!A:A,0))</f>
        <v xml:space="preserve">45 </v>
      </c>
      <c r="G1363" s="2">
        <v>45</v>
      </c>
      <c r="H1363" s="16">
        <f t="shared" si="21"/>
        <v>45472</v>
      </c>
      <c r="J1363" s="2"/>
    </row>
    <row r="1364" spans="1:10" x14ac:dyDescent="0.25">
      <c r="A1364" s="8" t="s">
        <v>1300</v>
      </c>
      <c r="B1364" s="8" t="s">
        <v>1280</v>
      </c>
      <c r="C1364" s="8" t="s">
        <v>27</v>
      </c>
      <c r="D1364" s="10">
        <v>45435</v>
      </c>
      <c r="E1364" s="9">
        <v>23468</v>
      </c>
      <c r="F1364" s="2" t="str">
        <f>INDEX(Vendors!E:E,MATCH(Vendor_Analysis!C1364,Vendors!A:A,0))</f>
        <v xml:space="preserve">45 </v>
      </c>
      <c r="G1364" s="2">
        <v>45</v>
      </c>
      <c r="H1364" s="16">
        <f t="shared" si="21"/>
        <v>45480</v>
      </c>
      <c r="J1364" s="2"/>
    </row>
    <row r="1365" spans="1:10" x14ac:dyDescent="0.25">
      <c r="A1365" s="8" t="s">
        <v>1301</v>
      </c>
      <c r="B1365" s="8" t="s">
        <v>1280</v>
      </c>
      <c r="C1365" s="8" t="s">
        <v>35</v>
      </c>
      <c r="D1365" s="10">
        <v>45441</v>
      </c>
      <c r="E1365" s="9">
        <v>34199</v>
      </c>
      <c r="F1365" s="2" t="str">
        <f>INDEX(Vendors!E:E,MATCH(Vendor_Analysis!C1365,Vendors!A:A,0))</f>
        <v xml:space="preserve">60 </v>
      </c>
      <c r="G1365" s="2">
        <v>60</v>
      </c>
      <c r="H1365" s="16">
        <f t="shared" si="21"/>
        <v>45501</v>
      </c>
      <c r="J1365" s="2"/>
    </row>
    <row r="1366" spans="1:10" x14ac:dyDescent="0.25">
      <c r="A1366" s="8" t="s">
        <v>1302</v>
      </c>
      <c r="B1366" s="8" t="s">
        <v>1280</v>
      </c>
      <c r="C1366" s="8" t="s">
        <v>91</v>
      </c>
      <c r="D1366" s="10">
        <v>45449</v>
      </c>
      <c r="E1366" s="9">
        <v>13410</v>
      </c>
      <c r="F1366" s="2" t="str">
        <f>INDEX(Vendors!E:E,MATCH(Vendor_Analysis!C1366,Vendors!A:A,0))</f>
        <v xml:space="preserve">60 </v>
      </c>
      <c r="G1366" s="2">
        <v>60</v>
      </c>
      <c r="H1366" s="16">
        <f t="shared" si="21"/>
        <v>45509</v>
      </c>
      <c r="J1366" s="2"/>
    </row>
    <row r="1367" spans="1:10" x14ac:dyDescent="0.25">
      <c r="A1367" s="8" t="s">
        <v>1303</v>
      </c>
      <c r="B1367" s="8" t="s">
        <v>1280</v>
      </c>
      <c r="C1367" s="8" t="s">
        <v>10</v>
      </c>
      <c r="D1367" s="10">
        <v>45476</v>
      </c>
      <c r="E1367" s="9">
        <v>18680</v>
      </c>
      <c r="F1367" s="2" t="str">
        <f>INDEX(Vendors!E:E,MATCH(Vendor_Analysis!C1367,Vendors!A:A,0))</f>
        <v xml:space="preserve">60 </v>
      </c>
      <c r="G1367" s="2">
        <v>60</v>
      </c>
      <c r="H1367" s="16">
        <f t="shared" si="21"/>
        <v>45536</v>
      </c>
      <c r="J1367" s="2"/>
    </row>
    <row r="1368" spans="1:10" x14ac:dyDescent="0.25">
      <c r="A1368" s="8" t="s">
        <v>1304</v>
      </c>
      <c r="B1368" s="8" t="s">
        <v>1280</v>
      </c>
      <c r="C1368" s="8" t="s">
        <v>6</v>
      </c>
      <c r="D1368" s="10">
        <v>45504</v>
      </c>
      <c r="E1368" s="9">
        <v>29755</v>
      </c>
      <c r="F1368" s="2" t="str">
        <f>INDEX(Vendors!E:E,MATCH(Vendor_Analysis!C1368,Vendors!A:A,0))</f>
        <v xml:space="preserve">60 </v>
      </c>
      <c r="G1368" s="2">
        <v>60</v>
      </c>
      <c r="H1368" s="16">
        <f t="shared" si="21"/>
        <v>45564</v>
      </c>
      <c r="J1368" s="2"/>
    </row>
    <row r="1369" spans="1:10" x14ac:dyDescent="0.25">
      <c r="A1369" s="8" t="s">
        <v>1305</v>
      </c>
      <c r="B1369" s="8" t="s">
        <v>1280</v>
      </c>
      <c r="C1369" s="8" t="s">
        <v>33</v>
      </c>
      <c r="D1369" s="10">
        <v>45505</v>
      </c>
      <c r="E1369" s="9">
        <v>20634</v>
      </c>
      <c r="F1369" s="2" t="str">
        <f>INDEX(Vendors!E:E,MATCH(Vendor_Analysis!C1369,Vendors!A:A,0))</f>
        <v xml:space="preserve">30 </v>
      </c>
      <c r="G1369" s="2">
        <v>30</v>
      </c>
      <c r="H1369" s="16">
        <f t="shared" si="21"/>
        <v>45535</v>
      </c>
      <c r="J1369" s="2"/>
    </row>
    <row r="1370" spans="1:10" x14ac:dyDescent="0.25">
      <c r="A1370" s="8" t="s">
        <v>1306</v>
      </c>
      <c r="B1370" s="8" t="s">
        <v>1280</v>
      </c>
      <c r="C1370" s="8" t="s">
        <v>14</v>
      </c>
      <c r="D1370" s="10">
        <v>45518</v>
      </c>
      <c r="E1370" s="9">
        <v>26040</v>
      </c>
      <c r="F1370" s="2" t="str">
        <f>INDEX(Vendors!E:E,MATCH(Vendor_Analysis!C1370,Vendors!A:A,0))</f>
        <v xml:space="preserve"> 90</v>
      </c>
      <c r="G1370" s="2">
        <v>90</v>
      </c>
      <c r="H1370" s="16">
        <f t="shared" si="21"/>
        <v>45608</v>
      </c>
      <c r="J1370" s="2"/>
    </row>
    <row r="1371" spans="1:10" x14ac:dyDescent="0.25">
      <c r="A1371" s="8" t="s">
        <v>1307</v>
      </c>
      <c r="B1371" s="8" t="s">
        <v>1280</v>
      </c>
      <c r="C1371" s="8" t="s">
        <v>29</v>
      </c>
      <c r="D1371" s="10">
        <v>45520</v>
      </c>
      <c r="E1371" s="9">
        <v>15952</v>
      </c>
      <c r="F1371" s="2" t="str">
        <f>INDEX(Vendors!E:E,MATCH(Vendor_Analysis!C1371,Vendors!A:A,0))</f>
        <v xml:space="preserve">30 </v>
      </c>
      <c r="G1371" s="2">
        <v>30</v>
      </c>
      <c r="H1371" s="16">
        <f t="shared" si="21"/>
        <v>45550</v>
      </c>
      <c r="J1371" s="2"/>
    </row>
    <row r="1372" spans="1:10" x14ac:dyDescent="0.25">
      <c r="A1372" s="8" t="s">
        <v>1308</v>
      </c>
      <c r="B1372" s="8" t="s">
        <v>1280</v>
      </c>
      <c r="C1372" s="8" t="s">
        <v>109</v>
      </c>
      <c r="D1372" s="10">
        <v>45547</v>
      </c>
      <c r="E1372" s="9">
        <v>16066</v>
      </c>
      <c r="F1372" s="2" t="str">
        <f>INDEX(Vendors!E:E,MATCH(Vendor_Analysis!C1372,Vendors!A:A,0))</f>
        <v xml:space="preserve">30 </v>
      </c>
      <c r="G1372" s="2">
        <v>30</v>
      </c>
      <c r="H1372" s="16">
        <f t="shared" si="21"/>
        <v>45577</v>
      </c>
      <c r="J1372" s="2"/>
    </row>
    <row r="1373" spans="1:10" x14ac:dyDescent="0.25">
      <c r="A1373" s="8" t="s">
        <v>1309</v>
      </c>
      <c r="B1373" s="8" t="s">
        <v>1280</v>
      </c>
      <c r="C1373" s="8" t="s">
        <v>110</v>
      </c>
      <c r="D1373" s="10">
        <v>45555</v>
      </c>
      <c r="E1373" s="9">
        <v>36544</v>
      </c>
      <c r="F1373" s="2" t="str">
        <f>INDEX(Vendors!E:E,MATCH(Vendor_Analysis!C1373,Vendors!A:A,0))</f>
        <v xml:space="preserve">30 </v>
      </c>
      <c r="G1373" s="2">
        <v>30</v>
      </c>
      <c r="H1373" s="16">
        <f t="shared" si="21"/>
        <v>45585</v>
      </c>
      <c r="J1373" s="2"/>
    </row>
    <row r="1374" spans="1:10" x14ac:dyDescent="0.25">
      <c r="A1374" s="8" t="s">
        <v>1310</v>
      </c>
      <c r="B1374" s="8" t="s">
        <v>1280</v>
      </c>
      <c r="C1374" s="8" t="s">
        <v>55</v>
      </c>
      <c r="D1374" s="10">
        <v>45555</v>
      </c>
      <c r="E1374" s="9">
        <v>13981</v>
      </c>
      <c r="F1374" s="2" t="str">
        <f>INDEX(Vendors!E:E,MATCH(Vendor_Analysis!C1374,Vendors!A:A,0))</f>
        <v xml:space="preserve">30 </v>
      </c>
      <c r="G1374" s="2">
        <v>30</v>
      </c>
      <c r="H1374" s="16">
        <f t="shared" si="21"/>
        <v>45585</v>
      </c>
      <c r="J1374" s="2"/>
    </row>
    <row r="1375" spans="1:10" x14ac:dyDescent="0.25">
      <c r="A1375" s="8" t="s">
        <v>1311</v>
      </c>
      <c r="B1375" s="8" t="s">
        <v>1280</v>
      </c>
      <c r="C1375" s="8" t="s">
        <v>29</v>
      </c>
      <c r="D1375" s="10">
        <v>45565</v>
      </c>
      <c r="E1375" s="9">
        <v>33566</v>
      </c>
      <c r="F1375" s="2" t="str">
        <f>INDEX(Vendors!E:E,MATCH(Vendor_Analysis!C1375,Vendors!A:A,0))</f>
        <v xml:space="preserve">30 </v>
      </c>
      <c r="G1375" s="2">
        <v>30</v>
      </c>
      <c r="H1375" s="16">
        <f t="shared" si="21"/>
        <v>45595</v>
      </c>
      <c r="J1375" s="2"/>
    </row>
    <row r="1376" spans="1:10" x14ac:dyDescent="0.25">
      <c r="A1376" s="8" t="s">
        <v>1312</v>
      </c>
      <c r="B1376" s="8" t="s">
        <v>1280</v>
      </c>
      <c r="C1376" s="8" t="s">
        <v>33</v>
      </c>
      <c r="D1376" s="10">
        <v>45572</v>
      </c>
      <c r="E1376" s="9">
        <v>25386</v>
      </c>
      <c r="F1376" s="2" t="str">
        <f>INDEX(Vendors!E:E,MATCH(Vendor_Analysis!C1376,Vendors!A:A,0))</f>
        <v xml:space="preserve">30 </v>
      </c>
      <c r="G1376" s="2">
        <v>30</v>
      </c>
      <c r="H1376" s="16">
        <f t="shared" si="21"/>
        <v>45602</v>
      </c>
      <c r="J1376" s="2"/>
    </row>
    <row r="1377" spans="1:10" x14ac:dyDescent="0.25">
      <c r="A1377" s="8" t="s">
        <v>1313</v>
      </c>
      <c r="B1377" s="8" t="s">
        <v>1280</v>
      </c>
      <c r="C1377" s="8" t="s">
        <v>71</v>
      </c>
      <c r="D1377" s="10">
        <v>45576</v>
      </c>
      <c r="E1377" s="9">
        <v>13216</v>
      </c>
      <c r="F1377" s="2" t="str">
        <f>INDEX(Vendors!E:E,MATCH(Vendor_Analysis!C1377,Vendors!A:A,0))</f>
        <v xml:space="preserve">45 </v>
      </c>
      <c r="G1377" s="2">
        <v>45</v>
      </c>
      <c r="H1377" s="16">
        <f t="shared" si="21"/>
        <v>45621</v>
      </c>
      <c r="J1377" s="2"/>
    </row>
    <row r="1378" spans="1:10" x14ac:dyDescent="0.25">
      <c r="A1378" s="8" t="s">
        <v>1314</v>
      </c>
      <c r="B1378" s="8" t="s">
        <v>1280</v>
      </c>
      <c r="C1378" s="8" t="s">
        <v>29</v>
      </c>
      <c r="D1378" s="10">
        <v>45588</v>
      </c>
      <c r="E1378" s="9">
        <v>28668</v>
      </c>
      <c r="F1378" s="2" t="str">
        <f>INDEX(Vendors!E:E,MATCH(Vendor_Analysis!C1378,Vendors!A:A,0))</f>
        <v xml:space="preserve">30 </v>
      </c>
      <c r="G1378" s="2">
        <v>30</v>
      </c>
      <c r="H1378" s="16">
        <f t="shared" si="21"/>
        <v>45618</v>
      </c>
      <c r="J1378" s="2"/>
    </row>
    <row r="1379" spans="1:10" x14ac:dyDescent="0.25">
      <c r="A1379" s="8" t="s">
        <v>1315</v>
      </c>
      <c r="B1379" s="8" t="s">
        <v>1280</v>
      </c>
      <c r="C1379" s="8" t="s">
        <v>33</v>
      </c>
      <c r="D1379" s="10">
        <v>45597</v>
      </c>
      <c r="E1379" s="9">
        <v>29450</v>
      </c>
      <c r="F1379" s="2" t="str">
        <f>INDEX(Vendors!E:E,MATCH(Vendor_Analysis!C1379,Vendors!A:A,0))</f>
        <v xml:space="preserve">30 </v>
      </c>
      <c r="G1379" s="2">
        <v>30</v>
      </c>
      <c r="H1379" s="16">
        <f t="shared" si="21"/>
        <v>45627</v>
      </c>
      <c r="J1379" s="2"/>
    </row>
    <row r="1380" spans="1:10" x14ac:dyDescent="0.25">
      <c r="A1380" s="8" t="s">
        <v>1316</v>
      </c>
      <c r="B1380" s="8" t="s">
        <v>1280</v>
      </c>
      <c r="C1380" s="8" t="s">
        <v>23</v>
      </c>
      <c r="D1380" s="10">
        <v>45601</v>
      </c>
      <c r="E1380" s="9">
        <v>30761</v>
      </c>
      <c r="F1380" s="2" t="str">
        <f>INDEX(Vendors!E:E,MATCH(Vendor_Analysis!C1380,Vendors!A:A,0))</f>
        <v xml:space="preserve"> 90</v>
      </c>
      <c r="G1380" s="2">
        <v>90</v>
      </c>
      <c r="H1380" s="16">
        <f t="shared" si="21"/>
        <v>45691</v>
      </c>
      <c r="J1380" s="2"/>
    </row>
    <row r="1381" spans="1:10" x14ac:dyDescent="0.25">
      <c r="A1381" s="8" t="s">
        <v>1317</v>
      </c>
      <c r="B1381" s="8" t="s">
        <v>1280</v>
      </c>
      <c r="C1381" s="8" t="s">
        <v>71</v>
      </c>
      <c r="D1381" s="10">
        <v>45603</v>
      </c>
      <c r="E1381" s="9">
        <v>22943</v>
      </c>
      <c r="F1381" s="2" t="str">
        <f>INDEX(Vendors!E:E,MATCH(Vendor_Analysis!C1381,Vendors!A:A,0))</f>
        <v xml:space="preserve">45 </v>
      </c>
      <c r="G1381" s="2">
        <v>45</v>
      </c>
      <c r="H1381" s="16">
        <f t="shared" si="21"/>
        <v>45648</v>
      </c>
      <c r="J1381" s="2"/>
    </row>
    <row r="1382" spans="1:10" x14ac:dyDescent="0.25">
      <c r="A1382" s="8" t="s">
        <v>1318</v>
      </c>
      <c r="B1382" s="8" t="s">
        <v>1280</v>
      </c>
      <c r="C1382" s="8" t="s">
        <v>48</v>
      </c>
      <c r="D1382" s="10">
        <v>45617</v>
      </c>
      <c r="E1382" s="9">
        <v>25623</v>
      </c>
      <c r="F1382" s="2" t="str">
        <f>INDEX(Vendors!E:E,MATCH(Vendor_Analysis!C1382,Vendors!A:A,0))</f>
        <v xml:space="preserve"> 90</v>
      </c>
      <c r="G1382" s="2">
        <v>90</v>
      </c>
      <c r="H1382" s="16">
        <f t="shared" si="21"/>
        <v>45707</v>
      </c>
      <c r="J1382" s="2"/>
    </row>
    <row r="1383" spans="1:10" x14ac:dyDescent="0.25">
      <c r="A1383" s="8" t="s">
        <v>1319</v>
      </c>
      <c r="B1383" s="8" t="s">
        <v>1280</v>
      </c>
      <c r="C1383" s="8" t="s">
        <v>8</v>
      </c>
      <c r="D1383" s="10">
        <v>45628</v>
      </c>
      <c r="E1383" s="9">
        <v>11662</v>
      </c>
      <c r="F1383" s="2" t="str">
        <f>INDEX(Vendors!E:E,MATCH(Vendor_Analysis!C1383,Vendors!A:A,0))</f>
        <v xml:space="preserve">60 </v>
      </c>
      <c r="G1383" s="2">
        <v>60</v>
      </c>
      <c r="H1383" s="16">
        <f t="shared" si="21"/>
        <v>45688</v>
      </c>
      <c r="J1383" s="2"/>
    </row>
    <row r="1384" spans="1:10" x14ac:dyDescent="0.25">
      <c r="A1384" s="8" t="s">
        <v>1320</v>
      </c>
      <c r="B1384" s="8" t="s">
        <v>1280</v>
      </c>
      <c r="C1384" s="8" t="s">
        <v>25</v>
      </c>
      <c r="D1384" s="10">
        <v>45634</v>
      </c>
      <c r="E1384" s="9">
        <v>12199</v>
      </c>
      <c r="F1384" s="2" t="str">
        <f>INDEX(Vendors!E:E,MATCH(Vendor_Analysis!C1384,Vendors!A:A,0))</f>
        <v xml:space="preserve">30 </v>
      </c>
      <c r="G1384" s="2">
        <v>30</v>
      </c>
      <c r="H1384" s="16">
        <f t="shared" si="21"/>
        <v>45664</v>
      </c>
      <c r="J1384" s="2"/>
    </row>
    <row r="1385" spans="1:10" x14ac:dyDescent="0.25">
      <c r="A1385" s="8" t="s">
        <v>1321</v>
      </c>
      <c r="B1385" s="8" t="s">
        <v>1280</v>
      </c>
      <c r="C1385" s="8" t="s">
        <v>29</v>
      </c>
      <c r="D1385" s="10">
        <v>45649</v>
      </c>
      <c r="E1385" s="9">
        <v>16475</v>
      </c>
      <c r="F1385" s="2" t="str">
        <f>INDEX(Vendors!E:E,MATCH(Vendor_Analysis!C1385,Vendors!A:A,0))</f>
        <v xml:space="preserve">30 </v>
      </c>
      <c r="G1385" s="2">
        <v>30</v>
      </c>
      <c r="H1385" s="16">
        <f t="shared" si="21"/>
        <v>45679</v>
      </c>
      <c r="J1385" s="2"/>
    </row>
    <row r="1386" spans="1:10" x14ac:dyDescent="0.25">
      <c r="A1386" s="8" t="s">
        <v>1322</v>
      </c>
      <c r="B1386" s="8" t="s">
        <v>1280</v>
      </c>
      <c r="C1386" s="8" t="s">
        <v>29</v>
      </c>
      <c r="D1386" s="10">
        <v>45651</v>
      </c>
      <c r="E1386" s="9">
        <v>14549</v>
      </c>
      <c r="F1386" s="2" t="str">
        <f>INDEX(Vendors!E:E,MATCH(Vendor_Analysis!C1386,Vendors!A:A,0))</f>
        <v xml:space="preserve">30 </v>
      </c>
      <c r="G1386" s="2">
        <v>30</v>
      </c>
      <c r="H1386" s="16">
        <f t="shared" si="21"/>
        <v>45681</v>
      </c>
      <c r="J1386" s="2"/>
    </row>
    <row r="1387" spans="1:10" x14ac:dyDescent="0.25">
      <c r="A1387" s="8" t="s">
        <v>1323</v>
      </c>
      <c r="B1387" s="8" t="s">
        <v>1280</v>
      </c>
      <c r="C1387" s="8" t="s">
        <v>35</v>
      </c>
      <c r="D1387" s="10">
        <v>45678</v>
      </c>
      <c r="E1387" s="9">
        <v>20122</v>
      </c>
      <c r="F1387" s="2" t="str">
        <f>INDEX(Vendors!E:E,MATCH(Vendor_Analysis!C1387,Vendors!A:A,0))</f>
        <v xml:space="preserve">60 </v>
      </c>
      <c r="G1387" s="2">
        <v>60</v>
      </c>
      <c r="H1387" s="16">
        <f t="shared" si="21"/>
        <v>45738</v>
      </c>
      <c r="J1387" s="2"/>
    </row>
    <row r="1388" spans="1:10" x14ac:dyDescent="0.25">
      <c r="A1388" s="8" t="s">
        <v>1324</v>
      </c>
      <c r="B1388" s="8" t="s">
        <v>1280</v>
      </c>
      <c r="C1388" s="8" t="s">
        <v>44</v>
      </c>
      <c r="D1388" s="10">
        <v>45685</v>
      </c>
      <c r="E1388" s="9">
        <v>19873</v>
      </c>
      <c r="F1388" s="2" t="str">
        <f>INDEX(Vendors!E:E,MATCH(Vendor_Analysis!C1388,Vendors!A:A,0))</f>
        <v xml:space="preserve">45 </v>
      </c>
      <c r="G1388" s="2">
        <v>45</v>
      </c>
      <c r="H1388" s="16">
        <f t="shared" si="21"/>
        <v>45730</v>
      </c>
      <c r="J1388" s="2"/>
    </row>
    <row r="1389" spans="1:10" x14ac:dyDescent="0.25">
      <c r="A1389" s="8" t="s">
        <v>1325</v>
      </c>
      <c r="B1389" s="8" t="s">
        <v>1280</v>
      </c>
      <c r="C1389" s="8" t="s">
        <v>48</v>
      </c>
      <c r="D1389" s="10">
        <v>45736</v>
      </c>
      <c r="E1389" s="9">
        <v>10541</v>
      </c>
      <c r="F1389" s="2" t="str">
        <f>INDEX(Vendors!E:E,MATCH(Vendor_Analysis!C1389,Vendors!A:A,0))</f>
        <v xml:space="preserve"> 90</v>
      </c>
      <c r="G1389" s="2">
        <v>90</v>
      </c>
      <c r="H1389" s="16">
        <f t="shared" si="21"/>
        <v>45826</v>
      </c>
      <c r="J1389" s="2"/>
    </row>
    <row r="1390" spans="1:10" x14ac:dyDescent="0.25">
      <c r="A1390" s="8" t="s">
        <v>1326</v>
      </c>
      <c r="B1390" s="8" t="s">
        <v>1280</v>
      </c>
      <c r="C1390" s="8" t="s">
        <v>71</v>
      </c>
      <c r="D1390" s="10">
        <v>45755</v>
      </c>
      <c r="E1390" s="9">
        <v>12456</v>
      </c>
      <c r="F1390" s="2" t="str">
        <f>INDEX(Vendors!E:E,MATCH(Vendor_Analysis!C1390,Vendors!A:A,0))</f>
        <v xml:space="preserve">45 </v>
      </c>
      <c r="G1390" s="2">
        <v>45</v>
      </c>
      <c r="H1390" s="16">
        <f t="shared" si="21"/>
        <v>45800</v>
      </c>
      <c r="J1390" s="2"/>
    </row>
    <row r="1391" spans="1:10" x14ac:dyDescent="0.25">
      <c r="A1391" s="8" t="s">
        <v>1327</v>
      </c>
      <c r="B1391" s="8" t="s">
        <v>1280</v>
      </c>
      <c r="C1391" s="8" t="s">
        <v>108</v>
      </c>
      <c r="D1391" s="10">
        <v>45772</v>
      </c>
      <c r="E1391" s="9">
        <v>28024</v>
      </c>
      <c r="F1391" s="2" t="str">
        <f>INDEX(Vendors!E:E,MATCH(Vendor_Analysis!C1391,Vendors!A:A,0))</f>
        <v xml:space="preserve"> 90</v>
      </c>
      <c r="G1391" s="2">
        <v>90</v>
      </c>
      <c r="H1391" s="16">
        <f t="shared" si="21"/>
        <v>45862</v>
      </c>
      <c r="J1391" s="2"/>
    </row>
    <row r="1392" spans="1:10" x14ac:dyDescent="0.25">
      <c r="A1392" s="8" t="s">
        <v>1328</v>
      </c>
      <c r="B1392" s="8" t="s">
        <v>1280</v>
      </c>
      <c r="C1392" s="8" t="s">
        <v>6</v>
      </c>
      <c r="D1392" s="10">
        <v>45778</v>
      </c>
      <c r="E1392" s="9">
        <v>18226</v>
      </c>
      <c r="F1392" s="2" t="str">
        <f>INDEX(Vendors!E:E,MATCH(Vendor_Analysis!C1392,Vendors!A:A,0))</f>
        <v xml:space="preserve">60 </v>
      </c>
      <c r="G1392" s="2">
        <v>60</v>
      </c>
      <c r="H1392" s="16">
        <f t="shared" si="21"/>
        <v>45838</v>
      </c>
      <c r="J1392" s="2"/>
    </row>
    <row r="1393" spans="1:10" x14ac:dyDescent="0.25">
      <c r="A1393" s="8" t="s">
        <v>1329</v>
      </c>
      <c r="B1393" s="8" t="s">
        <v>1280</v>
      </c>
      <c r="C1393" s="8" t="s">
        <v>21</v>
      </c>
      <c r="D1393" s="10">
        <v>45799</v>
      </c>
      <c r="E1393" s="9">
        <v>19295</v>
      </c>
      <c r="F1393" s="2" t="str">
        <f>INDEX(Vendors!E:E,MATCH(Vendor_Analysis!C1393,Vendors!A:A,0))</f>
        <v xml:space="preserve"> 90</v>
      </c>
      <c r="G1393" s="2">
        <v>90</v>
      </c>
      <c r="H1393" s="16">
        <f t="shared" si="21"/>
        <v>45889</v>
      </c>
      <c r="J1393" s="2"/>
    </row>
    <row r="1394" spans="1:10" x14ac:dyDescent="0.25">
      <c r="A1394" s="8" t="s">
        <v>1330</v>
      </c>
      <c r="B1394" s="8" t="s">
        <v>1280</v>
      </c>
      <c r="C1394" s="8" t="s">
        <v>73</v>
      </c>
      <c r="D1394" s="10">
        <v>45811</v>
      </c>
      <c r="E1394" s="9">
        <v>30172</v>
      </c>
      <c r="F1394" s="2" t="str">
        <f>INDEX(Vendors!E:E,MATCH(Vendor_Analysis!C1394,Vendors!A:A,0))</f>
        <v xml:space="preserve">60 </v>
      </c>
      <c r="G1394" s="2">
        <v>60</v>
      </c>
      <c r="H1394" s="16">
        <f t="shared" si="21"/>
        <v>45871</v>
      </c>
      <c r="J1394" s="2"/>
    </row>
    <row r="1395" spans="1:10" x14ac:dyDescent="0.25">
      <c r="A1395" s="8" t="s">
        <v>1331</v>
      </c>
      <c r="B1395" s="8" t="s">
        <v>1280</v>
      </c>
      <c r="C1395" s="8" t="s">
        <v>21</v>
      </c>
      <c r="D1395" s="10">
        <v>45817</v>
      </c>
      <c r="E1395" s="9">
        <v>50861</v>
      </c>
      <c r="F1395" s="2" t="str">
        <f>INDEX(Vendors!E:E,MATCH(Vendor_Analysis!C1395,Vendors!A:A,0))</f>
        <v xml:space="preserve"> 90</v>
      </c>
      <c r="G1395" s="2">
        <v>90</v>
      </c>
      <c r="H1395" s="16">
        <f t="shared" si="21"/>
        <v>45907</v>
      </c>
      <c r="J1395" s="2"/>
    </row>
    <row r="1396" spans="1:10" x14ac:dyDescent="0.25">
      <c r="A1396" s="8" t="s">
        <v>1332</v>
      </c>
      <c r="B1396" s="8" t="s">
        <v>1280</v>
      </c>
      <c r="C1396" s="8" t="s">
        <v>19</v>
      </c>
      <c r="D1396" s="10">
        <v>45818</v>
      </c>
      <c r="E1396" s="9">
        <v>19693</v>
      </c>
      <c r="F1396" s="2" t="str">
        <f>INDEX(Vendors!E:E,MATCH(Vendor_Analysis!C1396,Vendors!A:A,0))</f>
        <v xml:space="preserve">45 </v>
      </c>
      <c r="G1396" s="2">
        <v>45</v>
      </c>
      <c r="H1396" s="16">
        <f t="shared" si="21"/>
        <v>45863</v>
      </c>
      <c r="J1396" s="2"/>
    </row>
    <row r="1397" spans="1:10" x14ac:dyDescent="0.25">
      <c r="A1397" s="8" t="s">
        <v>1333</v>
      </c>
      <c r="B1397" s="8" t="s">
        <v>1280</v>
      </c>
      <c r="C1397" s="8" t="s">
        <v>6</v>
      </c>
      <c r="D1397" s="10">
        <v>45839</v>
      </c>
      <c r="E1397" s="9">
        <v>28394</v>
      </c>
      <c r="F1397" s="2" t="str">
        <f>INDEX(Vendors!E:E,MATCH(Vendor_Analysis!C1397,Vendors!A:A,0))</f>
        <v xml:space="preserve">60 </v>
      </c>
      <c r="G1397" s="2">
        <v>60</v>
      </c>
      <c r="H1397" s="16">
        <f t="shared" si="21"/>
        <v>45899</v>
      </c>
      <c r="J1397" s="2"/>
    </row>
    <row r="1398" spans="1:10" x14ac:dyDescent="0.25">
      <c r="A1398" s="8" t="s">
        <v>1334</v>
      </c>
      <c r="B1398" s="8" t="s">
        <v>1280</v>
      </c>
      <c r="C1398" s="8" t="s">
        <v>25</v>
      </c>
      <c r="D1398" s="10">
        <v>45849</v>
      </c>
      <c r="E1398" s="9">
        <v>12397</v>
      </c>
      <c r="F1398" s="2" t="str">
        <f>INDEX(Vendors!E:E,MATCH(Vendor_Analysis!C1398,Vendors!A:A,0))</f>
        <v xml:space="preserve">30 </v>
      </c>
      <c r="G1398" s="2">
        <v>30</v>
      </c>
      <c r="H1398" s="16">
        <f t="shared" si="21"/>
        <v>45879</v>
      </c>
      <c r="J1398" s="2"/>
    </row>
    <row r="1399" spans="1:10" x14ac:dyDescent="0.25">
      <c r="A1399" s="8" t="s">
        <v>1335</v>
      </c>
      <c r="B1399" s="8" t="s">
        <v>1280</v>
      </c>
      <c r="C1399" s="8" t="s">
        <v>37</v>
      </c>
      <c r="D1399" s="10">
        <v>45860</v>
      </c>
      <c r="E1399" s="9">
        <v>14254</v>
      </c>
      <c r="F1399" s="2" t="str">
        <f>INDEX(Vendors!E:E,MATCH(Vendor_Analysis!C1399,Vendors!A:A,0))</f>
        <v xml:space="preserve">30 </v>
      </c>
      <c r="G1399" s="2">
        <v>30</v>
      </c>
      <c r="H1399" s="16">
        <f t="shared" si="21"/>
        <v>45890</v>
      </c>
      <c r="J1399" s="2"/>
    </row>
    <row r="1400" spans="1:10" x14ac:dyDescent="0.25">
      <c r="A1400" s="8" t="s">
        <v>1336</v>
      </c>
      <c r="B1400" s="8" t="s">
        <v>1280</v>
      </c>
      <c r="C1400" s="8" t="s">
        <v>55</v>
      </c>
      <c r="D1400" s="10">
        <v>45861</v>
      </c>
      <c r="E1400" s="9">
        <v>18298</v>
      </c>
      <c r="F1400" s="2" t="str">
        <f>INDEX(Vendors!E:E,MATCH(Vendor_Analysis!C1400,Vendors!A:A,0))</f>
        <v xml:space="preserve">30 </v>
      </c>
      <c r="G1400" s="2">
        <v>30</v>
      </c>
      <c r="H1400" s="16">
        <f t="shared" si="21"/>
        <v>45891</v>
      </c>
      <c r="J1400" s="2"/>
    </row>
    <row r="1401" spans="1:10" x14ac:dyDescent="0.25">
      <c r="A1401" s="8" t="s">
        <v>1337</v>
      </c>
      <c r="B1401" s="8" t="s">
        <v>1338</v>
      </c>
      <c r="C1401" s="8" t="s">
        <v>109</v>
      </c>
      <c r="D1401" s="10">
        <v>45177</v>
      </c>
      <c r="E1401" s="9">
        <v>195268</v>
      </c>
      <c r="F1401" s="2" t="str">
        <f>INDEX(Vendors!E:E,MATCH(Vendor_Analysis!C1401,Vendors!A:A,0))</f>
        <v xml:space="preserve">30 </v>
      </c>
      <c r="G1401" s="2">
        <v>30</v>
      </c>
      <c r="H1401" s="16">
        <f t="shared" si="21"/>
        <v>45207</v>
      </c>
      <c r="J1401" s="2"/>
    </row>
    <row r="1402" spans="1:10" x14ac:dyDescent="0.25">
      <c r="A1402" s="8" t="s">
        <v>1339</v>
      </c>
      <c r="B1402" s="8" t="s">
        <v>1338</v>
      </c>
      <c r="C1402" s="8" t="s">
        <v>12</v>
      </c>
      <c r="D1402" s="10">
        <v>45186</v>
      </c>
      <c r="E1402" s="9">
        <v>169703</v>
      </c>
      <c r="F1402" s="2" t="str">
        <f>INDEX(Vendors!E:E,MATCH(Vendor_Analysis!C1402,Vendors!A:A,0))</f>
        <v xml:space="preserve">30 </v>
      </c>
      <c r="G1402" s="2">
        <v>30</v>
      </c>
      <c r="H1402" s="16">
        <f t="shared" si="21"/>
        <v>45216</v>
      </c>
      <c r="J1402" s="2"/>
    </row>
    <row r="1403" spans="1:10" x14ac:dyDescent="0.25">
      <c r="A1403" s="8" t="s">
        <v>1340</v>
      </c>
      <c r="B1403" s="8" t="s">
        <v>1338</v>
      </c>
      <c r="C1403" s="8" t="s">
        <v>8</v>
      </c>
      <c r="D1403" s="10">
        <v>45203</v>
      </c>
      <c r="E1403" s="9">
        <v>85531</v>
      </c>
      <c r="F1403" s="2" t="str">
        <f>INDEX(Vendors!E:E,MATCH(Vendor_Analysis!C1403,Vendors!A:A,0))</f>
        <v xml:space="preserve">60 </v>
      </c>
      <c r="G1403" s="2">
        <v>60</v>
      </c>
      <c r="H1403" s="16">
        <f t="shared" si="21"/>
        <v>45263</v>
      </c>
      <c r="J1403" s="2"/>
    </row>
    <row r="1404" spans="1:10" x14ac:dyDescent="0.25">
      <c r="A1404" s="8" t="s">
        <v>1341</v>
      </c>
      <c r="B1404" s="8" t="s">
        <v>1338</v>
      </c>
      <c r="C1404" s="8" t="s">
        <v>35</v>
      </c>
      <c r="D1404" s="10">
        <v>45213</v>
      </c>
      <c r="E1404" s="9">
        <v>111102</v>
      </c>
      <c r="F1404" s="2" t="str">
        <f>INDEX(Vendors!E:E,MATCH(Vendor_Analysis!C1404,Vendors!A:A,0))</f>
        <v xml:space="preserve">60 </v>
      </c>
      <c r="G1404" s="2">
        <v>60</v>
      </c>
      <c r="H1404" s="16">
        <f t="shared" si="21"/>
        <v>45273</v>
      </c>
      <c r="J1404" s="2"/>
    </row>
    <row r="1405" spans="1:10" x14ac:dyDescent="0.25">
      <c r="A1405" s="8" t="s">
        <v>1342</v>
      </c>
      <c r="B1405" s="8" t="s">
        <v>1338</v>
      </c>
      <c r="C1405" s="8" t="s">
        <v>6</v>
      </c>
      <c r="D1405" s="10">
        <v>45215</v>
      </c>
      <c r="E1405" s="9">
        <v>232108</v>
      </c>
      <c r="F1405" s="2" t="str">
        <f>INDEX(Vendors!E:E,MATCH(Vendor_Analysis!C1405,Vendors!A:A,0))</f>
        <v xml:space="preserve">60 </v>
      </c>
      <c r="G1405" s="2">
        <v>60</v>
      </c>
      <c r="H1405" s="16">
        <f t="shared" si="21"/>
        <v>45275</v>
      </c>
      <c r="J1405" s="2"/>
    </row>
    <row r="1406" spans="1:10" x14ac:dyDescent="0.25">
      <c r="A1406" s="8" t="s">
        <v>1343</v>
      </c>
      <c r="B1406" s="8" t="s">
        <v>1338</v>
      </c>
      <c r="C1406" s="8" t="s">
        <v>37</v>
      </c>
      <c r="D1406" s="10">
        <v>45230</v>
      </c>
      <c r="E1406" s="9">
        <v>200789</v>
      </c>
      <c r="F1406" s="2" t="str">
        <f>INDEX(Vendors!E:E,MATCH(Vendor_Analysis!C1406,Vendors!A:A,0))</f>
        <v xml:space="preserve">30 </v>
      </c>
      <c r="G1406" s="2">
        <v>30</v>
      </c>
      <c r="H1406" s="16">
        <f t="shared" si="21"/>
        <v>45260</v>
      </c>
      <c r="J1406" s="2"/>
    </row>
    <row r="1407" spans="1:10" x14ac:dyDescent="0.25">
      <c r="A1407" s="8" t="s">
        <v>1344</v>
      </c>
      <c r="B1407" s="8" t="s">
        <v>1338</v>
      </c>
      <c r="C1407" s="8" t="s">
        <v>25</v>
      </c>
      <c r="D1407" s="10">
        <v>45231</v>
      </c>
      <c r="E1407" s="9">
        <v>168407</v>
      </c>
      <c r="F1407" s="2" t="str">
        <f>INDEX(Vendors!E:E,MATCH(Vendor_Analysis!C1407,Vendors!A:A,0))</f>
        <v xml:space="preserve">30 </v>
      </c>
      <c r="G1407" s="2">
        <v>30</v>
      </c>
      <c r="H1407" s="16">
        <f t="shared" si="21"/>
        <v>45261</v>
      </c>
      <c r="J1407" s="2"/>
    </row>
    <row r="1408" spans="1:10" x14ac:dyDescent="0.25">
      <c r="A1408" s="8" t="s">
        <v>1345</v>
      </c>
      <c r="B1408" s="8" t="s">
        <v>1338</v>
      </c>
      <c r="C1408" s="8" t="s">
        <v>12</v>
      </c>
      <c r="D1408" s="10">
        <v>45250</v>
      </c>
      <c r="E1408" s="9">
        <v>212540</v>
      </c>
      <c r="F1408" s="2" t="str">
        <f>INDEX(Vendors!E:E,MATCH(Vendor_Analysis!C1408,Vendors!A:A,0))</f>
        <v xml:space="preserve">30 </v>
      </c>
      <c r="G1408" s="2">
        <v>30</v>
      </c>
      <c r="H1408" s="16">
        <f t="shared" si="21"/>
        <v>45280</v>
      </c>
      <c r="J1408" s="2"/>
    </row>
    <row r="1409" spans="1:10" x14ac:dyDescent="0.25">
      <c r="A1409" s="8" t="s">
        <v>1346</v>
      </c>
      <c r="B1409" s="8" t="s">
        <v>1338</v>
      </c>
      <c r="C1409" s="8" t="s">
        <v>21</v>
      </c>
      <c r="D1409" s="10">
        <v>45251</v>
      </c>
      <c r="E1409" s="9">
        <v>203947</v>
      </c>
      <c r="F1409" s="2" t="str">
        <f>INDEX(Vendors!E:E,MATCH(Vendor_Analysis!C1409,Vendors!A:A,0))</f>
        <v xml:space="preserve"> 90</v>
      </c>
      <c r="G1409" s="2">
        <v>90</v>
      </c>
      <c r="H1409" s="16">
        <f t="shared" si="21"/>
        <v>45341</v>
      </c>
      <c r="J1409" s="2"/>
    </row>
    <row r="1410" spans="1:10" x14ac:dyDescent="0.25">
      <c r="A1410" s="8" t="s">
        <v>1347</v>
      </c>
      <c r="B1410" s="8" t="s">
        <v>1338</v>
      </c>
      <c r="C1410" s="8" t="s">
        <v>44</v>
      </c>
      <c r="D1410" s="10">
        <v>45293</v>
      </c>
      <c r="E1410" s="9">
        <v>189111</v>
      </c>
      <c r="F1410" s="2" t="str">
        <f>INDEX(Vendors!E:E,MATCH(Vendor_Analysis!C1410,Vendors!A:A,0))</f>
        <v xml:space="preserve">45 </v>
      </c>
      <c r="G1410" s="2">
        <v>45</v>
      </c>
      <c r="H1410" s="16">
        <f t="shared" si="21"/>
        <v>45338</v>
      </c>
      <c r="J1410" s="2"/>
    </row>
    <row r="1411" spans="1:10" x14ac:dyDescent="0.25">
      <c r="A1411" s="8" t="s">
        <v>1348</v>
      </c>
      <c r="B1411" s="8" t="s">
        <v>1338</v>
      </c>
      <c r="C1411" s="8" t="s">
        <v>44</v>
      </c>
      <c r="D1411" s="10">
        <v>45308</v>
      </c>
      <c r="E1411" s="9">
        <v>98555</v>
      </c>
      <c r="F1411" s="2" t="str">
        <f>INDEX(Vendors!E:E,MATCH(Vendor_Analysis!C1411,Vendors!A:A,0))</f>
        <v xml:space="preserve">45 </v>
      </c>
      <c r="G1411" s="2">
        <v>45</v>
      </c>
      <c r="H1411" s="16">
        <f t="shared" ref="H1411:H1474" si="22">D1411+F1411</f>
        <v>45353</v>
      </c>
      <c r="J1411" s="2"/>
    </row>
    <row r="1412" spans="1:10" x14ac:dyDescent="0.25">
      <c r="A1412" s="8" t="s">
        <v>1349</v>
      </c>
      <c r="B1412" s="8" t="s">
        <v>1338</v>
      </c>
      <c r="C1412" s="8" t="s">
        <v>109</v>
      </c>
      <c r="D1412" s="10">
        <v>45329</v>
      </c>
      <c r="E1412" s="9">
        <v>110393</v>
      </c>
      <c r="F1412" s="2" t="str">
        <f>INDEX(Vendors!E:E,MATCH(Vendor_Analysis!C1412,Vendors!A:A,0))</f>
        <v xml:space="preserve">30 </v>
      </c>
      <c r="G1412" s="2">
        <v>30</v>
      </c>
      <c r="H1412" s="16">
        <f t="shared" si="22"/>
        <v>45359</v>
      </c>
      <c r="J1412" s="2"/>
    </row>
    <row r="1413" spans="1:10" x14ac:dyDescent="0.25">
      <c r="A1413" s="8" t="s">
        <v>1350</v>
      </c>
      <c r="B1413" s="8" t="s">
        <v>1338</v>
      </c>
      <c r="C1413" s="8" t="s">
        <v>108</v>
      </c>
      <c r="D1413" s="10">
        <v>45355</v>
      </c>
      <c r="E1413" s="9">
        <v>229646</v>
      </c>
      <c r="F1413" s="2" t="str">
        <f>INDEX(Vendors!E:E,MATCH(Vendor_Analysis!C1413,Vendors!A:A,0))</f>
        <v xml:space="preserve"> 90</v>
      </c>
      <c r="G1413" s="2">
        <v>90</v>
      </c>
      <c r="H1413" s="16">
        <f t="shared" si="22"/>
        <v>45445</v>
      </c>
      <c r="J1413" s="2"/>
    </row>
    <row r="1414" spans="1:10" x14ac:dyDescent="0.25">
      <c r="A1414" s="8" t="s">
        <v>1351</v>
      </c>
      <c r="B1414" s="8" t="s">
        <v>1338</v>
      </c>
      <c r="C1414" s="8" t="s">
        <v>110</v>
      </c>
      <c r="D1414" s="10">
        <v>45361</v>
      </c>
      <c r="E1414" s="9">
        <v>189126</v>
      </c>
      <c r="F1414" s="2" t="str">
        <f>INDEX(Vendors!E:E,MATCH(Vendor_Analysis!C1414,Vendors!A:A,0))</f>
        <v xml:space="preserve">30 </v>
      </c>
      <c r="G1414" s="2">
        <v>30</v>
      </c>
      <c r="H1414" s="16">
        <f t="shared" si="22"/>
        <v>45391</v>
      </c>
      <c r="J1414" s="2"/>
    </row>
    <row r="1415" spans="1:10" x14ac:dyDescent="0.25">
      <c r="A1415" s="8" t="s">
        <v>1352</v>
      </c>
      <c r="B1415" s="8" t="s">
        <v>1338</v>
      </c>
      <c r="C1415" s="8" t="s">
        <v>23</v>
      </c>
      <c r="D1415" s="10">
        <v>45371</v>
      </c>
      <c r="E1415" s="9">
        <v>209912</v>
      </c>
      <c r="F1415" s="2" t="str">
        <f>INDEX(Vendors!E:E,MATCH(Vendor_Analysis!C1415,Vendors!A:A,0))</f>
        <v xml:space="preserve"> 90</v>
      </c>
      <c r="G1415" s="2">
        <v>90</v>
      </c>
      <c r="H1415" s="16">
        <f t="shared" si="22"/>
        <v>45461</v>
      </c>
      <c r="J1415" s="2"/>
    </row>
    <row r="1416" spans="1:10" x14ac:dyDescent="0.25">
      <c r="A1416" s="8" t="s">
        <v>1353</v>
      </c>
      <c r="B1416" s="8" t="s">
        <v>1338</v>
      </c>
      <c r="C1416" s="8" t="s">
        <v>10</v>
      </c>
      <c r="D1416" s="10">
        <v>45390</v>
      </c>
      <c r="E1416" s="9">
        <v>216221</v>
      </c>
      <c r="F1416" s="2" t="str">
        <f>INDEX(Vendors!E:E,MATCH(Vendor_Analysis!C1416,Vendors!A:A,0))</f>
        <v xml:space="preserve">60 </v>
      </c>
      <c r="G1416" s="2">
        <v>60</v>
      </c>
      <c r="H1416" s="16">
        <f t="shared" si="22"/>
        <v>45450</v>
      </c>
      <c r="J1416" s="2"/>
    </row>
    <row r="1417" spans="1:10" x14ac:dyDescent="0.25">
      <c r="A1417" s="8" t="s">
        <v>1354</v>
      </c>
      <c r="B1417" s="8" t="s">
        <v>1338</v>
      </c>
      <c r="C1417" s="8" t="s">
        <v>109</v>
      </c>
      <c r="D1417" s="10">
        <v>45425</v>
      </c>
      <c r="E1417" s="9">
        <v>706913</v>
      </c>
      <c r="F1417" s="2" t="str">
        <f>INDEX(Vendors!E:E,MATCH(Vendor_Analysis!C1417,Vendors!A:A,0))</f>
        <v xml:space="preserve">30 </v>
      </c>
      <c r="G1417" s="2">
        <v>30</v>
      </c>
      <c r="H1417" s="16">
        <f t="shared" si="22"/>
        <v>45455</v>
      </c>
      <c r="J1417" s="2"/>
    </row>
    <row r="1418" spans="1:10" x14ac:dyDescent="0.25">
      <c r="A1418" s="8" t="s">
        <v>1355</v>
      </c>
      <c r="B1418" s="8" t="s">
        <v>1338</v>
      </c>
      <c r="C1418" s="8" t="s">
        <v>50</v>
      </c>
      <c r="D1418" s="10">
        <v>45425</v>
      </c>
      <c r="E1418" s="9">
        <v>223551</v>
      </c>
      <c r="F1418" s="2" t="str">
        <f>INDEX(Vendors!E:E,MATCH(Vendor_Analysis!C1418,Vendors!A:A,0))</f>
        <v xml:space="preserve"> 90</v>
      </c>
      <c r="G1418" s="2">
        <v>90</v>
      </c>
      <c r="H1418" s="16">
        <f t="shared" si="22"/>
        <v>45515</v>
      </c>
      <c r="J1418" s="2"/>
    </row>
    <row r="1419" spans="1:10" x14ac:dyDescent="0.25">
      <c r="A1419" s="8" t="s">
        <v>1356</v>
      </c>
      <c r="B1419" s="8" t="s">
        <v>1338</v>
      </c>
      <c r="C1419" s="8" t="s">
        <v>17</v>
      </c>
      <c r="D1419" s="10">
        <v>45432</v>
      </c>
      <c r="E1419" s="9">
        <v>137402</v>
      </c>
      <c r="F1419" s="2" t="str">
        <f>INDEX(Vendors!E:E,MATCH(Vendor_Analysis!C1419,Vendors!A:A,0))</f>
        <v xml:space="preserve">45 </v>
      </c>
      <c r="G1419" s="2">
        <v>45</v>
      </c>
      <c r="H1419" s="16">
        <f t="shared" si="22"/>
        <v>45477</v>
      </c>
      <c r="J1419" s="2"/>
    </row>
    <row r="1420" spans="1:10" x14ac:dyDescent="0.25">
      <c r="A1420" s="8" t="s">
        <v>1357</v>
      </c>
      <c r="B1420" s="8" t="s">
        <v>1338</v>
      </c>
      <c r="C1420" s="8" t="s">
        <v>37</v>
      </c>
      <c r="D1420" s="10">
        <v>45438</v>
      </c>
      <c r="E1420" s="9">
        <v>148196</v>
      </c>
      <c r="F1420" s="2" t="str">
        <f>INDEX(Vendors!E:E,MATCH(Vendor_Analysis!C1420,Vendors!A:A,0))</f>
        <v xml:space="preserve">30 </v>
      </c>
      <c r="G1420" s="2">
        <v>30</v>
      </c>
      <c r="H1420" s="16">
        <f t="shared" si="22"/>
        <v>45468</v>
      </c>
      <c r="J1420" s="2"/>
    </row>
    <row r="1421" spans="1:10" x14ac:dyDescent="0.25">
      <c r="A1421" s="8" t="s">
        <v>1358</v>
      </c>
      <c r="B1421" s="8" t="s">
        <v>1338</v>
      </c>
      <c r="C1421" s="8" t="s">
        <v>17</v>
      </c>
      <c r="D1421" s="10">
        <v>45461</v>
      </c>
      <c r="E1421" s="9">
        <v>259128</v>
      </c>
      <c r="F1421" s="2" t="str">
        <f>INDEX(Vendors!E:E,MATCH(Vendor_Analysis!C1421,Vendors!A:A,0))</f>
        <v xml:space="preserve">45 </v>
      </c>
      <c r="G1421" s="2">
        <v>45</v>
      </c>
      <c r="H1421" s="16">
        <f t="shared" si="22"/>
        <v>45506</v>
      </c>
      <c r="J1421" s="2"/>
    </row>
    <row r="1422" spans="1:10" x14ac:dyDescent="0.25">
      <c r="A1422" s="8" t="s">
        <v>1359</v>
      </c>
      <c r="B1422" s="8" t="s">
        <v>1338</v>
      </c>
      <c r="C1422" s="8" t="s">
        <v>108</v>
      </c>
      <c r="D1422" s="10">
        <v>45466</v>
      </c>
      <c r="E1422" s="9">
        <v>455533</v>
      </c>
      <c r="F1422" s="2" t="str">
        <f>INDEX(Vendors!E:E,MATCH(Vendor_Analysis!C1422,Vendors!A:A,0))</f>
        <v xml:space="preserve"> 90</v>
      </c>
      <c r="G1422" s="2">
        <v>90</v>
      </c>
      <c r="H1422" s="16">
        <f t="shared" si="22"/>
        <v>45556</v>
      </c>
      <c r="J1422" s="2"/>
    </row>
    <row r="1423" spans="1:10" x14ac:dyDescent="0.25">
      <c r="A1423" s="8" t="s">
        <v>1360</v>
      </c>
      <c r="B1423" s="8" t="s">
        <v>1338</v>
      </c>
      <c r="C1423" s="8" t="s">
        <v>10</v>
      </c>
      <c r="D1423" s="10">
        <v>45482</v>
      </c>
      <c r="E1423" s="9">
        <v>215078</v>
      </c>
      <c r="F1423" s="2" t="str">
        <f>INDEX(Vendors!E:E,MATCH(Vendor_Analysis!C1423,Vendors!A:A,0))</f>
        <v xml:space="preserve">60 </v>
      </c>
      <c r="G1423" s="2">
        <v>60</v>
      </c>
      <c r="H1423" s="16">
        <f t="shared" si="22"/>
        <v>45542</v>
      </c>
      <c r="J1423" s="2"/>
    </row>
    <row r="1424" spans="1:10" x14ac:dyDescent="0.25">
      <c r="A1424" s="8" t="s">
        <v>1361</v>
      </c>
      <c r="B1424" s="8" t="s">
        <v>1338</v>
      </c>
      <c r="C1424" s="8" t="s">
        <v>17</v>
      </c>
      <c r="D1424" s="10">
        <v>45486</v>
      </c>
      <c r="E1424" s="9">
        <v>268653</v>
      </c>
      <c r="F1424" s="2" t="str">
        <f>INDEX(Vendors!E:E,MATCH(Vendor_Analysis!C1424,Vendors!A:A,0))</f>
        <v xml:space="preserve">45 </v>
      </c>
      <c r="G1424" s="2">
        <v>45</v>
      </c>
      <c r="H1424" s="16">
        <f t="shared" si="22"/>
        <v>45531</v>
      </c>
      <c r="J1424" s="2"/>
    </row>
    <row r="1425" spans="1:10" x14ac:dyDescent="0.25">
      <c r="A1425" s="8" t="s">
        <v>1362</v>
      </c>
      <c r="B1425" s="8" t="s">
        <v>1338</v>
      </c>
      <c r="C1425" s="8" t="s">
        <v>35</v>
      </c>
      <c r="D1425" s="10">
        <v>45492</v>
      </c>
      <c r="E1425" s="9">
        <v>121011</v>
      </c>
      <c r="F1425" s="2" t="str">
        <f>INDEX(Vendors!E:E,MATCH(Vendor_Analysis!C1425,Vendors!A:A,0))</f>
        <v xml:space="preserve">60 </v>
      </c>
      <c r="G1425" s="2">
        <v>60</v>
      </c>
      <c r="H1425" s="16">
        <f t="shared" si="22"/>
        <v>45552</v>
      </c>
      <c r="J1425" s="2"/>
    </row>
    <row r="1426" spans="1:10" x14ac:dyDescent="0.25">
      <c r="A1426" s="8" t="s">
        <v>1363</v>
      </c>
      <c r="B1426" s="8" t="s">
        <v>1338</v>
      </c>
      <c r="C1426" s="8" t="s">
        <v>12</v>
      </c>
      <c r="D1426" s="10">
        <v>45498</v>
      </c>
      <c r="E1426" s="9">
        <v>189325</v>
      </c>
      <c r="F1426" s="2" t="str">
        <f>INDEX(Vendors!E:E,MATCH(Vendor_Analysis!C1426,Vendors!A:A,0))</f>
        <v xml:space="preserve">30 </v>
      </c>
      <c r="G1426" s="2">
        <v>30</v>
      </c>
      <c r="H1426" s="16">
        <f t="shared" si="22"/>
        <v>45528</v>
      </c>
      <c r="J1426" s="2"/>
    </row>
    <row r="1427" spans="1:10" x14ac:dyDescent="0.25">
      <c r="A1427" s="8" t="s">
        <v>1364</v>
      </c>
      <c r="B1427" s="8" t="s">
        <v>1338</v>
      </c>
      <c r="C1427" s="8" t="s">
        <v>55</v>
      </c>
      <c r="D1427" s="10">
        <v>45512</v>
      </c>
      <c r="E1427" s="9">
        <v>147629</v>
      </c>
      <c r="F1427" s="2" t="str">
        <f>INDEX(Vendors!E:E,MATCH(Vendor_Analysis!C1427,Vendors!A:A,0))</f>
        <v xml:space="preserve">30 </v>
      </c>
      <c r="G1427" s="2">
        <v>30</v>
      </c>
      <c r="H1427" s="16">
        <f t="shared" si="22"/>
        <v>45542</v>
      </c>
      <c r="J1427" s="2"/>
    </row>
    <row r="1428" spans="1:10" x14ac:dyDescent="0.25">
      <c r="A1428" s="8" t="s">
        <v>1365</v>
      </c>
      <c r="B1428" s="8" t="s">
        <v>1338</v>
      </c>
      <c r="C1428" s="8" t="s">
        <v>27</v>
      </c>
      <c r="D1428" s="10">
        <v>45519</v>
      </c>
      <c r="E1428" s="9">
        <v>170623</v>
      </c>
      <c r="F1428" s="2" t="str">
        <f>INDEX(Vendors!E:E,MATCH(Vendor_Analysis!C1428,Vendors!A:A,0))</f>
        <v xml:space="preserve">45 </v>
      </c>
      <c r="G1428" s="2">
        <v>45</v>
      </c>
      <c r="H1428" s="16">
        <f t="shared" si="22"/>
        <v>45564</v>
      </c>
      <c r="J1428" s="2"/>
    </row>
    <row r="1429" spans="1:10" x14ac:dyDescent="0.25">
      <c r="A1429" s="8" t="s">
        <v>1366</v>
      </c>
      <c r="B1429" s="8" t="s">
        <v>1338</v>
      </c>
      <c r="C1429" s="8" t="s">
        <v>33</v>
      </c>
      <c r="D1429" s="10">
        <v>45530</v>
      </c>
      <c r="E1429" s="9">
        <v>211913</v>
      </c>
      <c r="F1429" s="2" t="str">
        <f>INDEX(Vendors!E:E,MATCH(Vendor_Analysis!C1429,Vendors!A:A,0))</f>
        <v xml:space="preserve">30 </v>
      </c>
      <c r="G1429" s="2">
        <v>30</v>
      </c>
      <c r="H1429" s="16">
        <f t="shared" si="22"/>
        <v>45560</v>
      </c>
      <c r="J1429" s="2"/>
    </row>
    <row r="1430" spans="1:10" x14ac:dyDescent="0.25">
      <c r="A1430" s="8" t="s">
        <v>1367</v>
      </c>
      <c r="B1430" s="8" t="s">
        <v>1338</v>
      </c>
      <c r="C1430" s="8" t="s">
        <v>21</v>
      </c>
      <c r="D1430" s="10">
        <v>45530</v>
      </c>
      <c r="E1430" s="9">
        <v>192294</v>
      </c>
      <c r="F1430" s="2" t="str">
        <f>INDEX(Vendors!E:E,MATCH(Vendor_Analysis!C1430,Vendors!A:A,0))</f>
        <v xml:space="preserve"> 90</v>
      </c>
      <c r="G1430" s="2">
        <v>90</v>
      </c>
      <c r="H1430" s="16">
        <f t="shared" si="22"/>
        <v>45620</v>
      </c>
      <c r="J1430" s="2"/>
    </row>
    <row r="1431" spans="1:10" x14ac:dyDescent="0.25">
      <c r="A1431" s="8" t="s">
        <v>1368</v>
      </c>
      <c r="B1431" s="8" t="s">
        <v>1338</v>
      </c>
      <c r="C1431" s="8" t="s">
        <v>19</v>
      </c>
      <c r="D1431" s="10">
        <v>45540</v>
      </c>
      <c r="E1431" s="9">
        <v>267057</v>
      </c>
      <c r="F1431" s="2" t="str">
        <f>INDEX(Vendors!E:E,MATCH(Vendor_Analysis!C1431,Vendors!A:A,0))</f>
        <v xml:space="preserve">45 </v>
      </c>
      <c r="G1431" s="2">
        <v>45</v>
      </c>
      <c r="H1431" s="16">
        <f t="shared" si="22"/>
        <v>45585</v>
      </c>
      <c r="J1431" s="2"/>
    </row>
    <row r="1432" spans="1:10" x14ac:dyDescent="0.25">
      <c r="A1432" s="8" t="s">
        <v>1369</v>
      </c>
      <c r="B1432" s="8" t="s">
        <v>1338</v>
      </c>
      <c r="C1432" s="8" t="s">
        <v>27</v>
      </c>
      <c r="D1432" s="10">
        <v>45544</v>
      </c>
      <c r="E1432" s="9">
        <v>227034</v>
      </c>
      <c r="F1432" s="2" t="str">
        <f>INDEX(Vendors!E:E,MATCH(Vendor_Analysis!C1432,Vendors!A:A,0))</f>
        <v xml:space="preserve">45 </v>
      </c>
      <c r="G1432" s="2">
        <v>45</v>
      </c>
      <c r="H1432" s="16">
        <f t="shared" si="22"/>
        <v>45589</v>
      </c>
      <c r="J1432" s="2"/>
    </row>
    <row r="1433" spans="1:10" x14ac:dyDescent="0.25">
      <c r="A1433" s="8" t="s">
        <v>1370</v>
      </c>
      <c r="B1433" s="8" t="s">
        <v>1338</v>
      </c>
      <c r="C1433" s="8" t="s">
        <v>35</v>
      </c>
      <c r="D1433" s="10">
        <v>45550</v>
      </c>
      <c r="E1433" s="9">
        <v>259166</v>
      </c>
      <c r="F1433" s="2" t="str">
        <f>INDEX(Vendors!E:E,MATCH(Vendor_Analysis!C1433,Vendors!A:A,0))</f>
        <v xml:space="preserve">60 </v>
      </c>
      <c r="G1433" s="2">
        <v>60</v>
      </c>
      <c r="H1433" s="16">
        <f t="shared" si="22"/>
        <v>45610</v>
      </c>
      <c r="J1433" s="2"/>
    </row>
    <row r="1434" spans="1:10" x14ac:dyDescent="0.25">
      <c r="A1434" s="8" t="s">
        <v>1371</v>
      </c>
      <c r="B1434" s="8" t="s">
        <v>1338</v>
      </c>
      <c r="C1434" s="8" t="s">
        <v>29</v>
      </c>
      <c r="D1434" s="10">
        <v>45561</v>
      </c>
      <c r="E1434" s="9">
        <v>141478</v>
      </c>
      <c r="F1434" s="2" t="str">
        <f>INDEX(Vendors!E:E,MATCH(Vendor_Analysis!C1434,Vendors!A:A,0))</f>
        <v xml:space="preserve">30 </v>
      </c>
      <c r="G1434" s="2">
        <v>30</v>
      </c>
      <c r="H1434" s="16">
        <f t="shared" si="22"/>
        <v>45591</v>
      </c>
      <c r="J1434" s="2"/>
    </row>
    <row r="1435" spans="1:10" x14ac:dyDescent="0.25">
      <c r="A1435" s="8" t="s">
        <v>1372</v>
      </c>
      <c r="B1435" s="8" t="s">
        <v>1338</v>
      </c>
      <c r="C1435" s="8" t="s">
        <v>27</v>
      </c>
      <c r="D1435" s="10">
        <v>45563</v>
      </c>
      <c r="E1435" s="9">
        <v>152263</v>
      </c>
      <c r="F1435" s="2" t="str">
        <f>INDEX(Vendors!E:E,MATCH(Vendor_Analysis!C1435,Vendors!A:A,0))</f>
        <v xml:space="preserve">45 </v>
      </c>
      <c r="G1435" s="2">
        <v>45</v>
      </c>
      <c r="H1435" s="16">
        <f t="shared" si="22"/>
        <v>45608</v>
      </c>
      <c r="J1435" s="2"/>
    </row>
    <row r="1436" spans="1:10" x14ac:dyDescent="0.25">
      <c r="A1436" s="8" t="s">
        <v>1373</v>
      </c>
      <c r="B1436" s="8" t="s">
        <v>1374</v>
      </c>
      <c r="C1436" s="8" t="s">
        <v>110</v>
      </c>
      <c r="D1436" s="10">
        <v>45158</v>
      </c>
      <c r="E1436" s="9">
        <v>90548</v>
      </c>
      <c r="F1436" s="2" t="str">
        <f>INDEX(Vendors!E:E,MATCH(Vendor_Analysis!C1436,Vendors!A:A,0))</f>
        <v xml:space="preserve">30 </v>
      </c>
      <c r="G1436" s="2">
        <v>30</v>
      </c>
      <c r="H1436" s="16">
        <f t="shared" si="22"/>
        <v>45188</v>
      </c>
      <c r="J1436" s="2"/>
    </row>
    <row r="1437" spans="1:10" x14ac:dyDescent="0.25">
      <c r="A1437" s="8" t="s">
        <v>1375</v>
      </c>
      <c r="B1437" s="8" t="s">
        <v>1374</v>
      </c>
      <c r="C1437" s="8" t="s">
        <v>6</v>
      </c>
      <c r="D1437" s="10">
        <v>45168</v>
      </c>
      <c r="E1437" s="9">
        <v>70780</v>
      </c>
      <c r="F1437" s="2" t="str">
        <f>INDEX(Vendors!E:E,MATCH(Vendor_Analysis!C1437,Vendors!A:A,0))</f>
        <v xml:space="preserve">60 </v>
      </c>
      <c r="G1437" s="2">
        <v>60</v>
      </c>
      <c r="H1437" s="16">
        <f t="shared" si="22"/>
        <v>45228</v>
      </c>
      <c r="J1437" s="2"/>
    </row>
    <row r="1438" spans="1:10" x14ac:dyDescent="0.25">
      <c r="A1438" s="8" t="s">
        <v>1376</v>
      </c>
      <c r="B1438" s="8" t="s">
        <v>1374</v>
      </c>
      <c r="C1438" s="8" t="s">
        <v>10</v>
      </c>
      <c r="D1438" s="10">
        <v>45192</v>
      </c>
      <c r="E1438" s="9">
        <v>44009</v>
      </c>
      <c r="F1438" s="2" t="str">
        <f>INDEX(Vendors!E:E,MATCH(Vendor_Analysis!C1438,Vendors!A:A,0))</f>
        <v xml:space="preserve">60 </v>
      </c>
      <c r="G1438" s="2">
        <v>60</v>
      </c>
      <c r="H1438" s="16">
        <f t="shared" si="22"/>
        <v>45252</v>
      </c>
      <c r="J1438" s="2"/>
    </row>
    <row r="1439" spans="1:10" x14ac:dyDescent="0.25">
      <c r="A1439" s="8" t="s">
        <v>1377</v>
      </c>
      <c r="B1439" s="8" t="s">
        <v>1374</v>
      </c>
      <c r="C1439" s="8" t="s">
        <v>50</v>
      </c>
      <c r="D1439" s="10">
        <v>45209</v>
      </c>
      <c r="E1439" s="9">
        <v>73822</v>
      </c>
      <c r="F1439" s="2" t="str">
        <f>INDEX(Vendors!E:E,MATCH(Vendor_Analysis!C1439,Vendors!A:A,0))</f>
        <v xml:space="preserve"> 90</v>
      </c>
      <c r="G1439" s="2">
        <v>90</v>
      </c>
      <c r="H1439" s="16">
        <f t="shared" si="22"/>
        <v>45299</v>
      </c>
      <c r="J1439" s="2"/>
    </row>
    <row r="1440" spans="1:10" x14ac:dyDescent="0.25">
      <c r="A1440" s="8" t="s">
        <v>1378</v>
      </c>
      <c r="B1440" s="8" t="s">
        <v>1374</v>
      </c>
      <c r="C1440" s="8" t="s">
        <v>48</v>
      </c>
      <c r="D1440" s="10">
        <v>45217</v>
      </c>
      <c r="E1440" s="9">
        <v>99866</v>
      </c>
      <c r="F1440" s="2" t="str">
        <f>INDEX(Vendors!E:E,MATCH(Vendor_Analysis!C1440,Vendors!A:A,0))</f>
        <v xml:space="preserve"> 90</v>
      </c>
      <c r="G1440" s="2">
        <v>90</v>
      </c>
      <c r="H1440" s="16">
        <f t="shared" si="22"/>
        <v>45307</v>
      </c>
      <c r="J1440" s="2"/>
    </row>
    <row r="1441" spans="1:10" x14ac:dyDescent="0.25">
      <c r="A1441" s="8" t="s">
        <v>1379</v>
      </c>
      <c r="B1441" s="8" t="s">
        <v>1374</v>
      </c>
      <c r="C1441" s="8" t="s">
        <v>33</v>
      </c>
      <c r="D1441" s="10">
        <v>45235</v>
      </c>
      <c r="E1441" s="9">
        <v>67555</v>
      </c>
      <c r="F1441" s="2" t="str">
        <f>INDEX(Vendors!E:E,MATCH(Vendor_Analysis!C1441,Vendors!A:A,0))</f>
        <v xml:space="preserve">30 </v>
      </c>
      <c r="G1441" s="2">
        <v>30</v>
      </c>
      <c r="H1441" s="16">
        <f t="shared" si="22"/>
        <v>45265</v>
      </c>
      <c r="J1441" s="2"/>
    </row>
    <row r="1442" spans="1:10" x14ac:dyDescent="0.25">
      <c r="A1442" s="8" t="s">
        <v>1380</v>
      </c>
      <c r="B1442" s="8" t="s">
        <v>1374</v>
      </c>
      <c r="C1442" s="8" t="s">
        <v>50</v>
      </c>
      <c r="D1442" s="10">
        <v>45242</v>
      </c>
      <c r="E1442" s="9">
        <v>85556</v>
      </c>
      <c r="F1442" s="2" t="str">
        <f>INDEX(Vendors!E:E,MATCH(Vendor_Analysis!C1442,Vendors!A:A,0))</f>
        <v xml:space="preserve"> 90</v>
      </c>
      <c r="G1442" s="2">
        <v>90</v>
      </c>
      <c r="H1442" s="16">
        <f t="shared" si="22"/>
        <v>45332</v>
      </c>
      <c r="J1442" s="2"/>
    </row>
    <row r="1443" spans="1:10" x14ac:dyDescent="0.25">
      <c r="A1443" s="8" t="s">
        <v>1381</v>
      </c>
      <c r="B1443" s="8" t="s">
        <v>1374</v>
      </c>
      <c r="C1443" s="8" t="s">
        <v>109</v>
      </c>
      <c r="D1443" s="10">
        <v>45251</v>
      </c>
      <c r="E1443" s="9">
        <v>96012</v>
      </c>
      <c r="F1443" s="2" t="str">
        <f>INDEX(Vendors!E:E,MATCH(Vendor_Analysis!C1443,Vendors!A:A,0))</f>
        <v xml:space="preserve">30 </v>
      </c>
      <c r="G1443" s="2">
        <v>30</v>
      </c>
      <c r="H1443" s="16">
        <f t="shared" si="22"/>
        <v>45281</v>
      </c>
      <c r="J1443" s="2"/>
    </row>
    <row r="1444" spans="1:10" x14ac:dyDescent="0.25">
      <c r="A1444" s="8" t="s">
        <v>1382</v>
      </c>
      <c r="B1444" s="8" t="s">
        <v>1374</v>
      </c>
      <c r="C1444" s="8" t="s">
        <v>37</v>
      </c>
      <c r="D1444" s="10">
        <v>45261</v>
      </c>
      <c r="E1444" s="9">
        <v>67886</v>
      </c>
      <c r="F1444" s="2" t="str">
        <f>INDEX(Vendors!E:E,MATCH(Vendor_Analysis!C1444,Vendors!A:A,0))</f>
        <v xml:space="preserve">30 </v>
      </c>
      <c r="G1444" s="2">
        <v>30</v>
      </c>
      <c r="H1444" s="16">
        <f t="shared" si="22"/>
        <v>45291</v>
      </c>
      <c r="J1444" s="2"/>
    </row>
    <row r="1445" spans="1:10" x14ac:dyDescent="0.25">
      <c r="A1445" s="8" t="s">
        <v>1383</v>
      </c>
      <c r="B1445" s="8" t="s">
        <v>1374</v>
      </c>
      <c r="C1445" s="8" t="s">
        <v>44</v>
      </c>
      <c r="D1445" s="10">
        <v>45264</v>
      </c>
      <c r="E1445" s="9">
        <v>96630</v>
      </c>
      <c r="F1445" s="2" t="str">
        <f>INDEX(Vendors!E:E,MATCH(Vendor_Analysis!C1445,Vendors!A:A,0))</f>
        <v xml:space="preserve">45 </v>
      </c>
      <c r="G1445" s="2">
        <v>45</v>
      </c>
      <c r="H1445" s="16">
        <f t="shared" si="22"/>
        <v>45309</v>
      </c>
      <c r="J1445" s="2"/>
    </row>
    <row r="1446" spans="1:10" x14ac:dyDescent="0.25">
      <c r="A1446" s="8" t="s">
        <v>1384</v>
      </c>
      <c r="B1446" s="8" t="s">
        <v>1374</v>
      </c>
      <c r="C1446" s="8" t="s">
        <v>6</v>
      </c>
      <c r="D1446" s="10">
        <v>45278</v>
      </c>
      <c r="E1446" s="9">
        <v>223629</v>
      </c>
      <c r="F1446" s="2" t="str">
        <f>INDEX(Vendors!E:E,MATCH(Vendor_Analysis!C1446,Vendors!A:A,0))</f>
        <v xml:space="preserve">60 </v>
      </c>
      <c r="G1446" s="2">
        <v>60</v>
      </c>
      <c r="H1446" s="16">
        <f t="shared" si="22"/>
        <v>45338</v>
      </c>
      <c r="J1446" s="2"/>
    </row>
    <row r="1447" spans="1:10" x14ac:dyDescent="0.25">
      <c r="A1447" s="8" t="s">
        <v>1385</v>
      </c>
      <c r="B1447" s="8" t="s">
        <v>1374</v>
      </c>
      <c r="C1447" s="8" t="s">
        <v>29</v>
      </c>
      <c r="D1447" s="10">
        <v>45278</v>
      </c>
      <c r="E1447" s="9">
        <v>63418</v>
      </c>
      <c r="F1447" s="2" t="str">
        <f>INDEX(Vendors!E:E,MATCH(Vendor_Analysis!C1447,Vendors!A:A,0))</f>
        <v xml:space="preserve">30 </v>
      </c>
      <c r="G1447" s="2">
        <v>30</v>
      </c>
      <c r="H1447" s="16">
        <f t="shared" si="22"/>
        <v>45308</v>
      </c>
      <c r="J1447" s="2"/>
    </row>
    <row r="1448" spans="1:10" x14ac:dyDescent="0.25">
      <c r="A1448" s="8" t="s">
        <v>1386</v>
      </c>
      <c r="B1448" s="8" t="s">
        <v>1374</v>
      </c>
      <c r="C1448" s="8" t="s">
        <v>44</v>
      </c>
      <c r="D1448" s="10">
        <v>45279</v>
      </c>
      <c r="E1448" s="9">
        <v>84657</v>
      </c>
      <c r="F1448" s="2" t="str">
        <f>INDEX(Vendors!E:E,MATCH(Vendor_Analysis!C1448,Vendors!A:A,0))</f>
        <v xml:space="preserve">45 </v>
      </c>
      <c r="G1448" s="2">
        <v>45</v>
      </c>
      <c r="H1448" s="16">
        <f t="shared" si="22"/>
        <v>45324</v>
      </c>
      <c r="J1448" s="2"/>
    </row>
    <row r="1449" spans="1:10" x14ac:dyDescent="0.25">
      <c r="A1449" s="8" t="s">
        <v>1387</v>
      </c>
      <c r="B1449" s="8" t="s">
        <v>1374</v>
      </c>
      <c r="C1449" s="8" t="s">
        <v>14</v>
      </c>
      <c r="D1449" s="10">
        <v>45301</v>
      </c>
      <c r="E1449" s="9">
        <v>61378</v>
      </c>
      <c r="F1449" s="2" t="str">
        <f>INDEX(Vendors!E:E,MATCH(Vendor_Analysis!C1449,Vendors!A:A,0))</f>
        <v xml:space="preserve"> 90</v>
      </c>
      <c r="G1449" s="2">
        <v>90</v>
      </c>
      <c r="H1449" s="16">
        <f t="shared" si="22"/>
        <v>45391</v>
      </c>
      <c r="J1449" s="2"/>
    </row>
    <row r="1450" spans="1:10" x14ac:dyDescent="0.25">
      <c r="A1450" s="8" t="s">
        <v>1388</v>
      </c>
      <c r="B1450" s="8" t="s">
        <v>1374</v>
      </c>
      <c r="C1450" s="8" t="s">
        <v>33</v>
      </c>
      <c r="D1450" s="10">
        <v>45309</v>
      </c>
      <c r="E1450" s="9">
        <v>121486</v>
      </c>
      <c r="F1450" s="2" t="str">
        <f>INDEX(Vendors!E:E,MATCH(Vendor_Analysis!C1450,Vendors!A:A,0))</f>
        <v xml:space="preserve">30 </v>
      </c>
      <c r="G1450" s="2">
        <v>30</v>
      </c>
      <c r="H1450" s="16">
        <f t="shared" si="22"/>
        <v>45339</v>
      </c>
      <c r="J1450" s="2"/>
    </row>
    <row r="1451" spans="1:10" x14ac:dyDescent="0.25">
      <c r="A1451" s="8" t="s">
        <v>1389</v>
      </c>
      <c r="B1451" s="8" t="s">
        <v>1374</v>
      </c>
      <c r="C1451" s="8" t="s">
        <v>27</v>
      </c>
      <c r="D1451" s="10">
        <v>45356</v>
      </c>
      <c r="E1451" s="9">
        <v>123330</v>
      </c>
      <c r="F1451" s="2" t="str">
        <f>INDEX(Vendors!E:E,MATCH(Vendor_Analysis!C1451,Vendors!A:A,0))</f>
        <v xml:space="preserve">45 </v>
      </c>
      <c r="G1451" s="2">
        <v>45</v>
      </c>
      <c r="H1451" s="16">
        <f t="shared" si="22"/>
        <v>45401</v>
      </c>
      <c r="J1451" s="2"/>
    </row>
    <row r="1452" spans="1:10" x14ac:dyDescent="0.25">
      <c r="A1452" s="8" t="s">
        <v>1390</v>
      </c>
      <c r="B1452" s="8" t="s">
        <v>1374</v>
      </c>
      <c r="C1452" s="8" t="s">
        <v>109</v>
      </c>
      <c r="D1452" s="10">
        <v>45363</v>
      </c>
      <c r="E1452" s="9">
        <v>61861</v>
      </c>
      <c r="F1452" s="2" t="str">
        <f>INDEX(Vendors!E:E,MATCH(Vendor_Analysis!C1452,Vendors!A:A,0))</f>
        <v xml:space="preserve">30 </v>
      </c>
      <c r="G1452" s="2">
        <v>30</v>
      </c>
      <c r="H1452" s="16">
        <f t="shared" si="22"/>
        <v>45393</v>
      </c>
      <c r="J1452" s="2"/>
    </row>
    <row r="1453" spans="1:10" x14ac:dyDescent="0.25">
      <c r="A1453" s="8" t="s">
        <v>1391</v>
      </c>
      <c r="B1453" s="8" t="s">
        <v>1374</v>
      </c>
      <c r="C1453" s="8" t="s">
        <v>29</v>
      </c>
      <c r="D1453" s="10">
        <v>45368</v>
      </c>
      <c r="E1453" s="9">
        <v>115836</v>
      </c>
      <c r="F1453" s="2" t="str">
        <f>INDEX(Vendors!E:E,MATCH(Vendor_Analysis!C1453,Vendors!A:A,0))</f>
        <v xml:space="preserve">30 </v>
      </c>
      <c r="G1453" s="2">
        <v>30</v>
      </c>
      <c r="H1453" s="16">
        <f t="shared" si="22"/>
        <v>45398</v>
      </c>
      <c r="J1453" s="2"/>
    </row>
    <row r="1454" spans="1:10" x14ac:dyDescent="0.25">
      <c r="A1454" s="8" t="s">
        <v>1392</v>
      </c>
      <c r="B1454" s="8" t="s">
        <v>1374</v>
      </c>
      <c r="C1454" s="8" t="s">
        <v>71</v>
      </c>
      <c r="D1454" s="10">
        <v>45389</v>
      </c>
      <c r="E1454" s="9">
        <v>126491</v>
      </c>
      <c r="F1454" s="2" t="str">
        <f>INDEX(Vendors!E:E,MATCH(Vendor_Analysis!C1454,Vendors!A:A,0))</f>
        <v xml:space="preserve">45 </v>
      </c>
      <c r="G1454" s="2">
        <v>45</v>
      </c>
      <c r="H1454" s="16">
        <f t="shared" si="22"/>
        <v>45434</v>
      </c>
      <c r="J1454" s="2"/>
    </row>
    <row r="1455" spans="1:10" x14ac:dyDescent="0.25">
      <c r="A1455" s="8" t="s">
        <v>1393</v>
      </c>
      <c r="B1455" s="8" t="s">
        <v>1374</v>
      </c>
      <c r="C1455" s="8" t="s">
        <v>19</v>
      </c>
      <c r="D1455" s="10">
        <v>45393</v>
      </c>
      <c r="E1455" s="9">
        <v>77965</v>
      </c>
      <c r="F1455" s="2" t="str">
        <f>INDEX(Vendors!E:E,MATCH(Vendor_Analysis!C1455,Vendors!A:A,0))</f>
        <v xml:space="preserve">45 </v>
      </c>
      <c r="G1455" s="2">
        <v>45</v>
      </c>
      <c r="H1455" s="16">
        <f t="shared" si="22"/>
        <v>45438</v>
      </c>
      <c r="J1455" s="2"/>
    </row>
    <row r="1456" spans="1:10" x14ac:dyDescent="0.25">
      <c r="A1456" s="8" t="s">
        <v>1394</v>
      </c>
      <c r="B1456" s="8" t="s">
        <v>1374</v>
      </c>
      <c r="C1456" s="8" t="s">
        <v>23</v>
      </c>
      <c r="D1456" s="10">
        <v>45398</v>
      </c>
      <c r="E1456" s="9">
        <v>88086</v>
      </c>
      <c r="F1456" s="2" t="str">
        <f>INDEX(Vendors!E:E,MATCH(Vendor_Analysis!C1456,Vendors!A:A,0))</f>
        <v xml:space="preserve"> 90</v>
      </c>
      <c r="G1456" s="2">
        <v>90</v>
      </c>
      <c r="H1456" s="16">
        <f t="shared" si="22"/>
        <v>45488</v>
      </c>
      <c r="J1456" s="2"/>
    </row>
    <row r="1457" spans="1:10" x14ac:dyDescent="0.25">
      <c r="A1457" s="8" t="s">
        <v>1395</v>
      </c>
      <c r="B1457" s="8" t="s">
        <v>1374</v>
      </c>
      <c r="C1457" s="8" t="s">
        <v>55</v>
      </c>
      <c r="D1457" s="10">
        <v>45407</v>
      </c>
      <c r="E1457" s="9">
        <v>124123</v>
      </c>
      <c r="F1457" s="2" t="str">
        <f>INDEX(Vendors!E:E,MATCH(Vendor_Analysis!C1457,Vendors!A:A,0))</f>
        <v xml:space="preserve">30 </v>
      </c>
      <c r="G1457" s="2">
        <v>30</v>
      </c>
      <c r="H1457" s="16">
        <f t="shared" si="22"/>
        <v>45437</v>
      </c>
      <c r="J1457" s="2"/>
    </row>
    <row r="1458" spans="1:10" x14ac:dyDescent="0.25">
      <c r="A1458" s="8" t="s">
        <v>1946</v>
      </c>
      <c r="B1458" s="8" t="s">
        <v>1374</v>
      </c>
      <c r="C1458" s="8" t="s">
        <v>27</v>
      </c>
      <c r="D1458" s="10">
        <v>45410</v>
      </c>
      <c r="E1458" s="9">
        <v>89896</v>
      </c>
      <c r="F1458" s="2" t="str">
        <f>INDEX(Vendors!E:E,MATCH(Vendor_Analysis!C1458,Vendors!A:A,0))</f>
        <v xml:space="preserve">45 </v>
      </c>
      <c r="G1458" s="2">
        <v>45</v>
      </c>
      <c r="H1458" s="16">
        <f t="shared" si="22"/>
        <v>45455</v>
      </c>
      <c r="J1458" s="2"/>
    </row>
    <row r="1459" spans="1:10" x14ac:dyDescent="0.25">
      <c r="A1459" s="8" t="s">
        <v>1947</v>
      </c>
      <c r="B1459" s="8" t="s">
        <v>1374</v>
      </c>
      <c r="C1459" s="8" t="s">
        <v>10</v>
      </c>
      <c r="D1459" s="10">
        <v>45434</v>
      </c>
      <c r="E1459" s="9">
        <v>126139</v>
      </c>
      <c r="F1459" s="2" t="str">
        <f>INDEX(Vendors!E:E,MATCH(Vendor_Analysis!C1459,Vendors!A:A,0))</f>
        <v xml:space="preserve">60 </v>
      </c>
      <c r="G1459" s="2">
        <v>60</v>
      </c>
      <c r="H1459" s="16">
        <f t="shared" si="22"/>
        <v>45494</v>
      </c>
      <c r="J1459" s="2"/>
    </row>
    <row r="1460" spans="1:10" x14ac:dyDescent="0.25">
      <c r="A1460" s="8" t="s">
        <v>1948</v>
      </c>
      <c r="B1460" s="8" t="s">
        <v>1374</v>
      </c>
      <c r="C1460" s="8" t="s">
        <v>110</v>
      </c>
      <c r="D1460" s="10">
        <v>45470</v>
      </c>
      <c r="E1460" s="9">
        <v>125673</v>
      </c>
      <c r="F1460" s="2" t="str">
        <f>INDEX(Vendors!E:E,MATCH(Vendor_Analysis!C1460,Vendors!A:A,0))</f>
        <v xml:space="preserve">30 </v>
      </c>
      <c r="G1460" s="2">
        <v>30</v>
      </c>
      <c r="H1460" s="16">
        <f t="shared" si="22"/>
        <v>45500</v>
      </c>
      <c r="J1460" s="2"/>
    </row>
    <row r="1461" spans="1:10" x14ac:dyDescent="0.25">
      <c r="A1461" s="8" t="s">
        <v>1949</v>
      </c>
      <c r="B1461" s="8" t="s">
        <v>1374</v>
      </c>
      <c r="C1461" s="8" t="s">
        <v>25</v>
      </c>
      <c r="D1461" s="10">
        <v>45474</v>
      </c>
      <c r="E1461" s="9">
        <v>90345</v>
      </c>
      <c r="F1461" s="2" t="str">
        <f>INDEX(Vendors!E:E,MATCH(Vendor_Analysis!C1461,Vendors!A:A,0))</f>
        <v xml:space="preserve">30 </v>
      </c>
      <c r="G1461" s="2">
        <v>30</v>
      </c>
      <c r="H1461" s="16">
        <f t="shared" si="22"/>
        <v>45504</v>
      </c>
      <c r="J1461" s="2"/>
    </row>
    <row r="1462" spans="1:10" x14ac:dyDescent="0.25">
      <c r="A1462" s="8" t="s">
        <v>1950</v>
      </c>
      <c r="B1462" s="8" t="s">
        <v>1374</v>
      </c>
      <c r="C1462" s="8" t="s">
        <v>14</v>
      </c>
      <c r="D1462" s="10">
        <v>45478</v>
      </c>
      <c r="E1462" s="9">
        <v>107377</v>
      </c>
      <c r="F1462" s="2" t="str">
        <f>INDEX(Vendors!E:E,MATCH(Vendor_Analysis!C1462,Vendors!A:A,0))</f>
        <v xml:space="preserve"> 90</v>
      </c>
      <c r="G1462" s="2">
        <v>90</v>
      </c>
      <c r="H1462" s="16">
        <f t="shared" si="22"/>
        <v>45568</v>
      </c>
      <c r="J1462" s="2"/>
    </row>
    <row r="1463" spans="1:10" x14ac:dyDescent="0.25">
      <c r="A1463" s="8" t="s">
        <v>1951</v>
      </c>
      <c r="B1463" s="8" t="s">
        <v>1374</v>
      </c>
      <c r="C1463" s="8" t="s">
        <v>71</v>
      </c>
      <c r="D1463" s="10">
        <v>45483</v>
      </c>
      <c r="E1463" s="9">
        <v>65010</v>
      </c>
      <c r="F1463" s="2" t="str">
        <f>INDEX(Vendors!E:E,MATCH(Vendor_Analysis!C1463,Vendors!A:A,0))</f>
        <v xml:space="preserve">45 </v>
      </c>
      <c r="G1463" s="2">
        <v>45</v>
      </c>
      <c r="H1463" s="16">
        <f t="shared" si="22"/>
        <v>45528</v>
      </c>
      <c r="J1463" s="2"/>
    </row>
    <row r="1464" spans="1:10" x14ac:dyDescent="0.25">
      <c r="A1464" s="8" t="s">
        <v>1952</v>
      </c>
      <c r="B1464" s="8" t="s">
        <v>1374</v>
      </c>
      <c r="C1464" s="8" t="s">
        <v>14</v>
      </c>
      <c r="D1464" s="10">
        <v>45490</v>
      </c>
      <c r="E1464" s="9">
        <v>101202</v>
      </c>
      <c r="F1464" s="2" t="str">
        <f>INDEX(Vendors!E:E,MATCH(Vendor_Analysis!C1464,Vendors!A:A,0))</f>
        <v xml:space="preserve"> 90</v>
      </c>
      <c r="G1464" s="2">
        <v>90</v>
      </c>
      <c r="H1464" s="16">
        <f t="shared" si="22"/>
        <v>45580</v>
      </c>
      <c r="J1464" s="2"/>
    </row>
    <row r="1465" spans="1:10" x14ac:dyDescent="0.25">
      <c r="A1465" s="8" t="s">
        <v>1953</v>
      </c>
      <c r="B1465" s="8" t="s">
        <v>1374</v>
      </c>
      <c r="C1465" s="8" t="s">
        <v>55</v>
      </c>
      <c r="D1465" s="10">
        <v>45499</v>
      </c>
      <c r="E1465" s="9">
        <v>121622</v>
      </c>
      <c r="F1465" s="2" t="str">
        <f>INDEX(Vendors!E:E,MATCH(Vendor_Analysis!C1465,Vendors!A:A,0))</f>
        <v xml:space="preserve">30 </v>
      </c>
      <c r="G1465" s="2">
        <v>30</v>
      </c>
      <c r="H1465" s="16">
        <f t="shared" si="22"/>
        <v>45529</v>
      </c>
      <c r="J1465" s="2"/>
    </row>
    <row r="1466" spans="1:10" x14ac:dyDescent="0.25">
      <c r="A1466" s="8" t="s">
        <v>1954</v>
      </c>
      <c r="B1466" s="8" t="s">
        <v>1374</v>
      </c>
      <c r="C1466" s="8" t="s">
        <v>55</v>
      </c>
      <c r="D1466" s="10">
        <v>45533</v>
      </c>
      <c r="E1466" s="9">
        <v>61057</v>
      </c>
      <c r="F1466" s="2" t="str">
        <f>INDEX(Vendors!E:E,MATCH(Vendor_Analysis!C1466,Vendors!A:A,0))</f>
        <v xml:space="preserve">30 </v>
      </c>
      <c r="G1466" s="2">
        <v>30</v>
      </c>
      <c r="H1466" s="16">
        <f t="shared" si="22"/>
        <v>45563</v>
      </c>
      <c r="J1466" s="2"/>
    </row>
    <row r="1467" spans="1:10" x14ac:dyDescent="0.25">
      <c r="A1467" s="8" t="s">
        <v>1955</v>
      </c>
      <c r="B1467" s="8" t="s">
        <v>1374</v>
      </c>
      <c r="C1467" s="8" t="s">
        <v>35</v>
      </c>
      <c r="D1467" s="10">
        <v>45533</v>
      </c>
      <c r="E1467" s="9">
        <v>117684</v>
      </c>
      <c r="F1467" s="2" t="str">
        <f>INDEX(Vendors!E:E,MATCH(Vendor_Analysis!C1467,Vendors!A:A,0))</f>
        <v xml:space="preserve">60 </v>
      </c>
      <c r="G1467" s="2">
        <v>60</v>
      </c>
      <c r="H1467" s="16">
        <f t="shared" si="22"/>
        <v>45593</v>
      </c>
      <c r="J1467" s="2"/>
    </row>
    <row r="1468" spans="1:10" x14ac:dyDescent="0.25">
      <c r="A1468" s="8" t="s">
        <v>1956</v>
      </c>
      <c r="B1468" s="8" t="s">
        <v>1374</v>
      </c>
      <c r="C1468" s="8" t="s">
        <v>29</v>
      </c>
      <c r="D1468" s="10">
        <v>45537</v>
      </c>
      <c r="E1468" s="9">
        <v>71003</v>
      </c>
      <c r="F1468" s="2" t="str">
        <f>INDEX(Vendors!E:E,MATCH(Vendor_Analysis!C1468,Vendors!A:A,0))</f>
        <v xml:space="preserve">30 </v>
      </c>
      <c r="G1468" s="2">
        <v>30</v>
      </c>
      <c r="H1468" s="16">
        <f t="shared" si="22"/>
        <v>45567</v>
      </c>
      <c r="J1468" s="2"/>
    </row>
    <row r="1469" spans="1:10" x14ac:dyDescent="0.25">
      <c r="A1469" s="8" t="s">
        <v>1957</v>
      </c>
      <c r="B1469" s="8" t="s">
        <v>1374</v>
      </c>
      <c r="C1469" s="8" t="s">
        <v>55</v>
      </c>
      <c r="D1469" s="10">
        <v>45558</v>
      </c>
      <c r="E1469" s="9">
        <v>69982</v>
      </c>
      <c r="F1469" s="2" t="str">
        <f>INDEX(Vendors!E:E,MATCH(Vendor_Analysis!C1469,Vendors!A:A,0))</f>
        <v xml:space="preserve">30 </v>
      </c>
      <c r="G1469" s="2">
        <v>30</v>
      </c>
      <c r="H1469" s="16">
        <f t="shared" si="22"/>
        <v>45588</v>
      </c>
      <c r="J1469" s="2"/>
    </row>
    <row r="1470" spans="1:10" x14ac:dyDescent="0.25">
      <c r="A1470" s="8" t="s">
        <v>1958</v>
      </c>
      <c r="B1470" s="8" t="s">
        <v>1374</v>
      </c>
      <c r="C1470" s="8" t="s">
        <v>48</v>
      </c>
      <c r="D1470" s="10">
        <v>45559</v>
      </c>
      <c r="E1470" s="9">
        <v>81811</v>
      </c>
      <c r="F1470" s="2" t="str">
        <f>INDEX(Vendors!E:E,MATCH(Vendor_Analysis!C1470,Vendors!A:A,0))</f>
        <v xml:space="preserve"> 90</v>
      </c>
      <c r="G1470" s="2">
        <v>90</v>
      </c>
      <c r="H1470" s="16">
        <f t="shared" si="22"/>
        <v>45649</v>
      </c>
      <c r="J1470" s="2"/>
    </row>
    <row r="1471" spans="1:10" x14ac:dyDescent="0.25">
      <c r="A1471" s="8" t="s">
        <v>1959</v>
      </c>
      <c r="B1471" s="8" t="s">
        <v>1374</v>
      </c>
      <c r="C1471" s="8" t="s">
        <v>8</v>
      </c>
      <c r="D1471" s="10">
        <v>45566</v>
      </c>
      <c r="E1471" s="9">
        <v>220373</v>
      </c>
      <c r="F1471" s="2" t="str">
        <f>INDEX(Vendors!E:E,MATCH(Vendor_Analysis!C1471,Vendors!A:A,0))</f>
        <v xml:space="preserve">60 </v>
      </c>
      <c r="G1471" s="2">
        <v>60</v>
      </c>
      <c r="H1471" s="16">
        <f t="shared" si="22"/>
        <v>45626</v>
      </c>
      <c r="J1471" s="2"/>
    </row>
    <row r="1472" spans="1:10" x14ac:dyDescent="0.25">
      <c r="A1472" s="8" t="s">
        <v>1960</v>
      </c>
      <c r="B1472" s="8" t="s">
        <v>1374</v>
      </c>
      <c r="C1472" s="8" t="s">
        <v>8</v>
      </c>
      <c r="D1472" s="10">
        <v>45575</v>
      </c>
      <c r="E1472" s="9">
        <v>58694</v>
      </c>
      <c r="F1472" s="2" t="str">
        <f>INDEX(Vendors!E:E,MATCH(Vendor_Analysis!C1472,Vendors!A:A,0))</f>
        <v xml:space="preserve">60 </v>
      </c>
      <c r="G1472" s="2">
        <v>60</v>
      </c>
      <c r="H1472" s="16">
        <f t="shared" si="22"/>
        <v>45635</v>
      </c>
      <c r="J1472" s="2"/>
    </row>
    <row r="1473" spans="1:10" x14ac:dyDescent="0.25">
      <c r="A1473" s="8" t="s">
        <v>1961</v>
      </c>
      <c r="B1473" s="8" t="s">
        <v>1374</v>
      </c>
      <c r="C1473" s="8" t="s">
        <v>14</v>
      </c>
      <c r="D1473" s="10">
        <v>45585</v>
      </c>
      <c r="E1473" s="9">
        <v>54890</v>
      </c>
      <c r="F1473" s="2" t="str">
        <f>INDEX(Vendors!E:E,MATCH(Vendor_Analysis!C1473,Vendors!A:A,0))</f>
        <v xml:space="preserve"> 90</v>
      </c>
      <c r="G1473" s="2">
        <v>90</v>
      </c>
      <c r="H1473" s="16">
        <f t="shared" si="22"/>
        <v>45675</v>
      </c>
      <c r="J1473" s="2"/>
    </row>
    <row r="1474" spans="1:10" x14ac:dyDescent="0.25">
      <c r="A1474" s="8" t="s">
        <v>1962</v>
      </c>
      <c r="B1474" s="8" t="s">
        <v>1374</v>
      </c>
      <c r="C1474" s="8" t="s">
        <v>14</v>
      </c>
      <c r="D1474" s="10">
        <v>45585</v>
      </c>
      <c r="E1474" s="9">
        <v>53138</v>
      </c>
      <c r="F1474" s="2" t="str">
        <f>INDEX(Vendors!E:E,MATCH(Vendor_Analysis!C1474,Vendors!A:A,0))</f>
        <v xml:space="preserve"> 90</v>
      </c>
      <c r="G1474" s="2">
        <v>90</v>
      </c>
      <c r="H1474" s="16">
        <f t="shared" si="22"/>
        <v>45675</v>
      </c>
      <c r="J1474" s="2"/>
    </row>
    <row r="1475" spans="1:10" x14ac:dyDescent="0.25">
      <c r="A1475" s="8" t="s">
        <v>1963</v>
      </c>
      <c r="B1475" s="8" t="s">
        <v>1374</v>
      </c>
      <c r="C1475" s="8" t="s">
        <v>55</v>
      </c>
      <c r="D1475" s="10">
        <v>45630</v>
      </c>
      <c r="E1475" s="9">
        <v>71947</v>
      </c>
      <c r="F1475" s="2" t="str">
        <f>INDEX(Vendors!E:E,MATCH(Vendor_Analysis!C1475,Vendors!A:A,0))</f>
        <v xml:space="preserve">30 </v>
      </c>
      <c r="G1475" s="2">
        <v>30</v>
      </c>
      <c r="H1475" s="16">
        <f t="shared" ref="H1475:H1538" si="23">D1475+F1475</f>
        <v>45660</v>
      </c>
      <c r="J1475" s="2"/>
    </row>
    <row r="1476" spans="1:10" x14ac:dyDescent="0.25">
      <c r="A1476" s="8" t="s">
        <v>1964</v>
      </c>
      <c r="B1476" s="8" t="s">
        <v>1374</v>
      </c>
      <c r="C1476" s="8" t="s">
        <v>110</v>
      </c>
      <c r="D1476" s="10">
        <v>45632</v>
      </c>
      <c r="E1476" s="9">
        <v>101425</v>
      </c>
      <c r="F1476" s="2" t="str">
        <f>INDEX(Vendors!E:E,MATCH(Vendor_Analysis!C1476,Vendors!A:A,0))</f>
        <v xml:space="preserve">30 </v>
      </c>
      <c r="G1476" s="2">
        <v>30</v>
      </c>
      <c r="H1476" s="16">
        <f t="shared" si="23"/>
        <v>45662</v>
      </c>
      <c r="J1476" s="2"/>
    </row>
    <row r="1477" spans="1:10" x14ac:dyDescent="0.25">
      <c r="A1477" s="8" t="s">
        <v>1965</v>
      </c>
      <c r="B1477" s="8" t="s">
        <v>1374</v>
      </c>
      <c r="C1477" s="8" t="s">
        <v>12</v>
      </c>
      <c r="D1477" s="10">
        <v>45633</v>
      </c>
      <c r="E1477" s="9">
        <v>43551</v>
      </c>
      <c r="F1477" s="2" t="str">
        <f>INDEX(Vendors!E:E,MATCH(Vendor_Analysis!C1477,Vendors!A:A,0))</f>
        <v xml:space="preserve">30 </v>
      </c>
      <c r="G1477" s="2">
        <v>30</v>
      </c>
      <c r="H1477" s="16">
        <f t="shared" si="23"/>
        <v>45663</v>
      </c>
      <c r="J1477" s="2"/>
    </row>
    <row r="1478" spans="1:10" x14ac:dyDescent="0.25">
      <c r="A1478" s="8" t="s">
        <v>1966</v>
      </c>
      <c r="B1478" s="8" t="s">
        <v>1374</v>
      </c>
      <c r="C1478" s="8" t="s">
        <v>23</v>
      </c>
      <c r="D1478" s="10">
        <v>45639</v>
      </c>
      <c r="E1478" s="9">
        <v>50823</v>
      </c>
      <c r="F1478" s="2" t="str">
        <f>INDEX(Vendors!E:E,MATCH(Vendor_Analysis!C1478,Vendors!A:A,0))</f>
        <v xml:space="preserve"> 90</v>
      </c>
      <c r="G1478" s="2">
        <v>90</v>
      </c>
      <c r="H1478" s="16">
        <f t="shared" si="23"/>
        <v>45729</v>
      </c>
      <c r="J1478" s="2"/>
    </row>
    <row r="1479" spans="1:10" x14ac:dyDescent="0.25">
      <c r="A1479" s="8" t="s">
        <v>1967</v>
      </c>
      <c r="B1479" s="8" t="s">
        <v>1374</v>
      </c>
      <c r="C1479" s="8" t="s">
        <v>6</v>
      </c>
      <c r="D1479" s="10">
        <v>45661</v>
      </c>
      <c r="E1479" s="9">
        <v>56238</v>
      </c>
      <c r="F1479" s="2" t="str">
        <f>INDEX(Vendors!E:E,MATCH(Vendor_Analysis!C1479,Vendors!A:A,0))</f>
        <v xml:space="preserve">60 </v>
      </c>
      <c r="G1479" s="2">
        <v>60</v>
      </c>
      <c r="H1479" s="16">
        <f t="shared" si="23"/>
        <v>45721</v>
      </c>
      <c r="J1479" s="2"/>
    </row>
    <row r="1480" spans="1:10" x14ac:dyDescent="0.25">
      <c r="A1480" s="8" t="s">
        <v>1968</v>
      </c>
      <c r="B1480" s="8" t="s">
        <v>1374</v>
      </c>
      <c r="C1480" s="8" t="s">
        <v>35</v>
      </c>
      <c r="D1480" s="10">
        <v>45673</v>
      </c>
      <c r="E1480" s="9">
        <v>77334</v>
      </c>
      <c r="F1480" s="2" t="str">
        <f>INDEX(Vendors!E:E,MATCH(Vendor_Analysis!C1480,Vendors!A:A,0))</f>
        <v xml:space="preserve">60 </v>
      </c>
      <c r="G1480" s="2">
        <v>60</v>
      </c>
      <c r="H1480" s="16">
        <f t="shared" si="23"/>
        <v>45733</v>
      </c>
      <c r="J1480" s="2"/>
    </row>
    <row r="1481" spans="1:10" x14ac:dyDescent="0.25">
      <c r="A1481" s="8" t="s">
        <v>1969</v>
      </c>
      <c r="B1481" s="8" t="s">
        <v>1374</v>
      </c>
      <c r="C1481" s="8" t="s">
        <v>71</v>
      </c>
      <c r="D1481" s="10">
        <v>45684</v>
      </c>
      <c r="E1481" s="9">
        <v>106252</v>
      </c>
      <c r="F1481" s="2" t="str">
        <f>INDEX(Vendors!E:E,MATCH(Vendor_Analysis!C1481,Vendors!A:A,0))</f>
        <v xml:space="preserve">45 </v>
      </c>
      <c r="G1481" s="2">
        <v>45</v>
      </c>
      <c r="H1481" s="16">
        <f t="shared" si="23"/>
        <v>45729</v>
      </c>
      <c r="J1481" s="2"/>
    </row>
    <row r="1482" spans="1:10" x14ac:dyDescent="0.25">
      <c r="A1482" s="8" t="s">
        <v>1970</v>
      </c>
      <c r="B1482" s="8" t="s">
        <v>1374</v>
      </c>
      <c r="C1482" s="8" t="s">
        <v>109</v>
      </c>
      <c r="D1482" s="10">
        <v>45688</v>
      </c>
      <c r="E1482" s="9">
        <v>42749</v>
      </c>
      <c r="F1482" s="2" t="str">
        <f>INDEX(Vendors!E:E,MATCH(Vendor_Analysis!C1482,Vendors!A:A,0))</f>
        <v xml:space="preserve">30 </v>
      </c>
      <c r="G1482" s="2">
        <v>30</v>
      </c>
      <c r="H1482" s="16">
        <f t="shared" si="23"/>
        <v>45718</v>
      </c>
      <c r="J1482" s="2"/>
    </row>
    <row r="1483" spans="1:10" x14ac:dyDescent="0.25">
      <c r="A1483" s="8" t="s">
        <v>1971</v>
      </c>
      <c r="B1483" s="8" t="s">
        <v>1374</v>
      </c>
      <c r="C1483" s="8" t="s">
        <v>35</v>
      </c>
      <c r="D1483" s="10">
        <v>45698</v>
      </c>
      <c r="E1483" s="9">
        <v>91574</v>
      </c>
      <c r="F1483" s="2" t="str">
        <f>INDEX(Vendors!E:E,MATCH(Vendor_Analysis!C1483,Vendors!A:A,0))</f>
        <v xml:space="preserve">60 </v>
      </c>
      <c r="G1483" s="2">
        <v>60</v>
      </c>
      <c r="H1483" s="16">
        <f t="shared" si="23"/>
        <v>45758</v>
      </c>
      <c r="J1483" s="2"/>
    </row>
    <row r="1484" spans="1:10" x14ac:dyDescent="0.25">
      <c r="A1484" s="8" t="s">
        <v>1972</v>
      </c>
      <c r="B1484" s="8" t="s">
        <v>1374</v>
      </c>
      <c r="C1484" s="8" t="s">
        <v>21</v>
      </c>
      <c r="D1484" s="10">
        <v>45710</v>
      </c>
      <c r="E1484" s="9">
        <v>92778</v>
      </c>
      <c r="F1484" s="2" t="str">
        <f>INDEX(Vendors!E:E,MATCH(Vendor_Analysis!C1484,Vendors!A:A,0))</f>
        <v xml:space="preserve"> 90</v>
      </c>
      <c r="G1484" s="2">
        <v>90</v>
      </c>
      <c r="H1484" s="16">
        <f t="shared" si="23"/>
        <v>45800</v>
      </c>
      <c r="J1484" s="2"/>
    </row>
    <row r="1485" spans="1:10" x14ac:dyDescent="0.25">
      <c r="A1485" s="8" t="s">
        <v>1973</v>
      </c>
      <c r="B1485" s="8" t="s">
        <v>1374</v>
      </c>
      <c r="C1485" s="8" t="s">
        <v>10</v>
      </c>
      <c r="D1485" s="10">
        <v>45715</v>
      </c>
      <c r="E1485" s="9">
        <v>107608</v>
      </c>
      <c r="F1485" s="2" t="str">
        <f>INDEX(Vendors!E:E,MATCH(Vendor_Analysis!C1485,Vendors!A:A,0))</f>
        <v xml:space="preserve">60 </v>
      </c>
      <c r="G1485" s="2">
        <v>60</v>
      </c>
      <c r="H1485" s="16">
        <f t="shared" si="23"/>
        <v>45775</v>
      </c>
      <c r="J1485" s="2"/>
    </row>
    <row r="1486" spans="1:10" x14ac:dyDescent="0.25">
      <c r="A1486" s="8" t="s">
        <v>1974</v>
      </c>
      <c r="B1486" s="8" t="s">
        <v>1374</v>
      </c>
      <c r="C1486" s="8" t="s">
        <v>33</v>
      </c>
      <c r="D1486" s="10">
        <v>45722</v>
      </c>
      <c r="E1486" s="9">
        <v>86134</v>
      </c>
      <c r="F1486" s="2" t="str">
        <f>INDEX(Vendors!E:E,MATCH(Vendor_Analysis!C1486,Vendors!A:A,0))</f>
        <v xml:space="preserve">30 </v>
      </c>
      <c r="G1486" s="2">
        <v>30</v>
      </c>
      <c r="H1486" s="16">
        <f t="shared" si="23"/>
        <v>45752</v>
      </c>
      <c r="J1486" s="2"/>
    </row>
    <row r="1487" spans="1:10" x14ac:dyDescent="0.25">
      <c r="A1487" s="8" t="s">
        <v>1975</v>
      </c>
      <c r="B1487" s="8" t="s">
        <v>1374</v>
      </c>
      <c r="C1487" s="8" t="s">
        <v>14</v>
      </c>
      <c r="D1487" s="10">
        <v>45733</v>
      </c>
      <c r="E1487" s="9">
        <v>67658</v>
      </c>
      <c r="F1487" s="2" t="str">
        <f>INDEX(Vendors!E:E,MATCH(Vendor_Analysis!C1487,Vendors!A:A,0))</f>
        <v xml:space="preserve"> 90</v>
      </c>
      <c r="G1487" s="2">
        <v>90</v>
      </c>
      <c r="H1487" s="16">
        <f t="shared" si="23"/>
        <v>45823</v>
      </c>
      <c r="J1487" s="2"/>
    </row>
    <row r="1488" spans="1:10" x14ac:dyDescent="0.25">
      <c r="A1488" s="8" t="s">
        <v>1976</v>
      </c>
      <c r="B1488" s="8" t="s">
        <v>1374</v>
      </c>
      <c r="C1488" s="8" t="s">
        <v>35</v>
      </c>
      <c r="D1488" s="10">
        <v>45737</v>
      </c>
      <c r="E1488" s="9">
        <v>65299</v>
      </c>
      <c r="F1488" s="2" t="str">
        <f>INDEX(Vendors!E:E,MATCH(Vendor_Analysis!C1488,Vendors!A:A,0))</f>
        <v xml:space="preserve">60 </v>
      </c>
      <c r="G1488" s="2">
        <v>60</v>
      </c>
      <c r="H1488" s="16">
        <f t="shared" si="23"/>
        <v>45797</v>
      </c>
      <c r="J1488" s="2"/>
    </row>
    <row r="1489" spans="1:10" x14ac:dyDescent="0.25">
      <c r="A1489" s="8" t="s">
        <v>1977</v>
      </c>
      <c r="B1489" s="8" t="s">
        <v>1374</v>
      </c>
      <c r="C1489" s="8" t="s">
        <v>55</v>
      </c>
      <c r="D1489" s="10">
        <v>45754</v>
      </c>
      <c r="E1489" s="9">
        <v>58424</v>
      </c>
      <c r="F1489" s="2" t="str">
        <f>INDEX(Vendors!E:E,MATCH(Vendor_Analysis!C1489,Vendors!A:A,0))</f>
        <v xml:space="preserve">30 </v>
      </c>
      <c r="G1489" s="2">
        <v>30</v>
      </c>
      <c r="H1489" s="16">
        <f t="shared" si="23"/>
        <v>45784</v>
      </c>
      <c r="J1489" s="2"/>
    </row>
    <row r="1490" spans="1:10" x14ac:dyDescent="0.25">
      <c r="A1490" s="8" t="s">
        <v>1978</v>
      </c>
      <c r="B1490" s="8" t="s">
        <v>1374</v>
      </c>
      <c r="C1490" s="8" t="s">
        <v>50</v>
      </c>
      <c r="D1490" s="10">
        <v>45793</v>
      </c>
      <c r="E1490" s="9">
        <v>48588</v>
      </c>
      <c r="F1490" s="2" t="str">
        <f>INDEX(Vendors!E:E,MATCH(Vendor_Analysis!C1490,Vendors!A:A,0))</f>
        <v xml:space="preserve"> 90</v>
      </c>
      <c r="G1490" s="2">
        <v>90</v>
      </c>
      <c r="H1490" s="16">
        <f t="shared" si="23"/>
        <v>45883</v>
      </c>
      <c r="J1490" s="2"/>
    </row>
    <row r="1491" spans="1:10" x14ac:dyDescent="0.25">
      <c r="A1491" s="8" t="s">
        <v>1979</v>
      </c>
      <c r="B1491" s="8" t="s">
        <v>1374</v>
      </c>
      <c r="C1491" s="8" t="s">
        <v>55</v>
      </c>
      <c r="D1491" s="10">
        <v>45829</v>
      </c>
      <c r="E1491" s="9">
        <v>70447</v>
      </c>
      <c r="F1491" s="2" t="str">
        <f>INDEX(Vendors!E:E,MATCH(Vendor_Analysis!C1491,Vendors!A:A,0))</f>
        <v xml:space="preserve">30 </v>
      </c>
      <c r="G1491" s="2">
        <v>30</v>
      </c>
      <c r="H1491" s="16">
        <f t="shared" si="23"/>
        <v>45859</v>
      </c>
      <c r="J1491" s="2"/>
    </row>
    <row r="1492" spans="1:10" x14ac:dyDescent="0.25">
      <c r="A1492" s="8" t="s">
        <v>1980</v>
      </c>
      <c r="B1492" s="8" t="s">
        <v>1374</v>
      </c>
      <c r="C1492" s="8" t="s">
        <v>55</v>
      </c>
      <c r="D1492" s="10">
        <v>45834</v>
      </c>
      <c r="E1492" s="9">
        <v>107475</v>
      </c>
      <c r="F1492" s="2" t="str">
        <f>INDEX(Vendors!E:E,MATCH(Vendor_Analysis!C1492,Vendors!A:A,0))</f>
        <v xml:space="preserve">30 </v>
      </c>
      <c r="G1492" s="2">
        <v>30</v>
      </c>
      <c r="H1492" s="16">
        <f t="shared" si="23"/>
        <v>45864</v>
      </c>
      <c r="J1492" s="2"/>
    </row>
    <row r="1493" spans="1:10" x14ac:dyDescent="0.25">
      <c r="A1493" s="8" t="s">
        <v>1981</v>
      </c>
      <c r="B1493" s="8" t="s">
        <v>1374</v>
      </c>
      <c r="C1493" s="8" t="s">
        <v>91</v>
      </c>
      <c r="D1493" s="10">
        <v>45846</v>
      </c>
      <c r="E1493" s="9">
        <v>276830</v>
      </c>
      <c r="F1493" s="2" t="str">
        <f>INDEX(Vendors!E:E,MATCH(Vendor_Analysis!C1493,Vendors!A:A,0))</f>
        <v xml:space="preserve">60 </v>
      </c>
      <c r="G1493" s="2">
        <v>60</v>
      </c>
      <c r="H1493" s="16">
        <f t="shared" si="23"/>
        <v>45906</v>
      </c>
      <c r="J1493" s="2"/>
    </row>
    <row r="1494" spans="1:10" x14ac:dyDescent="0.25">
      <c r="A1494" s="8" t="s">
        <v>1982</v>
      </c>
      <c r="B1494" s="8" t="s">
        <v>1374</v>
      </c>
      <c r="C1494" s="8" t="s">
        <v>110</v>
      </c>
      <c r="D1494" s="10">
        <v>45866</v>
      </c>
      <c r="E1494" s="9">
        <v>37629</v>
      </c>
      <c r="F1494" s="2" t="str">
        <f>INDEX(Vendors!E:E,MATCH(Vendor_Analysis!C1494,Vendors!A:A,0))</f>
        <v xml:space="preserve">30 </v>
      </c>
      <c r="G1494" s="2">
        <v>30</v>
      </c>
      <c r="H1494" s="16">
        <f t="shared" si="23"/>
        <v>45896</v>
      </c>
      <c r="J1494" s="2"/>
    </row>
    <row r="1495" spans="1:10" x14ac:dyDescent="0.25">
      <c r="A1495" s="8" t="s">
        <v>1983</v>
      </c>
      <c r="B1495" s="8" t="s">
        <v>1374</v>
      </c>
      <c r="C1495" s="8" t="s">
        <v>21</v>
      </c>
      <c r="D1495" s="10">
        <v>45887</v>
      </c>
      <c r="E1495" s="9">
        <v>99242</v>
      </c>
      <c r="F1495" s="2" t="str">
        <f>INDEX(Vendors!E:E,MATCH(Vendor_Analysis!C1495,Vendors!A:A,0))</f>
        <v xml:space="preserve"> 90</v>
      </c>
      <c r="G1495" s="2">
        <v>90</v>
      </c>
      <c r="H1495" s="16">
        <f t="shared" si="23"/>
        <v>45977</v>
      </c>
      <c r="J1495" s="2"/>
    </row>
    <row r="1496" spans="1:10" x14ac:dyDescent="0.25">
      <c r="A1496" s="8" t="s">
        <v>1396</v>
      </c>
      <c r="B1496" s="8" t="s">
        <v>1397</v>
      </c>
      <c r="C1496" s="8" t="s">
        <v>109</v>
      </c>
      <c r="D1496" s="10">
        <v>45221</v>
      </c>
      <c r="E1496" s="9">
        <v>176695</v>
      </c>
      <c r="F1496" s="2" t="str">
        <f>INDEX(Vendors!E:E,MATCH(Vendor_Analysis!C1496,Vendors!A:A,0))</f>
        <v xml:space="preserve">30 </v>
      </c>
      <c r="G1496" s="2">
        <v>30</v>
      </c>
      <c r="H1496" s="16">
        <f t="shared" si="23"/>
        <v>45251</v>
      </c>
      <c r="J1496" s="2"/>
    </row>
    <row r="1497" spans="1:10" x14ac:dyDescent="0.25">
      <c r="A1497" s="8" t="s">
        <v>1398</v>
      </c>
      <c r="B1497" s="8" t="s">
        <v>1397</v>
      </c>
      <c r="C1497" s="8" t="s">
        <v>6</v>
      </c>
      <c r="D1497" s="10">
        <v>45223</v>
      </c>
      <c r="E1497" s="9">
        <v>84854</v>
      </c>
      <c r="F1497" s="2" t="str">
        <f>INDEX(Vendors!E:E,MATCH(Vendor_Analysis!C1497,Vendors!A:A,0))</f>
        <v xml:space="preserve">60 </v>
      </c>
      <c r="G1497" s="2">
        <v>60</v>
      </c>
      <c r="H1497" s="16">
        <f t="shared" si="23"/>
        <v>45283</v>
      </c>
      <c r="J1497" s="2"/>
    </row>
    <row r="1498" spans="1:10" x14ac:dyDescent="0.25">
      <c r="A1498" s="8" t="s">
        <v>1399</v>
      </c>
      <c r="B1498" s="8" t="s">
        <v>1397</v>
      </c>
      <c r="C1498" s="8" t="s">
        <v>110</v>
      </c>
      <c r="D1498" s="10">
        <v>45226</v>
      </c>
      <c r="E1498" s="9">
        <v>191524</v>
      </c>
      <c r="F1498" s="2" t="str">
        <f>INDEX(Vendors!E:E,MATCH(Vendor_Analysis!C1498,Vendors!A:A,0))</f>
        <v xml:space="preserve">30 </v>
      </c>
      <c r="G1498" s="2">
        <v>30</v>
      </c>
      <c r="H1498" s="16">
        <f t="shared" si="23"/>
        <v>45256</v>
      </c>
      <c r="J1498" s="2"/>
    </row>
    <row r="1499" spans="1:10" x14ac:dyDescent="0.25">
      <c r="A1499" s="8" t="s">
        <v>1400</v>
      </c>
      <c r="B1499" s="8" t="s">
        <v>1397</v>
      </c>
      <c r="C1499" s="8" t="s">
        <v>108</v>
      </c>
      <c r="D1499" s="10">
        <v>45237</v>
      </c>
      <c r="E1499" s="9">
        <v>193146</v>
      </c>
      <c r="F1499" s="2" t="str">
        <f>INDEX(Vendors!E:E,MATCH(Vendor_Analysis!C1499,Vendors!A:A,0))</f>
        <v xml:space="preserve"> 90</v>
      </c>
      <c r="G1499" s="2">
        <v>90</v>
      </c>
      <c r="H1499" s="16">
        <f t="shared" si="23"/>
        <v>45327</v>
      </c>
      <c r="J1499" s="2"/>
    </row>
    <row r="1500" spans="1:10" x14ac:dyDescent="0.25">
      <c r="A1500" s="8" t="s">
        <v>1401</v>
      </c>
      <c r="B1500" s="8" t="s">
        <v>1397</v>
      </c>
      <c r="C1500" s="8" t="s">
        <v>91</v>
      </c>
      <c r="D1500" s="10">
        <v>45246</v>
      </c>
      <c r="E1500" s="9">
        <v>111328</v>
      </c>
      <c r="F1500" s="2" t="str">
        <f>INDEX(Vendors!E:E,MATCH(Vendor_Analysis!C1500,Vendors!A:A,0))</f>
        <v xml:space="preserve">60 </v>
      </c>
      <c r="G1500" s="2">
        <v>60</v>
      </c>
      <c r="H1500" s="16">
        <f t="shared" si="23"/>
        <v>45306</v>
      </c>
      <c r="J1500" s="2"/>
    </row>
    <row r="1501" spans="1:10" x14ac:dyDescent="0.25">
      <c r="A1501" s="8" t="s">
        <v>1402</v>
      </c>
      <c r="B1501" s="8" t="s">
        <v>1397</v>
      </c>
      <c r="C1501" s="8" t="s">
        <v>108</v>
      </c>
      <c r="D1501" s="10">
        <v>45255</v>
      </c>
      <c r="E1501" s="9">
        <v>121763</v>
      </c>
      <c r="F1501" s="2" t="str">
        <f>INDEX(Vendors!E:E,MATCH(Vendor_Analysis!C1501,Vendors!A:A,0))</f>
        <v xml:space="preserve"> 90</v>
      </c>
      <c r="G1501" s="2">
        <v>90</v>
      </c>
      <c r="H1501" s="16">
        <f t="shared" si="23"/>
        <v>45345</v>
      </c>
      <c r="J1501" s="2"/>
    </row>
    <row r="1502" spans="1:10" x14ac:dyDescent="0.25">
      <c r="A1502" s="8" t="s">
        <v>1403</v>
      </c>
      <c r="B1502" s="8" t="s">
        <v>1397</v>
      </c>
      <c r="C1502" s="8" t="s">
        <v>91</v>
      </c>
      <c r="D1502" s="10">
        <v>45267</v>
      </c>
      <c r="E1502" s="9">
        <v>209803</v>
      </c>
      <c r="F1502" s="2" t="str">
        <f>INDEX(Vendors!E:E,MATCH(Vendor_Analysis!C1502,Vendors!A:A,0))</f>
        <v xml:space="preserve">60 </v>
      </c>
      <c r="G1502" s="2">
        <v>60</v>
      </c>
      <c r="H1502" s="16">
        <f t="shared" si="23"/>
        <v>45327</v>
      </c>
      <c r="J1502" s="2"/>
    </row>
    <row r="1503" spans="1:10" x14ac:dyDescent="0.25">
      <c r="A1503" s="8" t="s">
        <v>1404</v>
      </c>
      <c r="B1503" s="8" t="s">
        <v>1397</v>
      </c>
      <c r="C1503" s="8" t="s">
        <v>25</v>
      </c>
      <c r="D1503" s="10">
        <v>45274</v>
      </c>
      <c r="E1503" s="9">
        <v>115247</v>
      </c>
      <c r="F1503" s="2" t="str">
        <f>INDEX(Vendors!E:E,MATCH(Vendor_Analysis!C1503,Vendors!A:A,0))</f>
        <v xml:space="preserve">30 </v>
      </c>
      <c r="G1503" s="2">
        <v>30</v>
      </c>
      <c r="H1503" s="16">
        <f t="shared" si="23"/>
        <v>45304</v>
      </c>
      <c r="J1503" s="2"/>
    </row>
    <row r="1504" spans="1:10" x14ac:dyDescent="0.25">
      <c r="A1504" s="8" t="s">
        <v>1405</v>
      </c>
      <c r="B1504" s="8" t="s">
        <v>1397</v>
      </c>
      <c r="C1504" s="8" t="s">
        <v>12</v>
      </c>
      <c r="D1504" s="10">
        <v>45277</v>
      </c>
      <c r="E1504" s="9">
        <v>192186</v>
      </c>
      <c r="F1504" s="2" t="str">
        <f>INDEX(Vendors!E:E,MATCH(Vendor_Analysis!C1504,Vendors!A:A,0))</f>
        <v xml:space="preserve">30 </v>
      </c>
      <c r="G1504" s="2">
        <v>30</v>
      </c>
      <c r="H1504" s="16">
        <f t="shared" si="23"/>
        <v>45307</v>
      </c>
      <c r="J1504" s="2"/>
    </row>
    <row r="1505" spans="1:10" x14ac:dyDescent="0.25">
      <c r="A1505" s="8" t="s">
        <v>1406</v>
      </c>
      <c r="B1505" s="8" t="s">
        <v>1397</v>
      </c>
      <c r="C1505" s="8" t="s">
        <v>10</v>
      </c>
      <c r="D1505" s="10">
        <v>45294</v>
      </c>
      <c r="E1505" s="9">
        <v>181691</v>
      </c>
      <c r="F1505" s="2" t="str">
        <f>INDEX(Vendors!E:E,MATCH(Vendor_Analysis!C1505,Vendors!A:A,0))</f>
        <v xml:space="preserve">60 </v>
      </c>
      <c r="G1505" s="2">
        <v>60</v>
      </c>
      <c r="H1505" s="16">
        <f t="shared" si="23"/>
        <v>45354</v>
      </c>
      <c r="J1505" s="2"/>
    </row>
    <row r="1506" spans="1:10" x14ac:dyDescent="0.25">
      <c r="A1506" s="8" t="s">
        <v>1407</v>
      </c>
      <c r="B1506" s="8" t="s">
        <v>1397</v>
      </c>
      <c r="C1506" s="8" t="s">
        <v>17</v>
      </c>
      <c r="D1506" s="10">
        <v>45302</v>
      </c>
      <c r="E1506" s="9">
        <v>107354</v>
      </c>
      <c r="F1506" s="2" t="str">
        <f>INDEX(Vendors!E:E,MATCH(Vendor_Analysis!C1506,Vendors!A:A,0))</f>
        <v xml:space="preserve">45 </v>
      </c>
      <c r="G1506" s="2">
        <v>45</v>
      </c>
      <c r="H1506" s="16">
        <f t="shared" si="23"/>
        <v>45347</v>
      </c>
      <c r="J1506" s="2"/>
    </row>
    <row r="1507" spans="1:10" x14ac:dyDescent="0.25">
      <c r="A1507" s="8" t="s">
        <v>1408</v>
      </c>
      <c r="B1507" s="8" t="s">
        <v>1397</v>
      </c>
      <c r="C1507" s="8" t="s">
        <v>21</v>
      </c>
      <c r="D1507" s="10">
        <v>45313</v>
      </c>
      <c r="E1507" s="9">
        <v>181344</v>
      </c>
      <c r="F1507" s="2" t="str">
        <f>INDEX(Vendors!E:E,MATCH(Vendor_Analysis!C1507,Vendors!A:A,0))</f>
        <v xml:space="preserve"> 90</v>
      </c>
      <c r="G1507" s="2">
        <v>90</v>
      </c>
      <c r="H1507" s="16">
        <f t="shared" si="23"/>
        <v>45403</v>
      </c>
      <c r="J1507" s="2"/>
    </row>
    <row r="1508" spans="1:10" x14ac:dyDescent="0.25">
      <c r="A1508" s="8" t="s">
        <v>1409</v>
      </c>
      <c r="B1508" s="8" t="s">
        <v>1397</v>
      </c>
      <c r="C1508" s="8" t="s">
        <v>48</v>
      </c>
      <c r="D1508" s="10">
        <v>45314</v>
      </c>
      <c r="E1508" s="9">
        <v>153391</v>
      </c>
      <c r="F1508" s="2" t="str">
        <f>INDEX(Vendors!E:E,MATCH(Vendor_Analysis!C1508,Vendors!A:A,0))</f>
        <v xml:space="preserve"> 90</v>
      </c>
      <c r="G1508" s="2">
        <v>90</v>
      </c>
      <c r="H1508" s="16">
        <f t="shared" si="23"/>
        <v>45404</v>
      </c>
      <c r="J1508" s="2"/>
    </row>
    <row r="1509" spans="1:10" x14ac:dyDescent="0.25">
      <c r="A1509" s="8" t="s">
        <v>1410</v>
      </c>
      <c r="B1509" s="8" t="s">
        <v>1397</v>
      </c>
      <c r="C1509" s="8" t="s">
        <v>37</v>
      </c>
      <c r="D1509" s="10">
        <v>45353</v>
      </c>
      <c r="E1509" s="9">
        <v>181460</v>
      </c>
      <c r="F1509" s="2" t="str">
        <f>INDEX(Vendors!E:E,MATCH(Vendor_Analysis!C1509,Vendors!A:A,0))</f>
        <v xml:space="preserve">30 </v>
      </c>
      <c r="G1509" s="2">
        <v>30</v>
      </c>
      <c r="H1509" s="16">
        <f t="shared" si="23"/>
        <v>45383</v>
      </c>
      <c r="J1509" s="2"/>
    </row>
    <row r="1510" spans="1:10" x14ac:dyDescent="0.25">
      <c r="A1510" s="8" t="s">
        <v>1411</v>
      </c>
      <c r="B1510" s="8" t="s">
        <v>1397</v>
      </c>
      <c r="C1510" s="8" t="s">
        <v>33</v>
      </c>
      <c r="D1510" s="10">
        <v>45386</v>
      </c>
      <c r="E1510" s="9">
        <v>193480</v>
      </c>
      <c r="F1510" s="2" t="str">
        <f>INDEX(Vendors!E:E,MATCH(Vendor_Analysis!C1510,Vendors!A:A,0))</f>
        <v xml:space="preserve">30 </v>
      </c>
      <c r="G1510" s="2">
        <v>30</v>
      </c>
      <c r="H1510" s="16">
        <f t="shared" si="23"/>
        <v>45416</v>
      </c>
      <c r="J1510" s="2"/>
    </row>
    <row r="1511" spans="1:10" x14ac:dyDescent="0.25">
      <c r="A1511" s="8" t="s">
        <v>1412</v>
      </c>
      <c r="B1511" s="8" t="s">
        <v>1397</v>
      </c>
      <c r="C1511" s="8" t="s">
        <v>12</v>
      </c>
      <c r="D1511" s="10">
        <v>45391</v>
      </c>
      <c r="E1511" s="9">
        <v>209697</v>
      </c>
      <c r="F1511" s="2" t="str">
        <f>INDEX(Vendors!E:E,MATCH(Vendor_Analysis!C1511,Vendors!A:A,0))</f>
        <v xml:space="preserve">30 </v>
      </c>
      <c r="G1511" s="2">
        <v>30</v>
      </c>
      <c r="H1511" s="16">
        <f t="shared" si="23"/>
        <v>45421</v>
      </c>
      <c r="J1511" s="2"/>
    </row>
    <row r="1512" spans="1:10" x14ac:dyDescent="0.25">
      <c r="A1512" s="8" t="s">
        <v>1413</v>
      </c>
      <c r="B1512" s="8" t="s">
        <v>1397</v>
      </c>
      <c r="C1512" s="8" t="s">
        <v>10</v>
      </c>
      <c r="D1512" s="10">
        <v>45393</v>
      </c>
      <c r="E1512" s="9">
        <v>206177</v>
      </c>
      <c r="F1512" s="2" t="str">
        <f>INDEX(Vendors!E:E,MATCH(Vendor_Analysis!C1512,Vendors!A:A,0))</f>
        <v xml:space="preserve">60 </v>
      </c>
      <c r="G1512" s="2">
        <v>60</v>
      </c>
      <c r="H1512" s="16">
        <f t="shared" si="23"/>
        <v>45453</v>
      </c>
      <c r="J1512" s="2"/>
    </row>
    <row r="1513" spans="1:10" x14ac:dyDescent="0.25">
      <c r="A1513" s="8" t="s">
        <v>1414</v>
      </c>
      <c r="B1513" s="8" t="s">
        <v>1415</v>
      </c>
      <c r="C1513" s="8" t="s">
        <v>8</v>
      </c>
      <c r="D1513" s="10">
        <v>45187</v>
      </c>
      <c r="E1513" s="9">
        <v>130643</v>
      </c>
      <c r="F1513" s="2" t="str">
        <f>INDEX(Vendors!E:E,MATCH(Vendor_Analysis!C1513,Vendors!A:A,0))</f>
        <v xml:space="preserve">60 </v>
      </c>
      <c r="G1513" s="2">
        <v>60</v>
      </c>
      <c r="H1513" s="16">
        <f t="shared" si="23"/>
        <v>45247</v>
      </c>
      <c r="J1513" s="2"/>
    </row>
    <row r="1514" spans="1:10" x14ac:dyDescent="0.25">
      <c r="A1514" s="8" t="s">
        <v>1416</v>
      </c>
      <c r="B1514" s="8" t="s">
        <v>1415</v>
      </c>
      <c r="C1514" s="8" t="s">
        <v>27</v>
      </c>
      <c r="D1514" s="10">
        <v>45190</v>
      </c>
      <c r="E1514" s="9">
        <v>192507</v>
      </c>
      <c r="F1514" s="2" t="str">
        <f>INDEX(Vendors!E:E,MATCH(Vendor_Analysis!C1514,Vendors!A:A,0))</f>
        <v xml:space="preserve">45 </v>
      </c>
      <c r="G1514" s="2">
        <v>45</v>
      </c>
      <c r="H1514" s="16">
        <f t="shared" si="23"/>
        <v>45235</v>
      </c>
      <c r="J1514" s="2"/>
    </row>
    <row r="1515" spans="1:10" x14ac:dyDescent="0.25">
      <c r="A1515" s="8" t="s">
        <v>1417</v>
      </c>
      <c r="B1515" s="8" t="s">
        <v>1415</v>
      </c>
      <c r="C1515" s="8" t="s">
        <v>44</v>
      </c>
      <c r="D1515" s="10">
        <v>45192</v>
      </c>
      <c r="E1515" s="9">
        <v>80639</v>
      </c>
      <c r="F1515" s="2" t="str">
        <f>INDEX(Vendors!E:E,MATCH(Vendor_Analysis!C1515,Vendors!A:A,0))</f>
        <v xml:space="preserve">45 </v>
      </c>
      <c r="G1515" s="2">
        <v>45</v>
      </c>
      <c r="H1515" s="16">
        <f t="shared" si="23"/>
        <v>45237</v>
      </c>
      <c r="J1515" s="2"/>
    </row>
    <row r="1516" spans="1:10" x14ac:dyDescent="0.25">
      <c r="A1516" s="8" t="s">
        <v>1418</v>
      </c>
      <c r="B1516" s="8" t="s">
        <v>1415</v>
      </c>
      <c r="C1516" s="8" t="s">
        <v>29</v>
      </c>
      <c r="D1516" s="10">
        <v>45203</v>
      </c>
      <c r="E1516" s="9">
        <v>124074</v>
      </c>
      <c r="F1516" s="2" t="str">
        <f>INDEX(Vendors!E:E,MATCH(Vendor_Analysis!C1516,Vendors!A:A,0))</f>
        <v xml:space="preserve">30 </v>
      </c>
      <c r="G1516" s="2">
        <v>30</v>
      </c>
      <c r="H1516" s="16">
        <f t="shared" si="23"/>
        <v>45233</v>
      </c>
      <c r="J1516" s="2"/>
    </row>
    <row r="1517" spans="1:10" x14ac:dyDescent="0.25">
      <c r="A1517" s="8" t="s">
        <v>1419</v>
      </c>
      <c r="B1517" s="8" t="s">
        <v>1415</v>
      </c>
      <c r="C1517" s="8" t="s">
        <v>73</v>
      </c>
      <c r="D1517" s="10">
        <v>45209</v>
      </c>
      <c r="E1517" s="9">
        <v>174190</v>
      </c>
      <c r="F1517" s="2" t="str">
        <f>INDEX(Vendors!E:E,MATCH(Vendor_Analysis!C1517,Vendors!A:A,0))</f>
        <v xml:space="preserve">60 </v>
      </c>
      <c r="G1517" s="2">
        <v>60</v>
      </c>
      <c r="H1517" s="16">
        <f t="shared" si="23"/>
        <v>45269</v>
      </c>
      <c r="J1517" s="2"/>
    </row>
    <row r="1518" spans="1:10" x14ac:dyDescent="0.25">
      <c r="A1518" s="8" t="s">
        <v>1420</v>
      </c>
      <c r="B1518" s="8" t="s">
        <v>1415</v>
      </c>
      <c r="C1518" s="8" t="s">
        <v>17</v>
      </c>
      <c r="D1518" s="10">
        <v>45214</v>
      </c>
      <c r="E1518" s="9">
        <v>80608</v>
      </c>
      <c r="F1518" s="2" t="str">
        <f>INDEX(Vendors!E:E,MATCH(Vendor_Analysis!C1518,Vendors!A:A,0))</f>
        <v xml:space="preserve">45 </v>
      </c>
      <c r="G1518" s="2">
        <v>45</v>
      </c>
      <c r="H1518" s="16">
        <f t="shared" si="23"/>
        <v>45259</v>
      </c>
      <c r="J1518" s="2"/>
    </row>
    <row r="1519" spans="1:10" x14ac:dyDescent="0.25">
      <c r="A1519" s="8" t="s">
        <v>1421</v>
      </c>
      <c r="B1519" s="8" t="s">
        <v>1415</v>
      </c>
      <c r="C1519" s="8" t="s">
        <v>108</v>
      </c>
      <c r="D1519" s="10">
        <v>45215</v>
      </c>
      <c r="E1519" s="9">
        <v>84940</v>
      </c>
      <c r="F1519" s="2" t="str">
        <f>INDEX(Vendors!E:E,MATCH(Vendor_Analysis!C1519,Vendors!A:A,0))</f>
        <v xml:space="preserve"> 90</v>
      </c>
      <c r="G1519" s="2">
        <v>90</v>
      </c>
      <c r="H1519" s="16">
        <f t="shared" si="23"/>
        <v>45305</v>
      </c>
      <c r="J1519" s="2"/>
    </row>
    <row r="1520" spans="1:10" x14ac:dyDescent="0.25">
      <c r="A1520" s="8" t="s">
        <v>1422</v>
      </c>
      <c r="B1520" s="8" t="s">
        <v>1415</v>
      </c>
      <c r="C1520" s="8" t="s">
        <v>25</v>
      </c>
      <c r="D1520" s="10">
        <v>45237</v>
      </c>
      <c r="E1520" s="9">
        <v>81978</v>
      </c>
      <c r="F1520" s="2" t="str">
        <f>INDEX(Vendors!E:E,MATCH(Vendor_Analysis!C1520,Vendors!A:A,0))</f>
        <v xml:space="preserve">30 </v>
      </c>
      <c r="G1520" s="2">
        <v>30</v>
      </c>
      <c r="H1520" s="16">
        <f t="shared" si="23"/>
        <v>45267</v>
      </c>
      <c r="J1520" s="2"/>
    </row>
    <row r="1521" spans="1:10" x14ac:dyDescent="0.25">
      <c r="A1521" s="8" t="s">
        <v>1423</v>
      </c>
      <c r="B1521" s="8" t="s">
        <v>1415</v>
      </c>
      <c r="C1521" s="8" t="s">
        <v>17</v>
      </c>
      <c r="D1521" s="10">
        <v>45242</v>
      </c>
      <c r="E1521" s="9">
        <v>190882</v>
      </c>
      <c r="F1521" s="2" t="str">
        <f>INDEX(Vendors!E:E,MATCH(Vendor_Analysis!C1521,Vendors!A:A,0))</f>
        <v xml:space="preserve">45 </v>
      </c>
      <c r="G1521" s="2">
        <v>45</v>
      </c>
      <c r="H1521" s="16">
        <f t="shared" si="23"/>
        <v>45287</v>
      </c>
      <c r="J1521" s="2"/>
    </row>
    <row r="1522" spans="1:10" x14ac:dyDescent="0.25">
      <c r="A1522" s="8" t="s">
        <v>1424</v>
      </c>
      <c r="B1522" s="8" t="s">
        <v>1415</v>
      </c>
      <c r="C1522" s="8" t="s">
        <v>50</v>
      </c>
      <c r="D1522" s="10">
        <v>45255</v>
      </c>
      <c r="E1522" s="9">
        <v>96934</v>
      </c>
      <c r="F1522" s="2" t="str">
        <f>INDEX(Vendors!E:E,MATCH(Vendor_Analysis!C1522,Vendors!A:A,0))</f>
        <v xml:space="preserve"> 90</v>
      </c>
      <c r="G1522" s="2">
        <v>90</v>
      </c>
      <c r="H1522" s="16">
        <f t="shared" si="23"/>
        <v>45345</v>
      </c>
      <c r="J1522" s="2"/>
    </row>
    <row r="1523" spans="1:10" x14ac:dyDescent="0.25">
      <c r="A1523" s="8" t="s">
        <v>1425</v>
      </c>
      <c r="B1523" s="8" t="s">
        <v>1415</v>
      </c>
      <c r="C1523" s="8" t="s">
        <v>8</v>
      </c>
      <c r="D1523" s="10">
        <v>45268</v>
      </c>
      <c r="E1523" s="9">
        <v>195457</v>
      </c>
      <c r="F1523" s="2" t="str">
        <f>INDEX(Vendors!E:E,MATCH(Vendor_Analysis!C1523,Vendors!A:A,0))</f>
        <v xml:space="preserve">60 </v>
      </c>
      <c r="G1523" s="2">
        <v>60</v>
      </c>
      <c r="H1523" s="16">
        <f t="shared" si="23"/>
        <v>45328</v>
      </c>
      <c r="J1523" s="2"/>
    </row>
    <row r="1524" spans="1:10" x14ac:dyDescent="0.25">
      <c r="A1524" s="8" t="s">
        <v>1426</v>
      </c>
      <c r="B1524" s="8" t="s">
        <v>1415</v>
      </c>
      <c r="C1524" s="8" t="s">
        <v>27</v>
      </c>
      <c r="D1524" s="10">
        <v>45272</v>
      </c>
      <c r="E1524" s="9">
        <v>206652</v>
      </c>
      <c r="F1524" s="2" t="str">
        <f>INDEX(Vendors!E:E,MATCH(Vendor_Analysis!C1524,Vendors!A:A,0))</f>
        <v xml:space="preserve">45 </v>
      </c>
      <c r="G1524" s="2">
        <v>45</v>
      </c>
      <c r="H1524" s="16">
        <f t="shared" si="23"/>
        <v>45317</v>
      </c>
      <c r="J1524" s="2"/>
    </row>
    <row r="1525" spans="1:10" x14ac:dyDescent="0.25">
      <c r="A1525" s="8" t="s">
        <v>1427</v>
      </c>
      <c r="B1525" s="8" t="s">
        <v>1415</v>
      </c>
      <c r="C1525" s="8" t="s">
        <v>71</v>
      </c>
      <c r="D1525" s="10">
        <v>45276</v>
      </c>
      <c r="E1525" s="9">
        <v>78881</v>
      </c>
      <c r="F1525" s="2" t="str">
        <f>INDEX(Vendors!E:E,MATCH(Vendor_Analysis!C1525,Vendors!A:A,0))</f>
        <v xml:space="preserve">45 </v>
      </c>
      <c r="G1525" s="2">
        <v>45</v>
      </c>
      <c r="H1525" s="16">
        <f t="shared" si="23"/>
        <v>45321</v>
      </c>
      <c r="J1525" s="2"/>
    </row>
    <row r="1526" spans="1:10" x14ac:dyDescent="0.25">
      <c r="A1526" s="8" t="s">
        <v>1428</v>
      </c>
      <c r="B1526" s="8" t="s">
        <v>1415</v>
      </c>
      <c r="C1526" s="8" t="s">
        <v>10</v>
      </c>
      <c r="D1526" s="10">
        <v>45281</v>
      </c>
      <c r="E1526" s="9">
        <v>110431</v>
      </c>
      <c r="F1526" s="2" t="str">
        <f>INDEX(Vendors!E:E,MATCH(Vendor_Analysis!C1526,Vendors!A:A,0))</f>
        <v xml:space="preserve">60 </v>
      </c>
      <c r="G1526" s="2">
        <v>60</v>
      </c>
      <c r="H1526" s="16">
        <f t="shared" si="23"/>
        <v>45341</v>
      </c>
      <c r="J1526" s="2"/>
    </row>
    <row r="1527" spans="1:10" x14ac:dyDescent="0.25">
      <c r="A1527" s="8" t="s">
        <v>1429</v>
      </c>
      <c r="B1527" s="8" t="s">
        <v>1415</v>
      </c>
      <c r="C1527" s="8" t="s">
        <v>14</v>
      </c>
      <c r="D1527" s="10">
        <v>45293</v>
      </c>
      <c r="E1527" s="9">
        <v>116756</v>
      </c>
      <c r="F1527" s="2" t="str">
        <f>INDEX(Vendors!E:E,MATCH(Vendor_Analysis!C1527,Vendors!A:A,0))</f>
        <v xml:space="preserve"> 90</v>
      </c>
      <c r="G1527" s="2">
        <v>90</v>
      </c>
      <c r="H1527" s="16">
        <f t="shared" si="23"/>
        <v>45383</v>
      </c>
      <c r="J1527" s="2"/>
    </row>
    <row r="1528" spans="1:10" x14ac:dyDescent="0.25">
      <c r="A1528" s="8" t="s">
        <v>1430</v>
      </c>
      <c r="B1528" s="8" t="s">
        <v>1415</v>
      </c>
      <c r="C1528" s="8" t="s">
        <v>29</v>
      </c>
      <c r="D1528" s="10">
        <v>45329</v>
      </c>
      <c r="E1528" s="9">
        <v>92222</v>
      </c>
      <c r="F1528" s="2" t="str">
        <f>INDEX(Vendors!E:E,MATCH(Vendor_Analysis!C1528,Vendors!A:A,0))</f>
        <v xml:space="preserve">30 </v>
      </c>
      <c r="G1528" s="2">
        <v>30</v>
      </c>
      <c r="H1528" s="16">
        <f t="shared" si="23"/>
        <v>45359</v>
      </c>
      <c r="J1528" s="2"/>
    </row>
    <row r="1529" spans="1:10" x14ac:dyDescent="0.25">
      <c r="A1529" s="8" t="s">
        <v>1431</v>
      </c>
      <c r="B1529" s="8" t="s">
        <v>1415</v>
      </c>
      <c r="C1529" s="8" t="s">
        <v>10</v>
      </c>
      <c r="D1529" s="10">
        <v>45332</v>
      </c>
      <c r="E1529" s="9">
        <v>267790</v>
      </c>
      <c r="F1529" s="2" t="str">
        <f>INDEX(Vendors!E:E,MATCH(Vendor_Analysis!C1529,Vendors!A:A,0))</f>
        <v xml:space="preserve">60 </v>
      </c>
      <c r="G1529" s="2">
        <v>60</v>
      </c>
      <c r="H1529" s="16">
        <f t="shared" si="23"/>
        <v>45392</v>
      </c>
      <c r="J1529" s="2"/>
    </row>
    <row r="1530" spans="1:10" x14ac:dyDescent="0.25">
      <c r="A1530" s="8" t="s">
        <v>1432</v>
      </c>
      <c r="B1530" s="8" t="s">
        <v>1415</v>
      </c>
      <c r="C1530" s="8" t="s">
        <v>21</v>
      </c>
      <c r="D1530" s="10">
        <v>45336</v>
      </c>
      <c r="E1530" s="9">
        <v>148197</v>
      </c>
      <c r="F1530" s="2" t="str">
        <f>INDEX(Vendors!E:E,MATCH(Vendor_Analysis!C1530,Vendors!A:A,0))</f>
        <v xml:space="preserve"> 90</v>
      </c>
      <c r="G1530" s="2">
        <v>90</v>
      </c>
      <c r="H1530" s="16">
        <f t="shared" si="23"/>
        <v>45426</v>
      </c>
      <c r="J1530" s="2"/>
    </row>
    <row r="1531" spans="1:10" x14ac:dyDescent="0.25">
      <c r="A1531" s="8" t="s">
        <v>1433</v>
      </c>
      <c r="B1531" s="8" t="s">
        <v>1415</v>
      </c>
      <c r="C1531" s="8" t="s">
        <v>12</v>
      </c>
      <c r="D1531" s="10">
        <v>45336</v>
      </c>
      <c r="E1531" s="9">
        <v>164282</v>
      </c>
      <c r="F1531" s="2" t="str">
        <f>INDEX(Vendors!E:E,MATCH(Vendor_Analysis!C1531,Vendors!A:A,0))</f>
        <v xml:space="preserve">30 </v>
      </c>
      <c r="G1531" s="2">
        <v>30</v>
      </c>
      <c r="H1531" s="16">
        <f t="shared" si="23"/>
        <v>45366</v>
      </c>
      <c r="J1531" s="2"/>
    </row>
    <row r="1532" spans="1:10" x14ac:dyDescent="0.25">
      <c r="A1532" s="8" t="s">
        <v>1434</v>
      </c>
      <c r="B1532" s="8" t="s">
        <v>1415</v>
      </c>
      <c r="C1532" s="8" t="s">
        <v>25</v>
      </c>
      <c r="D1532" s="10">
        <v>45387</v>
      </c>
      <c r="E1532" s="9">
        <v>237391</v>
      </c>
      <c r="F1532" s="2" t="str">
        <f>INDEX(Vendors!E:E,MATCH(Vendor_Analysis!C1532,Vendors!A:A,0))</f>
        <v xml:space="preserve">30 </v>
      </c>
      <c r="G1532" s="2">
        <v>30</v>
      </c>
      <c r="H1532" s="16">
        <f t="shared" si="23"/>
        <v>45417</v>
      </c>
      <c r="J1532" s="2"/>
    </row>
    <row r="1533" spans="1:10" x14ac:dyDescent="0.25">
      <c r="A1533" s="8" t="s">
        <v>1435</v>
      </c>
      <c r="B1533" s="8" t="s">
        <v>1415</v>
      </c>
      <c r="C1533" s="8" t="s">
        <v>50</v>
      </c>
      <c r="D1533" s="10">
        <v>45403</v>
      </c>
      <c r="E1533" s="9">
        <v>205473</v>
      </c>
      <c r="F1533" s="2" t="str">
        <f>INDEX(Vendors!E:E,MATCH(Vendor_Analysis!C1533,Vendors!A:A,0))</f>
        <v xml:space="preserve"> 90</v>
      </c>
      <c r="G1533" s="2">
        <v>90</v>
      </c>
      <c r="H1533" s="16">
        <f t="shared" si="23"/>
        <v>45493</v>
      </c>
      <c r="J1533" s="2"/>
    </row>
    <row r="1534" spans="1:10" x14ac:dyDescent="0.25">
      <c r="A1534" s="8" t="s">
        <v>1436</v>
      </c>
      <c r="B1534" s="8" t="s">
        <v>1415</v>
      </c>
      <c r="C1534" s="8" t="s">
        <v>19</v>
      </c>
      <c r="D1534" s="10">
        <v>45412</v>
      </c>
      <c r="E1534" s="9">
        <v>239189</v>
      </c>
      <c r="F1534" s="2" t="str">
        <f>INDEX(Vendors!E:E,MATCH(Vendor_Analysis!C1534,Vendors!A:A,0))</f>
        <v xml:space="preserve">45 </v>
      </c>
      <c r="G1534" s="2">
        <v>45</v>
      </c>
      <c r="H1534" s="16">
        <f t="shared" si="23"/>
        <v>45457</v>
      </c>
      <c r="J1534" s="2"/>
    </row>
    <row r="1535" spans="1:10" x14ac:dyDescent="0.25">
      <c r="A1535" s="8" t="s">
        <v>1437</v>
      </c>
      <c r="B1535" s="8" t="s">
        <v>1438</v>
      </c>
      <c r="C1535" s="8" t="s">
        <v>10</v>
      </c>
      <c r="D1535" s="10">
        <v>45170</v>
      </c>
      <c r="E1535" s="9">
        <v>43424</v>
      </c>
      <c r="F1535" s="2" t="str">
        <f>INDEX(Vendors!E:E,MATCH(Vendor_Analysis!C1535,Vendors!A:A,0))</f>
        <v xml:space="preserve">60 </v>
      </c>
      <c r="G1535" s="2">
        <v>60</v>
      </c>
      <c r="H1535" s="16">
        <f t="shared" si="23"/>
        <v>45230</v>
      </c>
      <c r="J1535" s="2"/>
    </row>
    <row r="1536" spans="1:10" x14ac:dyDescent="0.25">
      <c r="A1536" s="8" t="s">
        <v>1439</v>
      </c>
      <c r="B1536" s="8" t="s">
        <v>1438</v>
      </c>
      <c r="C1536" s="8" t="s">
        <v>23</v>
      </c>
      <c r="D1536" s="10">
        <v>45195</v>
      </c>
      <c r="E1536" s="9">
        <v>22288</v>
      </c>
      <c r="F1536" s="2" t="str">
        <f>INDEX(Vendors!E:E,MATCH(Vendor_Analysis!C1536,Vendors!A:A,0))</f>
        <v xml:space="preserve"> 90</v>
      </c>
      <c r="G1536" s="2">
        <v>90</v>
      </c>
      <c r="H1536" s="16">
        <f t="shared" si="23"/>
        <v>45285</v>
      </c>
      <c r="J1536" s="2"/>
    </row>
    <row r="1537" spans="1:10" x14ac:dyDescent="0.25">
      <c r="A1537" s="8" t="s">
        <v>1440</v>
      </c>
      <c r="B1537" s="8" t="s">
        <v>1438</v>
      </c>
      <c r="C1537" s="8" t="s">
        <v>6</v>
      </c>
      <c r="D1537" s="10">
        <v>45197</v>
      </c>
      <c r="E1537" s="9">
        <v>24398</v>
      </c>
      <c r="F1537" s="2" t="str">
        <f>INDEX(Vendors!E:E,MATCH(Vendor_Analysis!C1537,Vendors!A:A,0))</f>
        <v xml:space="preserve">60 </v>
      </c>
      <c r="G1537" s="2">
        <v>60</v>
      </c>
      <c r="H1537" s="16">
        <f t="shared" si="23"/>
        <v>45257</v>
      </c>
      <c r="J1537" s="2"/>
    </row>
    <row r="1538" spans="1:10" x14ac:dyDescent="0.25">
      <c r="A1538" s="8" t="s">
        <v>1441</v>
      </c>
      <c r="B1538" s="8" t="s">
        <v>1438</v>
      </c>
      <c r="C1538" s="8" t="s">
        <v>25</v>
      </c>
      <c r="D1538" s="10">
        <v>45226</v>
      </c>
      <c r="E1538" s="9">
        <v>52214</v>
      </c>
      <c r="F1538" s="2" t="str">
        <f>INDEX(Vendors!E:E,MATCH(Vendor_Analysis!C1538,Vendors!A:A,0))</f>
        <v xml:space="preserve">30 </v>
      </c>
      <c r="G1538" s="2">
        <v>30</v>
      </c>
      <c r="H1538" s="16">
        <f t="shared" si="23"/>
        <v>45256</v>
      </c>
      <c r="J1538" s="2"/>
    </row>
    <row r="1539" spans="1:10" x14ac:dyDescent="0.25">
      <c r="A1539" s="8" t="s">
        <v>1442</v>
      </c>
      <c r="B1539" s="8" t="s">
        <v>1438</v>
      </c>
      <c r="C1539" s="8" t="s">
        <v>33</v>
      </c>
      <c r="D1539" s="10">
        <v>45243</v>
      </c>
      <c r="E1539" s="9">
        <v>20273</v>
      </c>
      <c r="F1539" s="2" t="str">
        <f>INDEX(Vendors!E:E,MATCH(Vendor_Analysis!C1539,Vendors!A:A,0))</f>
        <v xml:space="preserve">30 </v>
      </c>
      <c r="G1539" s="2">
        <v>30</v>
      </c>
      <c r="H1539" s="16">
        <f t="shared" ref="H1539:H1602" si="24">D1539+F1539</f>
        <v>45273</v>
      </c>
      <c r="J1539" s="2"/>
    </row>
    <row r="1540" spans="1:10" x14ac:dyDescent="0.25">
      <c r="A1540" s="8" t="s">
        <v>1443</v>
      </c>
      <c r="B1540" s="8" t="s">
        <v>1438</v>
      </c>
      <c r="C1540" s="8" t="s">
        <v>17</v>
      </c>
      <c r="D1540" s="10">
        <v>45261</v>
      </c>
      <c r="E1540" s="9">
        <v>30691</v>
      </c>
      <c r="F1540" s="2" t="str">
        <f>INDEX(Vendors!E:E,MATCH(Vendor_Analysis!C1540,Vendors!A:A,0))</f>
        <v xml:space="preserve">45 </v>
      </c>
      <c r="G1540" s="2">
        <v>45</v>
      </c>
      <c r="H1540" s="16">
        <f t="shared" si="24"/>
        <v>45306</v>
      </c>
      <c r="J1540" s="2"/>
    </row>
    <row r="1541" spans="1:10" x14ac:dyDescent="0.25">
      <c r="A1541" s="8" t="s">
        <v>1444</v>
      </c>
      <c r="B1541" s="8" t="s">
        <v>1438</v>
      </c>
      <c r="C1541" s="8" t="s">
        <v>27</v>
      </c>
      <c r="D1541" s="10">
        <v>45308</v>
      </c>
      <c r="E1541" s="9">
        <v>40586</v>
      </c>
      <c r="F1541" s="2" t="str">
        <f>INDEX(Vendors!E:E,MATCH(Vendor_Analysis!C1541,Vendors!A:A,0))</f>
        <v xml:space="preserve">45 </v>
      </c>
      <c r="G1541" s="2">
        <v>45</v>
      </c>
      <c r="H1541" s="16">
        <f t="shared" si="24"/>
        <v>45353</v>
      </c>
      <c r="J1541" s="2"/>
    </row>
    <row r="1542" spans="1:10" x14ac:dyDescent="0.25">
      <c r="A1542" s="8" t="s">
        <v>1445</v>
      </c>
      <c r="B1542" s="8" t="s">
        <v>1438</v>
      </c>
      <c r="C1542" s="8" t="s">
        <v>91</v>
      </c>
      <c r="D1542" s="10">
        <v>45314</v>
      </c>
      <c r="E1542" s="9">
        <v>58424</v>
      </c>
      <c r="F1542" s="2" t="str">
        <f>INDEX(Vendors!E:E,MATCH(Vendor_Analysis!C1542,Vendors!A:A,0))</f>
        <v xml:space="preserve">60 </v>
      </c>
      <c r="G1542" s="2">
        <v>60</v>
      </c>
      <c r="H1542" s="16">
        <f t="shared" si="24"/>
        <v>45374</v>
      </c>
      <c r="J1542" s="2"/>
    </row>
    <row r="1543" spans="1:10" x14ac:dyDescent="0.25">
      <c r="A1543" s="8" t="s">
        <v>1446</v>
      </c>
      <c r="B1543" s="8" t="s">
        <v>1438</v>
      </c>
      <c r="C1543" s="8" t="s">
        <v>91</v>
      </c>
      <c r="D1543" s="10">
        <v>45320</v>
      </c>
      <c r="E1543" s="9">
        <v>51223</v>
      </c>
      <c r="F1543" s="2" t="str">
        <f>INDEX(Vendors!E:E,MATCH(Vendor_Analysis!C1543,Vendors!A:A,0))</f>
        <v xml:space="preserve">60 </v>
      </c>
      <c r="G1543" s="2">
        <v>60</v>
      </c>
      <c r="H1543" s="16">
        <f t="shared" si="24"/>
        <v>45380</v>
      </c>
      <c r="J1543" s="2"/>
    </row>
    <row r="1544" spans="1:10" x14ac:dyDescent="0.25">
      <c r="A1544" s="8" t="s">
        <v>1447</v>
      </c>
      <c r="B1544" s="8" t="s">
        <v>1438</v>
      </c>
      <c r="C1544" s="8" t="s">
        <v>37</v>
      </c>
      <c r="D1544" s="10">
        <v>45332</v>
      </c>
      <c r="E1544" s="9">
        <v>25717</v>
      </c>
      <c r="F1544" s="2" t="str">
        <f>INDEX(Vendors!E:E,MATCH(Vendor_Analysis!C1544,Vendors!A:A,0))</f>
        <v xml:space="preserve">30 </v>
      </c>
      <c r="G1544" s="2">
        <v>30</v>
      </c>
      <c r="H1544" s="16">
        <f t="shared" si="24"/>
        <v>45362</v>
      </c>
      <c r="J1544" s="2"/>
    </row>
    <row r="1545" spans="1:10" x14ac:dyDescent="0.25">
      <c r="A1545" s="8" t="s">
        <v>1448</v>
      </c>
      <c r="B1545" s="8" t="s">
        <v>1438</v>
      </c>
      <c r="C1545" s="8" t="s">
        <v>73</v>
      </c>
      <c r="D1545" s="10">
        <v>45346</v>
      </c>
      <c r="E1545" s="9">
        <v>31536</v>
      </c>
      <c r="F1545" s="2" t="str">
        <f>INDEX(Vendors!E:E,MATCH(Vendor_Analysis!C1545,Vendors!A:A,0))</f>
        <v xml:space="preserve">60 </v>
      </c>
      <c r="G1545" s="2">
        <v>60</v>
      </c>
      <c r="H1545" s="16">
        <f t="shared" si="24"/>
        <v>45406</v>
      </c>
      <c r="J1545" s="2"/>
    </row>
    <row r="1546" spans="1:10" x14ac:dyDescent="0.25">
      <c r="A1546" s="8" t="s">
        <v>1449</v>
      </c>
      <c r="B1546" s="8" t="s">
        <v>1438</v>
      </c>
      <c r="C1546" s="8" t="s">
        <v>55</v>
      </c>
      <c r="D1546" s="10">
        <v>45347</v>
      </c>
      <c r="E1546" s="9">
        <v>56687</v>
      </c>
      <c r="F1546" s="2" t="str">
        <f>INDEX(Vendors!E:E,MATCH(Vendor_Analysis!C1546,Vendors!A:A,0))</f>
        <v xml:space="preserve">30 </v>
      </c>
      <c r="G1546" s="2">
        <v>30</v>
      </c>
      <c r="H1546" s="16">
        <f t="shared" si="24"/>
        <v>45377</v>
      </c>
      <c r="J1546" s="2"/>
    </row>
    <row r="1547" spans="1:10" x14ac:dyDescent="0.25">
      <c r="A1547" s="8" t="s">
        <v>1450</v>
      </c>
      <c r="B1547" s="8" t="s">
        <v>1438</v>
      </c>
      <c r="C1547" s="8" t="s">
        <v>17</v>
      </c>
      <c r="D1547" s="10">
        <v>45348</v>
      </c>
      <c r="E1547" s="9">
        <v>55323</v>
      </c>
      <c r="F1547" s="2" t="str">
        <f>INDEX(Vendors!E:E,MATCH(Vendor_Analysis!C1547,Vendors!A:A,0))</f>
        <v xml:space="preserve">45 </v>
      </c>
      <c r="G1547" s="2">
        <v>45</v>
      </c>
      <c r="H1547" s="16">
        <f t="shared" si="24"/>
        <v>45393</v>
      </c>
      <c r="J1547" s="2"/>
    </row>
    <row r="1548" spans="1:10" x14ac:dyDescent="0.25">
      <c r="A1548" s="8" t="s">
        <v>1451</v>
      </c>
      <c r="B1548" s="8" t="s">
        <v>1438</v>
      </c>
      <c r="C1548" s="8" t="s">
        <v>71</v>
      </c>
      <c r="D1548" s="10">
        <v>45348</v>
      </c>
      <c r="E1548" s="9">
        <v>38720</v>
      </c>
      <c r="F1548" s="2" t="str">
        <f>INDEX(Vendors!E:E,MATCH(Vendor_Analysis!C1548,Vendors!A:A,0))</f>
        <v xml:space="preserve">45 </v>
      </c>
      <c r="G1548" s="2">
        <v>45</v>
      </c>
      <c r="H1548" s="16">
        <f t="shared" si="24"/>
        <v>45393</v>
      </c>
      <c r="J1548" s="2"/>
    </row>
    <row r="1549" spans="1:10" x14ac:dyDescent="0.25">
      <c r="A1549" s="8" t="s">
        <v>1452</v>
      </c>
      <c r="B1549" s="8" t="s">
        <v>1438</v>
      </c>
      <c r="C1549" s="8" t="s">
        <v>12</v>
      </c>
      <c r="D1549" s="10">
        <v>45361</v>
      </c>
      <c r="E1549" s="9">
        <v>27112</v>
      </c>
      <c r="F1549" s="2" t="str">
        <f>INDEX(Vendors!E:E,MATCH(Vendor_Analysis!C1549,Vendors!A:A,0))</f>
        <v xml:space="preserve">30 </v>
      </c>
      <c r="G1549" s="2">
        <v>30</v>
      </c>
      <c r="H1549" s="16">
        <f t="shared" si="24"/>
        <v>45391</v>
      </c>
      <c r="J1549" s="2"/>
    </row>
    <row r="1550" spans="1:10" x14ac:dyDescent="0.25">
      <c r="A1550" s="8" t="s">
        <v>1453</v>
      </c>
      <c r="B1550" s="8" t="s">
        <v>1438</v>
      </c>
      <c r="C1550" s="8" t="s">
        <v>8</v>
      </c>
      <c r="D1550" s="10">
        <v>45375</v>
      </c>
      <c r="E1550" s="9">
        <v>45723</v>
      </c>
      <c r="F1550" s="2" t="str">
        <f>INDEX(Vendors!E:E,MATCH(Vendor_Analysis!C1550,Vendors!A:A,0))</f>
        <v xml:space="preserve">60 </v>
      </c>
      <c r="G1550" s="2">
        <v>60</v>
      </c>
      <c r="H1550" s="16">
        <f t="shared" si="24"/>
        <v>45435</v>
      </c>
      <c r="J1550" s="2"/>
    </row>
    <row r="1551" spans="1:10" x14ac:dyDescent="0.25">
      <c r="A1551" s="8" t="s">
        <v>1454</v>
      </c>
      <c r="B1551" s="8" t="s">
        <v>1438</v>
      </c>
      <c r="C1551" s="8" t="s">
        <v>19</v>
      </c>
      <c r="D1551" s="10">
        <v>45393</v>
      </c>
      <c r="E1551" s="9">
        <v>34752</v>
      </c>
      <c r="F1551" s="2" t="str">
        <f>INDEX(Vendors!E:E,MATCH(Vendor_Analysis!C1551,Vendors!A:A,0))</f>
        <v xml:space="preserve">45 </v>
      </c>
      <c r="G1551" s="2">
        <v>45</v>
      </c>
      <c r="H1551" s="16">
        <f t="shared" si="24"/>
        <v>45438</v>
      </c>
      <c r="J1551" s="2"/>
    </row>
    <row r="1552" spans="1:10" x14ac:dyDescent="0.25">
      <c r="A1552" s="8" t="s">
        <v>1455</v>
      </c>
      <c r="B1552" s="8" t="s">
        <v>1438</v>
      </c>
      <c r="C1552" s="8" t="s">
        <v>23</v>
      </c>
      <c r="D1552" s="10">
        <v>45393</v>
      </c>
      <c r="E1552" s="9">
        <v>32633</v>
      </c>
      <c r="F1552" s="2" t="str">
        <f>INDEX(Vendors!E:E,MATCH(Vendor_Analysis!C1552,Vendors!A:A,0))</f>
        <v xml:space="preserve"> 90</v>
      </c>
      <c r="G1552" s="2">
        <v>90</v>
      </c>
      <c r="H1552" s="16">
        <f t="shared" si="24"/>
        <v>45483</v>
      </c>
      <c r="J1552" s="2"/>
    </row>
    <row r="1553" spans="1:10" x14ac:dyDescent="0.25">
      <c r="A1553" s="8" t="s">
        <v>1456</v>
      </c>
      <c r="B1553" s="8" t="s">
        <v>1438</v>
      </c>
      <c r="C1553" s="8" t="s">
        <v>21</v>
      </c>
      <c r="D1553" s="10">
        <v>45397</v>
      </c>
      <c r="E1553" s="9">
        <v>62172</v>
      </c>
      <c r="F1553" s="2" t="str">
        <f>INDEX(Vendors!E:E,MATCH(Vendor_Analysis!C1553,Vendors!A:A,0))</f>
        <v xml:space="preserve"> 90</v>
      </c>
      <c r="G1553" s="2">
        <v>90</v>
      </c>
      <c r="H1553" s="16">
        <f t="shared" si="24"/>
        <v>45487</v>
      </c>
      <c r="J1553" s="2"/>
    </row>
    <row r="1554" spans="1:10" x14ac:dyDescent="0.25">
      <c r="A1554" s="8" t="s">
        <v>1457</v>
      </c>
      <c r="B1554" s="8" t="s">
        <v>1438</v>
      </c>
      <c r="C1554" s="8" t="s">
        <v>17</v>
      </c>
      <c r="D1554" s="10">
        <v>45415</v>
      </c>
      <c r="E1554" s="9">
        <v>35792</v>
      </c>
      <c r="F1554" s="2" t="str">
        <f>INDEX(Vendors!E:E,MATCH(Vendor_Analysis!C1554,Vendors!A:A,0))</f>
        <v xml:space="preserve">45 </v>
      </c>
      <c r="G1554" s="2">
        <v>45</v>
      </c>
      <c r="H1554" s="16">
        <f t="shared" si="24"/>
        <v>45460</v>
      </c>
      <c r="J1554" s="2"/>
    </row>
    <row r="1555" spans="1:10" x14ac:dyDescent="0.25">
      <c r="A1555" s="8" t="s">
        <v>1984</v>
      </c>
      <c r="B1555" s="8" t="s">
        <v>1438</v>
      </c>
      <c r="C1555" s="8" t="s">
        <v>44</v>
      </c>
      <c r="D1555" s="10">
        <v>45455</v>
      </c>
      <c r="E1555" s="9">
        <v>24753</v>
      </c>
      <c r="F1555" s="2" t="str">
        <f>INDEX(Vendors!E:E,MATCH(Vendor_Analysis!C1555,Vendors!A:A,0))</f>
        <v xml:space="preserve">45 </v>
      </c>
      <c r="G1555" s="2">
        <v>45</v>
      </c>
      <c r="H1555" s="16">
        <f t="shared" si="24"/>
        <v>45500</v>
      </c>
      <c r="J1555" s="2"/>
    </row>
    <row r="1556" spans="1:10" x14ac:dyDescent="0.25">
      <c r="A1556" s="8" t="s">
        <v>1985</v>
      </c>
      <c r="B1556" s="8" t="s">
        <v>1438</v>
      </c>
      <c r="C1556" s="8" t="s">
        <v>10</v>
      </c>
      <c r="D1556" s="10">
        <v>45456</v>
      </c>
      <c r="E1556" s="9">
        <v>53196</v>
      </c>
      <c r="F1556" s="2" t="str">
        <f>INDEX(Vendors!E:E,MATCH(Vendor_Analysis!C1556,Vendors!A:A,0))</f>
        <v xml:space="preserve">60 </v>
      </c>
      <c r="G1556" s="2">
        <v>60</v>
      </c>
      <c r="H1556" s="16">
        <f t="shared" si="24"/>
        <v>45516</v>
      </c>
      <c r="J1556" s="2"/>
    </row>
    <row r="1557" spans="1:10" x14ac:dyDescent="0.25">
      <c r="A1557" s="8" t="s">
        <v>1986</v>
      </c>
      <c r="B1557" s="8" t="s">
        <v>1438</v>
      </c>
      <c r="C1557" s="8" t="s">
        <v>35</v>
      </c>
      <c r="D1557" s="10">
        <v>45470</v>
      </c>
      <c r="E1557" s="9">
        <v>28839</v>
      </c>
      <c r="F1557" s="2" t="str">
        <f>INDEX(Vendors!E:E,MATCH(Vendor_Analysis!C1557,Vendors!A:A,0))</f>
        <v xml:space="preserve">60 </v>
      </c>
      <c r="G1557" s="2">
        <v>60</v>
      </c>
      <c r="H1557" s="16">
        <f t="shared" si="24"/>
        <v>45530</v>
      </c>
      <c r="J1557" s="2"/>
    </row>
    <row r="1558" spans="1:10" x14ac:dyDescent="0.25">
      <c r="A1558" s="8" t="s">
        <v>1987</v>
      </c>
      <c r="B1558" s="8" t="s">
        <v>1438</v>
      </c>
      <c r="C1558" s="8" t="s">
        <v>35</v>
      </c>
      <c r="D1558" s="10">
        <v>45500</v>
      </c>
      <c r="E1558" s="9">
        <v>29725</v>
      </c>
      <c r="F1558" s="2" t="str">
        <f>INDEX(Vendors!E:E,MATCH(Vendor_Analysis!C1558,Vendors!A:A,0))</f>
        <v xml:space="preserve">60 </v>
      </c>
      <c r="G1558" s="2">
        <v>60</v>
      </c>
      <c r="H1558" s="16">
        <f t="shared" si="24"/>
        <v>45560</v>
      </c>
      <c r="J1558" s="2"/>
    </row>
    <row r="1559" spans="1:10" x14ac:dyDescent="0.25">
      <c r="A1559" s="8" t="s">
        <v>1988</v>
      </c>
      <c r="B1559" s="8" t="s">
        <v>1438</v>
      </c>
      <c r="C1559" s="8" t="s">
        <v>91</v>
      </c>
      <c r="D1559" s="10">
        <v>45508</v>
      </c>
      <c r="E1559" s="9">
        <v>40333</v>
      </c>
      <c r="F1559" s="2" t="str">
        <f>INDEX(Vendors!E:E,MATCH(Vendor_Analysis!C1559,Vendors!A:A,0))</f>
        <v xml:space="preserve">60 </v>
      </c>
      <c r="G1559" s="2">
        <v>60</v>
      </c>
      <c r="H1559" s="16">
        <f t="shared" si="24"/>
        <v>45568</v>
      </c>
      <c r="J1559" s="2"/>
    </row>
    <row r="1560" spans="1:10" x14ac:dyDescent="0.25">
      <c r="A1560" s="8" t="s">
        <v>1989</v>
      </c>
      <c r="B1560" s="8" t="s">
        <v>1438</v>
      </c>
      <c r="C1560" s="8" t="s">
        <v>110</v>
      </c>
      <c r="D1560" s="10">
        <v>45513</v>
      </c>
      <c r="E1560" s="9">
        <v>57207</v>
      </c>
      <c r="F1560" s="2" t="str">
        <f>INDEX(Vendors!E:E,MATCH(Vendor_Analysis!C1560,Vendors!A:A,0))</f>
        <v xml:space="preserve">30 </v>
      </c>
      <c r="G1560" s="2">
        <v>30</v>
      </c>
      <c r="H1560" s="16">
        <f t="shared" si="24"/>
        <v>45543</v>
      </c>
      <c r="J1560" s="2"/>
    </row>
    <row r="1561" spans="1:10" x14ac:dyDescent="0.25">
      <c r="A1561" s="8" t="s">
        <v>1990</v>
      </c>
      <c r="B1561" s="8" t="s">
        <v>1438</v>
      </c>
      <c r="C1561" s="8" t="s">
        <v>17</v>
      </c>
      <c r="D1561" s="10">
        <v>45517</v>
      </c>
      <c r="E1561" s="9">
        <v>53623</v>
      </c>
      <c r="F1561" s="2" t="str">
        <f>INDEX(Vendors!E:E,MATCH(Vendor_Analysis!C1561,Vendors!A:A,0))</f>
        <v xml:space="preserve">45 </v>
      </c>
      <c r="G1561" s="2">
        <v>45</v>
      </c>
      <c r="H1561" s="16">
        <f t="shared" si="24"/>
        <v>45562</v>
      </c>
      <c r="J1561" s="2"/>
    </row>
    <row r="1562" spans="1:10" x14ac:dyDescent="0.25">
      <c r="A1562" s="8" t="s">
        <v>1991</v>
      </c>
      <c r="B1562" s="8" t="s">
        <v>1438</v>
      </c>
      <c r="C1562" s="8" t="s">
        <v>14</v>
      </c>
      <c r="D1562" s="10">
        <v>45529</v>
      </c>
      <c r="E1562" s="9">
        <v>58296</v>
      </c>
      <c r="F1562" s="2" t="str">
        <f>INDEX(Vendors!E:E,MATCH(Vendor_Analysis!C1562,Vendors!A:A,0))</f>
        <v xml:space="preserve"> 90</v>
      </c>
      <c r="G1562" s="2">
        <v>90</v>
      </c>
      <c r="H1562" s="16">
        <f t="shared" si="24"/>
        <v>45619</v>
      </c>
      <c r="J1562" s="2"/>
    </row>
    <row r="1563" spans="1:10" x14ac:dyDescent="0.25">
      <c r="A1563" s="8" t="s">
        <v>1992</v>
      </c>
      <c r="B1563" s="8" t="s">
        <v>1438</v>
      </c>
      <c r="C1563" s="8" t="s">
        <v>10</v>
      </c>
      <c r="D1563" s="10">
        <v>45536</v>
      </c>
      <c r="E1563" s="9">
        <v>39859</v>
      </c>
      <c r="F1563" s="2" t="str">
        <f>INDEX(Vendors!E:E,MATCH(Vendor_Analysis!C1563,Vendors!A:A,0))</f>
        <v xml:space="preserve">60 </v>
      </c>
      <c r="G1563" s="2">
        <v>60</v>
      </c>
      <c r="H1563" s="16">
        <f t="shared" si="24"/>
        <v>45596</v>
      </c>
      <c r="J1563" s="2"/>
    </row>
    <row r="1564" spans="1:10" x14ac:dyDescent="0.25">
      <c r="A1564" s="8" t="s">
        <v>1993</v>
      </c>
      <c r="B1564" s="8" t="s">
        <v>1438</v>
      </c>
      <c r="C1564" s="8" t="s">
        <v>23</v>
      </c>
      <c r="D1564" s="10">
        <v>45536</v>
      </c>
      <c r="E1564" s="9">
        <v>62014</v>
      </c>
      <c r="F1564" s="2" t="str">
        <f>INDEX(Vendors!E:E,MATCH(Vendor_Analysis!C1564,Vendors!A:A,0))</f>
        <v xml:space="preserve"> 90</v>
      </c>
      <c r="G1564" s="2">
        <v>90</v>
      </c>
      <c r="H1564" s="16">
        <f t="shared" si="24"/>
        <v>45626</v>
      </c>
      <c r="J1564" s="2"/>
    </row>
    <row r="1565" spans="1:10" x14ac:dyDescent="0.25">
      <c r="A1565" s="8" t="s">
        <v>1994</v>
      </c>
      <c r="B1565" s="8" t="s">
        <v>1438</v>
      </c>
      <c r="C1565" s="8" t="s">
        <v>55</v>
      </c>
      <c r="D1565" s="10">
        <v>45560</v>
      </c>
      <c r="E1565" s="9">
        <v>50121</v>
      </c>
      <c r="F1565" s="2" t="str">
        <f>INDEX(Vendors!E:E,MATCH(Vendor_Analysis!C1565,Vendors!A:A,0))</f>
        <v xml:space="preserve">30 </v>
      </c>
      <c r="G1565" s="2">
        <v>30</v>
      </c>
      <c r="H1565" s="16">
        <f t="shared" si="24"/>
        <v>45590</v>
      </c>
      <c r="J1565" s="2"/>
    </row>
    <row r="1566" spans="1:10" x14ac:dyDescent="0.25">
      <c r="A1566" s="8" t="s">
        <v>1995</v>
      </c>
      <c r="B1566" s="8" t="s">
        <v>1438</v>
      </c>
      <c r="C1566" s="8" t="s">
        <v>8</v>
      </c>
      <c r="D1566" s="10">
        <v>45566</v>
      </c>
      <c r="E1566" s="9">
        <v>71958</v>
      </c>
      <c r="F1566" s="2" t="str">
        <f>INDEX(Vendors!E:E,MATCH(Vendor_Analysis!C1566,Vendors!A:A,0))</f>
        <v xml:space="preserve">60 </v>
      </c>
      <c r="G1566" s="2">
        <v>60</v>
      </c>
      <c r="H1566" s="16">
        <f t="shared" si="24"/>
        <v>45626</v>
      </c>
      <c r="J1566" s="2"/>
    </row>
    <row r="1567" spans="1:10" x14ac:dyDescent="0.25">
      <c r="A1567" s="8" t="s">
        <v>1996</v>
      </c>
      <c r="B1567" s="8" t="s">
        <v>1438</v>
      </c>
      <c r="C1567" s="8" t="s">
        <v>29</v>
      </c>
      <c r="D1567" s="10">
        <v>45566</v>
      </c>
      <c r="E1567" s="9">
        <v>41590</v>
      </c>
      <c r="F1567" s="2" t="str">
        <f>INDEX(Vendors!E:E,MATCH(Vendor_Analysis!C1567,Vendors!A:A,0))</f>
        <v xml:space="preserve">30 </v>
      </c>
      <c r="G1567" s="2">
        <v>30</v>
      </c>
      <c r="H1567" s="16">
        <f t="shared" si="24"/>
        <v>45596</v>
      </c>
      <c r="J1567" s="2"/>
    </row>
    <row r="1568" spans="1:10" x14ac:dyDescent="0.25">
      <c r="A1568" s="8" t="s">
        <v>1997</v>
      </c>
      <c r="B1568" s="8" t="s">
        <v>1438</v>
      </c>
      <c r="C1568" s="8" t="s">
        <v>73</v>
      </c>
      <c r="D1568" s="10">
        <v>45574</v>
      </c>
      <c r="E1568" s="9">
        <v>25443</v>
      </c>
      <c r="F1568" s="2" t="str">
        <f>INDEX(Vendors!E:E,MATCH(Vendor_Analysis!C1568,Vendors!A:A,0))</f>
        <v xml:space="preserve">60 </v>
      </c>
      <c r="G1568" s="2">
        <v>60</v>
      </c>
      <c r="H1568" s="16">
        <f t="shared" si="24"/>
        <v>45634</v>
      </c>
      <c r="J1568" s="2"/>
    </row>
    <row r="1569" spans="1:10" x14ac:dyDescent="0.25">
      <c r="A1569" s="8" t="s">
        <v>1998</v>
      </c>
      <c r="B1569" s="8" t="s">
        <v>1438</v>
      </c>
      <c r="C1569" s="8" t="s">
        <v>21</v>
      </c>
      <c r="D1569" s="10">
        <v>45598</v>
      </c>
      <c r="E1569" s="9">
        <v>43207</v>
      </c>
      <c r="F1569" s="2" t="str">
        <f>INDEX(Vendors!E:E,MATCH(Vendor_Analysis!C1569,Vendors!A:A,0))</f>
        <v xml:space="preserve"> 90</v>
      </c>
      <c r="G1569" s="2">
        <v>90</v>
      </c>
      <c r="H1569" s="16">
        <f t="shared" si="24"/>
        <v>45688</v>
      </c>
      <c r="J1569" s="2"/>
    </row>
    <row r="1570" spans="1:10" x14ac:dyDescent="0.25">
      <c r="A1570" s="8" t="s">
        <v>1999</v>
      </c>
      <c r="B1570" s="8" t="s">
        <v>1438</v>
      </c>
      <c r="C1570" s="8" t="s">
        <v>10</v>
      </c>
      <c r="D1570" s="10">
        <v>45616</v>
      </c>
      <c r="E1570" s="9">
        <v>25150</v>
      </c>
      <c r="F1570" s="2" t="str">
        <f>INDEX(Vendors!E:E,MATCH(Vendor_Analysis!C1570,Vendors!A:A,0))</f>
        <v xml:space="preserve">60 </v>
      </c>
      <c r="G1570" s="2">
        <v>60</v>
      </c>
      <c r="H1570" s="16">
        <f t="shared" si="24"/>
        <v>45676</v>
      </c>
      <c r="J1570" s="2"/>
    </row>
    <row r="1571" spans="1:10" x14ac:dyDescent="0.25">
      <c r="A1571" s="8" t="s">
        <v>2000</v>
      </c>
      <c r="B1571" s="8" t="s">
        <v>1438</v>
      </c>
      <c r="C1571" s="8" t="s">
        <v>50</v>
      </c>
      <c r="D1571" s="10">
        <v>45652</v>
      </c>
      <c r="E1571" s="9">
        <v>40081</v>
      </c>
      <c r="F1571" s="2" t="str">
        <f>INDEX(Vendors!E:E,MATCH(Vendor_Analysis!C1571,Vendors!A:A,0))</f>
        <v xml:space="preserve"> 90</v>
      </c>
      <c r="G1571" s="2">
        <v>90</v>
      </c>
      <c r="H1571" s="16">
        <f t="shared" si="24"/>
        <v>45742</v>
      </c>
      <c r="J1571" s="2"/>
    </row>
    <row r="1572" spans="1:10" x14ac:dyDescent="0.25">
      <c r="A1572" s="8" t="s">
        <v>2001</v>
      </c>
      <c r="B1572" s="8" t="s">
        <v>1438</v>
      </c>
      <c r="C1572" s="8" t="s">
        <v>55</v>
      </c>
      <c r="D1572" s="10">
        <v>45665</v>
      </c>
      <c r="E1572" s="9">
        <v>28542</v>
      </c>
      <c r="F1572" s="2" t="str">
        <f>INDEX(Vendors!E:E,MATCH(Vendor_Analysis!C1572,Vendors!A:A,0))</f>
        <v xml:space="preserve">30 </v>
      </c>
      <c r="G1572" s="2">
        <v>30</v>
      </c>
      <c r="H1572" s="16">
        <f t="shared" si="24"/>
        <v>45695</v>
      </c>
      <c r="J1572" s="2"/>
    </row>
    <row r="1573" spans="1:10" x14ac:dyDescent="0.25">
      <c r="A1573" s="8" t="s">
        <v>2002</v>
      </c>
      <c r="B1573" s="8" t="s">
        <v>1438</v>
      </c>
      <c r="C1573" s="8" t="s">
        <v>50</v>
      </c>
      <c r="D1573" s="10">
        <v>45667</v>
      </c>
      <c r="E1573" s="9">
        <v>45328</v>
      </c>
      <c r="F1573" s="2" t="str">
        <f>INDEX(Vendors!E:E,MATCH(Vendor_Analysis!C1573,Vendors!A:A,0))</f>
        <v xml:space="preserve"> 90</v>
      </c>
      <c r="G1573" s="2">
        <v>90</v>
      </c>
      <c r="H1573" s="16">
        <f t="shared" si="24"/>
        <v>45757</v>
      </c>
      <c r="J1573" s="2"/>
    </row>
    <row r="1574" spans="1:10" x14ac:dyDescent="0.25">
      <c r="A1574" s="8" t="s">
        <v>2003</v>
      </c>
      <c r="B1574" s="8" t="s">
        <v>1438</v>
      </c>
      <c r="C1574" s="8" t="s">
        <v>17</v>
      </c>
      <c r="D1574" s="10">
        <v>45673</v>
      </c>
      <c r="E1574" s="9">
        <v>33491</v>
      </c>
      <c r="F1574" s="2" t="str">
        <f>INDEX(Vendors!E:E,MATCH(Vendor_Analysis!C1574,Vendors!A:A,0))</f>
        <v xml:space="preserve">45 </v>
      </c>
      <c r="G1574" s="2">
        <v>45</v>
      </c>
      <c r="H1574" s="16">
        <f t="shared" si="24"/>
        <v>45718</v>
      </c>
      <c r="J1574" s="2"/>
    </row>
    <row r="1575" spans="1:10" x14ac:dyDescent="0.25">
      <c r="A1575" s="8" t="s">
        <v>2004</v>
      </c>
      <c r="B1575" s="8" t="s">
        <v>1438</v>
      </c>
      <c r="C1575" s="8" t="s">
        <v>14</v>
      </c>
      <c r="D1575" s="10">
        <v>45677</v>
      </c>
      <c r="E1575" s="9">
        <v>26773</v>
      </c>
      <c r="F1575" s="2" t="str">
        <f>INDEX(Vendors!E:E,MATCH(Vendor_Analysis!C1575,Vendors!A:A,0))</f>
        <v xml:space="preserve"> 90</v>
      </c>
      <c r="G1575" s="2">
        <v>90</v>
      </c>
      <c r="H1575" s="16">
        <f t="shared" si="24"/>
        <v>45767</v>
      </c>
      <c r="J1575" s="2"/>
    </row>
    <row r="1576" spans="1:10" x14ac:dyDescent="0.25">
      <c r="A1576" s="8" t="s">
        <v>2005</v>
      </c>
      <c r="B1576" s="8" t="s">
        <v>1438</v>
      </c>
      <c r="C1576" s="8" t="s">
        <v>44</v>
      </c>
      <c r="D1576" s="10">
        <v>45707</v>
      </c>
      <c r="E1576" s="9">
        <v>35578</v>
      </c>
      <c r="F1576" s="2" t="str">
        <f>INDEX(Vendors!E:E,MATCH(Vendor_Analysis!C1576,Vendors!A:A,0))</f>
        <v xml:space="preserve">45 </v>
      </c>
      <c r="G1576" s="2">
        <v>45</v>
      </c>
      <c r="H1576" s="16">
        <f t="shared" si="24"/>
        <v>45752</v>
      </c>
      <c r="J1576" s="2"/>
    </row>
    <row r="1577" spans="1:10" x14ac:dyDescent="0.25">
      <c r="A1577" s="8" t="s">
        <v>2006</v>
      </c>
      <c r="B1577" s="8" t="s">
        <v>1438</v>
      </c>
      <c r="C1577" s="8" t="s">
        <v>23</v>
      </c>
      <c r="D1577" s="10">
        <v>45707</v>
      </c>
      <c r="E1577" s="9">
        <v>50750</v>
      </c>
      <c r="F1577" s="2" t="str">
        <f>INDEX(Vendors!E:E,MATCH(Vendor_Analysis!C1577,Vendors!A:A,0))</f>
        <v xml:space="preserve"> 90</v>
      </c>
      <c r="G1577" s="2">
        <v>90</v>
      </c>
      <c r="H1577" s="16">
        <f t="shared" si="24"/>
        <v>45797</v>
      </c>
      <c r="J1577" s="2"/>
    </row>
    <row r="1578" spans="1:10" x14ac:dyDescent="0.25">
      <c r="A1578" s="8" t="s">
        <v>2007</v>
      </c>
      <c r="B1578" s="8" t="s">
        <v>1438</v>
      </c>
      <c r="C1578" s="8" t="s">
        <v>50</v>
      </c>
      <c r="D1578" s="10">
        <v>45708</v>
      </c>
      <c r="E1578" s="9">
        <v>46038</v>
      </c>
      <c r="F1578" s="2" t="str">
        <f>INDEX(Vendors!E:E,MATCH(Vendor_Analysis!C1578,Vendors!A:A,0))</f>
        <v xml:space="preserve"> 90</v>
      </c>
      <c r="G1578" s="2">
        <v>90</v>
      </c>
      <c r="H1578" s="16">
        <f t="shared" si="24"/>
        <v>45798</v>
      </c>
      <c r="J1578" s="2"/>
    </row>
    <row r="1579" spans="1:10" x14ac:dyDescent="0.25">
      <c r="A1579" s="8" t="s">
        <v>2008</v>
      </c>
      <c r="B1579" s="8" t="s">
        <v>1438</v>
      </c>
      <c r="C1579" s="8" t="s">
        <v>50</v>
      </c>
      <c r="D1579" s="10">
        <v>45725</v>
      </c>
      <c r="E1579" s="9">
        <v>32142</v>
      </c>
      <c r="F1579" s="2" t="str">
        <f>INDEX(Vendors!E:E,MATCH(Vendor_Analysis!C1579,Vendors!A:A,0))</f>
        <v xml:space="preserve"> 90</v>
      </c>
      <c r="G1579" s="2">
        <v>90</v>
      </c>
      <c r="H1579" s="16">
        <f t="shared" si="24"/>
        <v>45815</v>
      </c>
      <c r="J1579" s="2"/>
    </row>
    <row r="1580" spans="1:10" x14ac:dyDescent="0.25">
      <c r="A1580" s="8" t="s">
        <v>2009</v>
      </c>
      <c r="B1580" s="8" t="s">
        <v>1438</v>
      </c>
      <c r="C1580" s="8" t="s">
        <v>27</v>
      </c>
      <c r="D1580" s="10">
        <v>45744</v>
      </c>
      <c r="E1580" s="9">
        <v>27768</v>
      </c>
      <c r="F1580" s="2" t="str">
        <f>INDEX(Vendors!E:E,MATCH(Vendor_Analysis!C1580,Vendors!A:A,0))</f>
        <v xml:space="preserve">45 </v>
      </c>
      <c r="G1580" s="2">
        <v>45</v>
      </c>
      <c r="H1580" s="16">
        <f t="shared" si="24"/>
        <v>45789</v>
      </c>
      <c r="J1580" s="2"/>
    </row>
    <row r="1581" spans="1:10" x14ac:dyDescent="0.25">
      <c r="A1581" s="8" t="s">
        <v>2010</v>
      </c>
      <c r="B1581" s="8" t="s">
        <v>1438</v>
      </c>
      <c r="C1581" s="8" t="s">
        <v>73</v>
      </c>
      <c r="D1581" s="10">
        <v>45746</v>
      </c>
      <c r="E1581" s="9">
        <v>22704</v>
      </c>
      <c r="F1581" s="2" t="str">
        <f>INDEX(Vendors!E:E,MATCH(Vendor_Analysis!C1581,Vendors!A:A,0))</f>
        <v xml:space="preserve">60 </v>
      </c>
      <c r="G1581" s="2">
        <v>60</v>
      </c>
      <c r="H1581" s="16">
        <f t="shared" si="24"/>
        <v>45806</v>
      </c>
      <c r="J1581" s="2"/>
    </row>
    <row r="1582" spans="1:10" x14ac:dyDescent="0.25">
      <c r="A1582" s="8" t="s">
        <v>2011</v>
      </c>
      <c r="B1582" s="8" t="s">
        <v>1438</v>
      </c>
      <c r="C1582" s="8" t="s">
        <v>29</v>
      </c>
      <c r="D1582" s="10">
        <v>45748</v>
      </c>
      <c r="E1582" s="9">
        <v>42608</v>
      </c>
      <c r="F1582" s="2" t="str">
        <f>INDEX(Vendors!E:E,MATCH(Vendor_Analysis!C1582,Vendors!A:A,0))</f>
        <v xml:space="preserve">30 </v>
      </c>
      <c r="G1582" s="2">
        <v>30</v>
      </c>
      <c r="H1582" s="16">
        <f t="shared" si="24"/>
        <v>45778</v>
      </c>
      <c r="J1582" s="2"/>
    </row>
    <row r="1583" spans="1:10" x14ac:dyDescent="0.25">
      <c r="A1583" s="8" t="s">
        <v>2012</v>
      </c>
      <c r="B1583" s="8" t="s">
        <v>1438</v>
      </c>
      <c r="C1583" s="8" t="s">
        <v>73</v>
      </c>
      <c r="D1583" s="10">
        <v>45748</v>
      </c>
      <c r="E1583" s="9">
        <v>38847</v>
      </c>
      <c r="F1583" s="2" t="str">
        <f>INDEX(Vendors!E:E,MATCH(Vendor_Analysis!C1583,Vendors!A:A,0))</f>
        <v xml:space="preserve">60 </v>
      </c>
      <c r="G1583" s="2">
        <v>60</v>
      </c>
      <c r="H1583" s="16">
        <f t="shared" si="24"/>
        <v>45808</v>
      </c>
      <c r="J1583" s="2"/>
    </row>
    <row r="1584" spans="1:10" x14ac:dyDescent="0.25">
      <c r="A1584" s="8" t="s">
        <v>2013</v>
      </c>
      <c r="B1584" s="8" t="s">
        <v>1438</v>
      </c>
      <c r="C1584" s="8" t="s">
        <v>19</v>
      </c>
      <c r="D1584" s="10">
        <v>45750</v>
      </c>
      <c r="E1584" s="9">
        <v>32679</v>
      </c>
      <c r="F1584" s="2" t="str">
        <f>INDEX(Vendors!E:E,MATCH(Vendor_Analysis!C1584,Vendors!A:A,0))</f>
        <v xml:space="preserve">45 </v>
      </c>
      <c r="G1584" s="2">
        <v>45</v>
      </c>
      <c r="H1584" s="16">
        <f t="shared" si="24"/>
        <v>45795</v>
      </c>
      <c r="J1584" s="2"/>
    </row>
    <row r="1585" spans="1:10" x14ac:dyDescent="0.25">
      <c r="A1585" s="8" t="s">
        <v>2014</v>
      </c>
      <c r="B1585" s="8" t="s">
        <v>1438</v>
      </c>
      <c r="C1585" s="8" t="s">
        <v>17</v>
      </c>
      <c r="D1585" s="10">
        <v>45755</v>
      </c>
      <c r="E1585" s="9">
        <v>29534</v>
      </c>
      <c r="F1585" s="2" t="str">
        <f>INDEX(Vendors!E:E,MATCH(Vendor_Analysis!C1585,Vendors!A:A,0))</f>
        <v xml:space="preserve">45 </v>
      </c>
      <c r="G1585" s="2">
        <v>45</v>
      </c>
      <c r="H1585" s="16">
        <f t="shared" si="24"/>
        <v>45800</v>
      </c>
      <c r="J1585" s="2"/>
    </row>
    <row r="1586" spans="1:10" x14ac:dyDescent="0.25">
      <c r="A1586" s="8" t="s">
        <v>2015</v>
      </c>
      <c r="B1586" s="8" t="s">
        <v>1438</v>
      </c>
      <c r="C1586" s="8" t="s">
        <v>71</v>
      </c>
      <c r="D1586" s="10">
        <v>45767</v>
      </c>
      <c r="E1586" s="9">
        <v>33860</v>
      </c>
      <c r="F1586" s="2" t="str">
        <f>INDEX(Vendors!E:E,MATCH(Vendor_Analysis!C1586,Vendors!A:A,0))</f>
        <v xml:space="preserve">45 </v>
      </c>
      <c r="G1586" s="2">
        <v>45</v>
      </c>
      <c r="H1586" s="16">
        <f t="shared" si="24"/>
        <v>45812</v>
      </c>
      <c r="J1586" s="2"/>
    </row>
    <row r="1587" spans="1:10" x14ac:dyDescent="0.25">
      <c r="A1587" s="8" t="s">
        <v>2016</v>
      </c>
      <c r="B1587" s="8" t="s">
        <v>1438</v>
      </c>
      <c r="C1587" s="8" t="s">
        <v>33</v>
      </c>
      <c r="D1587" s="10">
        <v>45775</v>
      </c>
      <c r="E1587" s="9">
        <v>54331</v>
      </c>
      <c r="F1587" s="2" t="str">
        <f>INDEX(Vendors!E:E,MATCH(Vendor_Analysis!C1587,Vendors!A:A,0))</f>
        <v xml:space="preserve">30 </v>
      </c>
      <c r="G1587" s="2">
        <v>30</v>
      </c>
      <c r="H1587" s="16">
        <f t="shared" si="24"/>
        <v>45805</v>
      </c>
      <c r="J1587" s="2"/>
    </row>
    <row r="1588" spans="1:10" x14ac:dyDescent="0.25">
      <c r="A1588" s="8" t="s">
        <v>2017</v>
      </c>
      <c r="B1588" s="8" t="s">
        <v>1438</v>
      </c>
      <c r="C1588" s="8" t="s">
        <v>37</v>
      </c>
      <c r="D1588" s="10">
        <v>45785</v>
      </c>
      <c r="E1588" s="9">
        <v>33506</v>
      </c>
      <c r="F1588" s="2" t="str">
        <f>INDEX(Vendors!E:E,MATCH(Vendor_Analysis!C1588,Vendors!A:A,0))</f>
        <v xml:space="preserve">30 </v>
      </c>
      <c r="G1588" s="2">
        <v>30</v>
      </c>
      <c r="H1588" s="16">
        <f t="shared" si="24"/>
        <v>45815</v>
      </c>
      <c r="J1588" s="2"/>
    </row>
    <row r="1589" spans="1:10" x14ac:dyDescent="0.25">
      <c r="A1589" s="8" t="s">
        <v>2018</v>
      </c>
      <c r="B1589" s="8" t="s">
        <v>1438</v>
      </c>
      <c r="C1589" s="8" t="s">
        <v>29</v>
      </c>
      <c r="D1589" s="10">
        <v>45785</v>
      </c>
      <c r="E1589" s="9">
        <v>55557</v>
      </c>
      <c r="F1589" s="2" t="str">
        <f>INDEX(Vendors!E:E,MATCH(Vendor_Analysis!C1589,Vendors!A:A,0))</f>
        <v xml:space="preserve">30 </v>
      </c>
      <c r="G1589" s="2">
        <v>30</v>
      </c>
      <c r="H1589" s="16">
        <f t="shared" si="24"/>
        <v>45815</v>
      </c>
      <c r="J1589" s="2"/>
    </row>
    <row r="1590" spans="1:10" x14ac:dyDescent="0.25">
      <c r="A1590" s="8" t="s">
        <v>2019</v>
      </c>
      <c r="B1590" s="8" t="s">
        <v>1438</v>
      </c>
      <c r="C1590" s="8" t="s">
        <v>35</v>
      </c>
      <c r="D1590" s="10">
        <v>45795</v>
      </c>
      <c r="E1590" s="9">
        <v>22522</v>
      </c>
      <c r="F1590" s="2" t="str">
        <f>INDEX(Vendors!E:E,MATCH(Vendor_Analysis!C1590,Vendors!A:A,0))</f>
        <v xml:space="preserve">60 </v>
      </c>
      <c r="G1590" s="2">
        <v>60</v>
      </c>
      <c r="H1590" s="16">
        <f t="shared" si="24"/>
        <v>45855</v>
      </c>
      <c r="J1590" s="2"/>
    </row>
    <row r="1591" spans="1:10" x14ac:dyDescent="0.25">
      <c r="A1591" s="8" t="s">
        <v>2020</v>
      </c>
      <c r="B1591" s="8" t="s">
        <v>1438</v>
      </c>
      <c r="C1591" s="8" t="s">
        <v>73</v>
      </c>
      <c r="D1591" s="10">
        <v>45797</v>
      </c>
      <c r="E1591" s="9">
        <v>27229</v>
      </c>
      <c r="F1591" s="2" t="str">
        <f>INDEX(Vendors!E:E,MATCH(Vendor_Analysis!C1591,Vendors!A:A,0))</f>
        <v xml:space="preserve">60 </v>
      </c>
      <c r="G1591" s="2">
        <v>60</v>
      </c>
      <c r="H1591" s="16">
        <f t="shared" si="24"/>
        <v>45857</v>
      </c>
      <c r="J1591" s="2"/>
    </row>
    <row r="1592" spans="1:10" x14ac:dyDescent="0.25">
      <c r="A1592" s="8" t="s">
        <v>1458</v>
      </c>
      <c r="B1592" s="8" t="s">
        <v>1459</v>
      </c>
      <c r="C1592" s="8" t="s">
        <v>12</v>
      </c>
      <c r="D1592" s="10">
        <v>45415</v>
      </c>
      <c r="E1592" s="9">
        <v>247712</v>
      </c>
      <c r="F1592" s="2" t="str">
        <f>INDEX(Vendors!E:E,MATCH(Vendor_Analysis!C1592,Vendors!A:A,0))</f>
        <v xml:space="preserve">30 </v>
      </c>
      <c r="G1592" s="2">
        <v>30</v>
      </c>
      <c r="H1592" s="16">
        <f t="shared" si="24"/>
        <v>45445</v>
      </c>
      <c r="J1592" s="2"/>
    </row>
    <row r="1593" spans="1:10" x14ac:dyDescent="0.25">
      <c r="A1593" s="8" t="s">
        <v>1460</v>
      </c>
      <c r="B1593" s="8" t="s">
        <v>1459</v>
      </c>
      <c r="C1593" s="8" t="s">
        <v>110</v>
      </c>
      <c r="D1593" s="10">
        <v>45432</v>
      </c>
      <c r="E1593" s="9">
        <v>210013</v>
      </c>
      <c r="F1593" s="2" t="str">
        <f>INDEX(Vendors!E:E,MATCH(Vendor_Analysis!C1593,Vendors!A:A,0))</f>
        <v xml:space="preserve">30 </v>
      </c>
      <c r="G1593" s="2">
        <v>30</v>
      </c>
      <c r="H1593" s="16">
        <f t="shared" si="24"/>
        <v>45462</v>
      </c>
      <c r="J1593" s="2"/>
    </row>
    <row r="1594" spans="1:10" x14ac:dyDescent="0.25">
      <c r="A1594" s="8" t="s">
        <v>1461</v>
      </c>
      <c r="B1594" s="8" t="s">
        <v>1459</v>
      </c>
      <c r="C1594" s="8" t="s">
        <v>35</v>
      </c>
      <c r="D1594" s="10">
        <v>45454</v>
      </c>
      <c r="E1594" s="9">
        <v>267534</v>
      </c>
      <c r="F1594" s="2" t="str">
        <f>INDEX(Vendors!E:E,MATCH(Vendor_Analysis!C1594,Vendors!A:A,0))</f>
        <v xml:space="preserve">60 </v>
      </c>
      <c r="G1594" s="2">
        <v>60</v>
      </c>
      <c r="H1594" s="16">
        <f t="shared" si="24"/>
        <v>45514</v>
      </c>
      <c r="J1594" s="2"/>
    </row>
    <row r="1595" spans="1:10" x14ac:dyDescent="0.25">
      <c r="A1595" s="8" t="s">
        <v>1462</v>
      </c>
      <c r="B1595" s="8" t="s">
        <v>1459</v>
      </c>
      <c r="C1595" s="8" t="s">
        <v>35</v>
      </c>
      <c r="D1595" s="10">
        <v>45460</v>
      </c>
      <c r="E1595" s="9">
        <v>208677</v>
      </c>
      <c r="F1595" s="2" t="str">
        <f>INDEX(Vendors!E:E,MATCH(Vendor_Analysis!C1595,Vendors!A:A,0))</f>
        <v xml:space="preserve">60 </v>
      </c>
      <c r="G1595" s="2">
        <v>60</v>
      </c>
      <c r="H1595" s="16">
        <f t="shared" si="24"/>
        <v>45520</v>
      </c>
      <c r="J1595" s="2"/>
    </row>
    <row r="1596" spans="1:10" x14ac:dyDescent="0.25">
      <c r="A1596" s="8" t="s">
        <v>1463</v>
      </c>
      <c r="B1596" s="8" t="s">
        <v>1459</v>
      </c>
      <c r="C1596" s="8" t="s">
        <v>73</v>
      </c>
      <c r="D1596" s="10">
        <v>45462</v>
      </c>
      <c r="E1596" s="9">
        <v>162580</v>
      </c>
      <c r="F1596" s="2" t="str">
        <f>INDEX(Vendors!E:E,MATCH(Vendor_Analysis!C1596,Vendors!A:A,0))</f>
        <v xml:space="preserve">60 </v>
      </c>
      <c r="G1596" s="2">
        <v>60</v>
      </c>
      <c r="H1596" s="16">
        <f t="shared" si="24"/>
        <v>45522</v>
      </c>
      <c r="J1596" s="2"/>
    </row>
    <row r="1597" spans="1:10" x14ac:dyDescent="0.25">
      <c r="A1597" s="8" t="s">
        <v>1464</v>
      </c>
      <c r="B1597" s="8" t="s">
        <v>1459</v>
      </c>
      <c r="C1597" s="8" t="s">
        <v>108</v>
      </c>
      <c r="D1597" s="10">
        <v>45466</v>
      </c>
      <c r="E1597" s="9">
        <v>265606</v>
      </c>
      <c r="F1597" s="2" t="str">
        <f>INDEX(Vendors!E:E,MATCH(Vendor_Analysis!C1597,Vendors!A:A,0))</f>
        <v xml:space="preserve"> 90</v>
      </c>
      <c r="G1597" s="2">
        <v>90</v>
      </c>
      <c r="H1597" s="16">
        <f t="shared" si="24"/>
        <v>45556</v>
      </c>
      <c r="J1597" s="2"/>
    </row>
    <row r="1598" spans="1:10" x14ac:dyDescent="0.25">
      <c r="A1598" s="8" t="s">
        <v>1465</v>
      </c>
      <c r="B1598" s="8" t="s">
        <v>1459</v>
      </c>
      <c r="C1598" s="8" t="s">
        <v>21</v>
      </c>
      <c r="D1598" s="10">
        <v>45466</v>
      </c>
      <c r="E1598" s="9">
        <v>251957</v>
      </c>
      <c r="F1598" s="2" t="str">
        <f>INDEX(Vendors!E:E,MATCH(Vendor_Analysis!C1598,Vendors!A:A,0))</f>
        <v xml:space="preserve"> 90</v>
      </c>
      <c r="G1598" s="2">
        <v>90</v>
      </c>
      <c r="H1598" s="16">
        <f t="shared" si="24"/>
        <v>45556</v>
      </c>
      <c r="J1598" s="2"/>
    </row>
    <row r="1599" spans="1:10" x14ac:dyDescent="0.25">
      <c r="A1599" s="8" t="s">
        <v>1466</v>
      </c>
      <c r="B1599" s="8" t="s">
        <v>1459</v>
      </c>
      <c r="C1599" s="8" t="s">
        <v>55</v>
      </c>
      <c r="D1599" s="10">
        <v>45468</v>
      </c>
      <c r="E1599" s="9">
        <v>242061</v>
      </c>
      <c r="F1599" s="2" t="str">
        <f>INDEX(Vendors!E:E,MATCH(Vendor_Analysis!C1599,Vendors!A:A,0))</f>
        <v xml:space="preserve">30 </v>
      </c>
      <c r="G1599" s="2">
        <v>30</v>
      </c>
      <c r="H1599" s="16">
        <f t="shared" si="24"/>
        <v>45498</v>
      </c>
      <c r="J1599" s="2"/>
    </row>
    <row r="1600" spans="1:10" x14ac:dyDescent="0.25">
      <c r="A1600" s="8" t="s">
        <v>1467</v>
      </c>
      <c r="B1600" s="8" t="s">
        <v>1459</v>
      </c>
      <c r="C1600" s="8" t="s">
        <v>27</v>
      </c>
      <c r="D1600" s="10">
        <v>45497</v>
      </c>
      <c r="E1600" s="9">
        <v>460001</v>
      </c>
      <c r="F1600" s="2" t="str">
        <f>INDEX(Vendors!E:E,MATCH(Vendor_Analysis!C1600,Vendors!A:A,0))</f>
        <v xml:space="preserve">45 </v>
      </c>
      <c r="G1600" s="2">
        <v>45</v>
      </c>
      <c r="H1600" s="16">
        <f t="shared" si="24"/>
        <v>45542</v>
      </c>
      <c r="J1600" s="2"/>
    </row>
    <row r="1601" spans="1:10" x14ac:dyDescent="0.25">
      <c r="A1601" s="8" t="s">
        <v>1468</v>
      </c>
      <c r="B1601" s="8" t="s">
        <v>1459</v>
      </c>
      <c r="C1601" s="8" t="s">
        <v>14</v>
      </c>
      <c r="D1601" s="10">
        <v>45500</v>
      </c>
      <c r="E1601" s="9">
        <v>263684</v>
      </c>
      <c r="F1601" s="2" t="str">
        <f>INDEX(Vendors!E:E,MATCH(Vendor_Analysis!C1601,Vendors!A:A,0))</f>
        <v xml:space="preserve"> 90</v>
      </c>
      <c r="G1601" s="2">
        <v>90</v>
      </c>
      <c r="H1601" s="16">
        <f t="shared" si="24"/>
        <v>45590</v>
      </c>
      <c r="J1601" s="2"/>
    </row>
    <row r="1602" spans="1:10" x14ac:dyDescent="0.25">
      <c r="A1602" s="8" t="s">
        <v>1469</v>
      </c>
      <c r="B1602" s="8" t="s">
        <v>1459</v>
      </c>
      <c r="C1602" s="8" t="s">
        <v>73</v>
      </c>
      <c r="D1602" s="10">
        <v>45502</v>
      </c>
      <c r="E1602" s="9">
        <v>125460</v>
      </c>
      <c r="F1602" s="2" t="str">
        <f>INDEX(Vendors!E:E,MATCH(Vendor_Analysis!C1602,Vendors!A:A,0))</f>
        <v xml:space="preserve">60 </v>
      </c>
      <c r="G1602" s="2">
        <v>60</v>
      </c>
      <c r="H1602" s="16">
        <f t="shared" si="24"/>
        <v>45562</v>
      </c>
      <c r="J1602" s="2"/>
    </row>
    <row r="1603" spans="1:10" x14ac:dyDescent="0.25">
      <c r="A1603" s="8" t="s">
        <v>1470</v>
      </c>
      <c r="B1603" s="8" t="s">
        <v>1459</v>
      </c>
      <c r="C1603" s="8" t="s">
        <v>17</v>
      </c>
      <c r="D1603" s="10">
        <v>45512</v>
      </c>
      <c r="E1603" s="9">
        <v>97212</v>
      </c>
      <c r="F1603" s="2" t="str">
        <f>INDEX(Vendors!E:E,MATCH(Vendor_Analysis!C1603,Vendors!A:A,0))</f>
        <v xml:space="preserve">45 </v>
      </c>
      <c r="G1603" s="2">
        <v>45</v>
      </c>
      <c r="H1603" s="16">
        <f t="shared" ref="H1603:H1666" si="25">D1603+F1603</f>
        <v>45557</v>
      </c>
      <c r="J1603" s="2"/>
    </row>
    <row r="1604" spans="1:10" x14ac:dyDescent="0.25">
      <c r="A1604" s="8" t="s">
        <v>1471</v>
      </c>
      <c r="B1604" s="8" t="s">
        <v>1459</v>
      </c>
      <c r="C1604" s="8" t="s">
        <v>21</v>
      </c>
      <c r="D1604" s="10">
        <v>45546</v>
      </c>
      <c r="E1604" s="9">
        <v>228811</v>
      </c>
      <c r="F1604" s="2" t="str">
        <f>INDEX(Vendors!E:E,MATCH(Vendor_Analysis!C1604,Vendors!A:A,0))</f>
        <v xml:space="preserve"> 90</v>
      </c>
      <c r="G1604" s="2">
        <v>90</v>
      </c>
      <c r="H1604" s="16">
        <f t="shared" si="25"/>
        <v>45636</v>
      </c>
      <c r="J1604" s="2"/>
    </row>
    <row r="1605" spans="1:10" x14ac:dyDescent="0.25">
      <c r="A1605" s="8" t="s">
        <v>1472</v>
      </c>
      <c r="B1605" s="8" t="s">
        <v>1459</v>
      </c>
      <c r="C1605" s="8" t="s">
        <v>33</v>
      </c>
      <c r="D1605" s="10">
        <v>45550</v>
      </c>
      <c r="E1605" s="9">
        <v>269320</v>
      </c>
      <c r="F1605" s="2" t="str">
        <f>INDEX(Vendors!E:E,MATCH(Vendor_Analysis!C1605,Vendors!A:A,0))</f>
        <v xml:space="preserve">30 </v>
      </c>
      <c r="G1605" s="2">
        <v>30</v>
      </c>
      <c r="H1605" s="16">
        <f t="shared" si="25"/>
        <v>45580</v>
      </c>
      <c r="J1605" s="2"/>
    </row>
    <row r="1606" spans="1:10" x14ac:dyDescent="0.25">
      <c r="A1606" s="8" t="s">
        <v>1473</v>
      </c>
      <c r="B1606" s="8" t="s">
        <v>1459</v>
      </c>
      <c r="C1606" s="8" t="s">
        <v>8</v>
      </c>
      <c r="D1606" s="10">
        <v>45578</v>
      </c>
      <c r="E1606" s="9">
        <v>161083</v>
      </c>
      <c r="F1606" s="2" t="str">
        <f>INDEX(Vendors!E:E,MATCH(Vendor_Analysis!C1606,Vendors!A:A,0))</f>
        <v xml:space="preserve">60 </v>
      </c>
      <c r="G1606" s="2">
        <v>60</v>
      </c>
      <c r="H1606" s="16">
        <f t="shared" si="25"/>
        <v>45638</v>
      </c>
      <c r="J1606" s="2"/>
    </row>
    <row r="1607" spans="1:10" x14ac:dyDescent="0.25">
      <c r="A1607" s="8" t="s">
        <v>1474</v>
      </c>
      <c r="B1607" s="8" t="s">
        <v>1459</v>
      </c>
      <c r="C1607" s="8" t="s">
        <v>48</v>
      </c>
      <c r="D1607" s="10">
        <v>45578</v>
      </c>
      <c r="E1607" s="9">
        <v>193211</v>
      </c>
      <c r="F1607" s="2" t="str">
        <f>INDEX(Vendors!E:E,MATCH(Vendor_Analysis!C1607,Vendors!A:A,0))</f>
        <v xml:space="preserve"> 90</v>
      </c>
      <c r="G1607" s="2">
        <v>90</v>
      </c>
      <c r="H1607" s="16">
        <f t="shared" si="25"/>
        <v>45668</v>
      </c>
      <c r="J1607" s="2"/>
    </row>
    <row r="1608" spans="1:10" x14ac:dyDescent="0.25">
      <c r="A1608" s="8" t="s">
        <v>1475</v>
      </c>
      <c r="B1608" s="8" t="s">
        <v>1459</v>
      </c>
      <c r="C1608" s="8" t="s">
        <v>73</v>
      </c>
      <c r="D1608" s="10">
        <v>45586</v>
      </c>
      <c r="E1608" s="9">
        <v>124810</v>
      </c>
      <c r="F1608" s="2" t="str">
        <f>INDEX(Vendors!E:E,MATCH(Vendor_Analysis!C1608,Vendors!A:A,0))</f>
        <v xml:space="preserve">60 </v>
      </c>
      <c r="G1608" s="2">
        <v>60</v>
      </c>
      <c r="H1608" s="16">
        <f t="shared" si="25"/>
        <v>45646</v>
      </c>
      <c r="J1608" s="2"/>
    </row>
    <row r="1609" spans="1:10" x14ac:dyDescent="0.25">
      <c r="A1609" s="8" t="s">
        <v>1476</v>
      </c>
      <c r="B1609" s="8" t="s">
        <v>1459</v>
      </c>
      <c r="C1609" s="8" t="s">
        <v>55</v>
      </c>
      <c r="D1609" s="10">
        <v>45594</v>
      </c>
      <c r="E1609" s="9">
        <v>227142</v>
      </c>
      <c r="F1609" s="2" t="str">
        <f>INDEX(Vendors!E:E,MATCH(Vendor_Analysis!C1609,Vendors!A:A,0))</f>
        <v xml:space="preserve">30 </v>
      </c>
      <c r="G1609" s="2">
        <v>30</v>
      </c>
      <c r="H1609" s="16">
        <f t="shared" si="25"/>
        <v>45624</v>
      </c>
      <c r="J1609" s="2"/>
    </row>
    <row r="1610" spans="1:10" x14ac:dyDescent="0.25">
      <c r="A1610" s="8" t="s">
        <v>1477</v>
      </c>
      <c r="B1610" s="8" t="s">
        <v>1459</v>
      </c>
      <c r="C1610" s="8" t="s">
        <v>25</v>
      </c>
      <c r="D1610" s="10">
        <v>45637</v>
      </c>
      <c r="E1610" s="9">
        <v>100417</v>
      </c>
      <c r="F1610" s="2" t="str">
        <f>INDEX(Vendors!E:E,MATCH(Vendor_Analysis!C1610,Vendors!A:A,0))</f>
        <v xml:space="preserve">30 </v>
      </c>
      <c r="G1610" s="2">
        <v>30</v>
      </c>
      <c r="H1610" s="16">
        <f t="shared" si="25"/>
        <v>45667</v>
      </c>
      <c r="J1610" s="2"/>
    </row>
    <row r="1611" spans="1:10" x14ac:dyDescent="0.25">
      <c r="A1611" s="8" t="s">
        <v>1478</v>
      </c>
      <c r="B1611" s="8" t="s">
        <v>1459</v>
      </c>
      <c r="C1611" s="8" t="s">
        <v>110</v>
      </c>
      <c r="D1611" s="10">
        <v>45639</v>
      </c>
      <c r="E1611" s="9">
        <v>220563</v>
      </c>
      <c r="F1611" s="2" t="str">
        <f>INDEX(Vendors!E:E,MATCH(Vendor_Analysis!C1611,Vendors!A:A,0))</f>
        <v xml:space="preserve">30 </v>
      </c>
      <c r="G1611" s="2">
        <v>30</v>
      </c>
      <c r="H1611" s="16">
        <f t="shared" si="25"/>
        <v>45669</v>
      </c>
      <c r="J1611" s="2"/>
    </row>
    <row r="1612" spans="1:10" x14ac:dyDescent="0.25">
      <c r="A1612" s="8" t="s">
        <v>1479</v>
      </c>
      <c r="B1612" s="8" t="s">
        <v>1459</v>
      </c>
      <c r="C1612" s="8" t="s">
        <v>73</v>
      </c>
      <c r="D1612" s="10">
        <v>45646</v>
      </c>
      <c r="E1612" s="9">
        <v>90040</v>
      </c>
      <c r="F1612" s="2" t="str">
        <f>INDEX(Vendors!E:E,MATCH(Vendor_Analysis!C1612,Vendors!A:A,0))</f>
        <v xml:space="preserve">60 </v>
      </c>
      <c r="G1612" s="2">
        <v>60</v>
      </c>
      <c r="H1612" s="16">
        <f t="shared" si="25"/>
        <v>45706</v>
      </c>
      <c r="J1612" s="2"/>
    </row>
    <row r="1613" spans="1:10" x14ac:dyDescent="0.25">
      <c r="A1613" s="8" t="s">
        <v>1480</v>
      </c>
      <c r="B1613" s="8" t="s">
        <v>1459</v>
      </c>
      <c r="C1613" s="8" t="s">
        <v>50</v>
      </c>
      <c r="D1613" s="10">
        <v>45667</v>
      </c>
      <c r="E1613" s="9">
        <v>222426</v>
      </c>
      <c r="F1613" s="2" t="str">
        <f>INDEX(Vendors!E:E,MATCH(Vendor_Analysis!C1613,Vendors!A:A,0))</f>
        <v xml:space="preserve"> 90</v>
      </c>
      <c r="G1613" s="2">
        <v>90</v>
      </c>
      <c r="H1613" s="16">
        <f t="shared" si="25"/>
        <v>45757</v>
      </c>
      <c r="J1613" s="2"/>
    </row>
    <row r="1614" spans="1:10" x14ac:dyDescent="0.25">
      <c r="A1614" s="8" t="s">
        <v>1481</v>
      </c>
      <c r="B1614" s="8" t="s">
        <v>1459</v>
      </c>
      <c r="C1614" s="8" t="s">
        <v>19</v>
      </c>
      <c r="D1614" s="10">
        <v>45691</v>
      </c>
      <c r="E1614" s="9">
        <v>179562</v>
      </c>
      <c r="F1614" s="2" t="str">
        <f>INDEX(Vendors!E:E,MATCH(Vendor_Analysis!C1614,Vendors!A:A,0))</f>
        <v xml:space="preserve">45 </v>
      </c>
      <c r="G1614" s="2">
        <v>45</v>
      </c>
      <c r="H1614" s="16">
        <f t="shared" si="25"/>
        <v>45736</v>
      </c>
      <c r="J1614" s="2"/>
    </row>
    <row r="1615" spans="1:10" x14ac:dyDescent="0.25">
      <c r="A1615" s="8" t="s">
        <v>1482</v>
      </c>
      <c r="B1615" s="8" t="s">
        <v>1459</v>
      </c>
      <c r="C1615" s="8" t="s">
        <v>108</v>
      </c>
      <c r="D1615" s="10">
        <v>45695</v>
      </c>
      <c r="E1615" s="9">
        <v>110587</v>
      </c>
      <c r="F1615" s="2" t="str">
        <f>INDEX(Vendors!E:E,MATCH(Vendor_Analysis!C1615,Vendors!A:A,0))</f>
        <v xml:space="preserve"> 90</v>
      </c>
      <c r="G1615" s="2">
        <v>90</v>
      </c>
      <c r="H1615" s="16">
        <f t="shared" si="25"/>
        <v>45785</v>
      </c>
      <c r="J1615" s="2"/>
    </row>
    <row r="1616" spans="1:10" x14ac:dyDescent="0.25">
      <c r="A1616" s="8" t="s">
        <v>1483</v>
      </c>
      <c r="B1616" s="8" t="s">
        <v>1459</v>
      </c>
      <c r="C1616" s="8" t="s">
        <v>37</v>
      </c>
      <c r="D1616" s="10">
        <v>45698</v>
      </c>
      <c r="E1616" s="9">
        <v>95042</v>
      </c>
      <c r="F1616" s="2" t="str">
        <f>INDEX(Vendors!E:E,MATCH(Vendor_Analysis!C1616,Vendors!A:A,0))</f>
        <v xml:space="preserve">30 </v>
      </c>
      <c r="G1616" s="2">
        <v>30</v>
      </c>
      <c r="H1616" s="16">
        <f t="shared" si="25"/>
        <v>45728</v>
      </c>
      <c r="J1616" s="2"/>
    </row>
    <row r="1617" spans="1:10" x14ac:dyDescent="0.25">
      <c r="A1617" s="8" t="s">
        <v>1484</v>
      </c>
      <c r="B1617" s="8" t="s">
        <v>1459</v>
      </c>
      <c r="C1617" s="8" t="s">
        <v>25</v>
      </c>
      <c r="D1617" s="10">
        <v>45710</v>
      </c>
      <c r="E1617" s="9">
        <v>196323</v>
      </c>
      <c r="F1617" s="2" t="str">
        <f>INDEX(Vendors!E:E,MATCH(Vendor_Analysis!C1617,Vendors!A:A,0))</f>
        <v xml:space="preserve">30 </v>
      </c>
      <c r="G1617" s="2">
        <v>30</v>
      </c>
      <c r="H1617" s="16">
        <f t="shared" si="25"/>
        <v>45740</v>
      </c>
      <c r="J1617" s="2"/>
    </row>
    <row r="1618" spans="1:10" x14ac:dyDescent="0.25">
      <c r="A1618" s="8" t="s">
        <v>1485</v>
      </c>
      <c r="B1618" s="8" t="s">
        <v>1459</v>
      </c>
      <c r="C1618" s="8" t="s">
        <v>21</v>
      </c>
      <c r="D1618" s="10">
        <v>45729</v>
      </c>
      <c r="E1618" s="9">
        <v>172529</v>
      </c>
      <c r="F1618" s="2" t="str">
        <f>INDEX(Vendors!E:E,MATCH(Vendor_Analysis!C1618,Vendors!A:A,0))</f>
        <v xml:space="preserve"> 90</v>
      </c>
      <c r="G1618" s="2">
        <v>90</v>
      </c>
      <c r="H1618" s="16">
        <f t="shared" si="25"/>
        <v>45819</v>
      </c>
      <c r="J1618" s="2"/>
    </row>
    <row r="1619" spans="1:10" x14ac:dyDescent="0.25">
      <c r="A1619" s="8" t="s">
        <v>1486</v>
      </c>
      <c r="B1619" s="8" t="s">
        <v>1459</v>
      </c>
      <c r="C1619" s="8" t="s">
        <v>108</v>
      </c>
      <c r="D1619" s="10">
        <v>45749</v>
      </c>
      <c r="E1619" s="9">
        <v>128627</v>
      </c>
      <c r="F1619" s="2" t="str">
        <f>INDEX(Vendors!E:E,MATCH(Vendor_Analysis!C1619,Vendors!A:A,0))</f>
        <v xml:space="preserve"> 90</v>
      </c>
      <c r="G1619" s="2">
        <v>90</v>
      </c>
      <c r="H1619" s="16">
        <f t="shared" si="25"/>
        <v>45839</v>
      </c>
      <c r="J1619" s="2"/>
    </row>
    <row r="1620" spans="1:10" x14ac:dyDescent="0.25">
      <c r="A1620" s="8" t="s">
        <v>1487</v>
      </c>
      <c r="B1620" s="8" t="s">
        <v>1459</v>
      </c>
      <c r="C1620" s="8" t="s">
        <v>23</v>
      </c>
      <c r="D1620" s="10">
        <v>45758</v>
      </c>
      <c r="E1620" s="9">
        <v>640945</v>
      </c>
      <c r="F1620" s="2" t="str">
        <f>INDEX(Vendors!E:E,MATCH(Vendor_Analysis!C1620,Vendors!A:A,0))</f>
        <v xml:space="preserve"> 90</v>
      </c>
      <c r="G1620" s="2">
        <v>90</v>
      </c>
      <c r="H1620" s="16">
        <f t="shared" si="25"/>
        <v>45848</v>
      </c>
      <c r="J1620" s="2"/>
    </row>
    <row r="1621" spans="1:10" x14ac:dyDescent="0.25">
      <c r="A1621" s="8" t="s">
        <v>1488</v>
      </c>
      <c r="B1621" s="8" t="s">
        <v>1459</v>
      </c>
      <c r="C1621" s="8" t="s">
        <v>110</v>
      </c>
      <c r="D1621" s="10">
        <v>45766</v>
      </c>
      <c r="E1621" s="9">
        <v>122905</v>
      </c>
      <c r="F1621" s="2" t="str">
        <f>INDEX(Vendors!E:E,MATCH(Vendor_Analysis!C1621,Vendors!A:A,0))</f>
        <v xml:space="preserve">30 </v>
      </c>
      <c r="G1621" s="2">
        <v>30</v>
      </c>
      <c r="H1621" s="16">
        <f t="shared" si="25"/>
        <v>45796</v>
      </c>
      <c r="J1621" s="2"/>
    </row>
    <row r="1622" spans="1:10" x14ac:dyDescent="0.25">
      <c r="A1622" s="8" t="s">
        <v>1489</v>
      </c>
      <c r="B1622" s="8" t="s">
        <v>1459</v>
      </c>
      <c r="C1622" s="8" t="s">
        <v>21</v>
      </c>
      <c r="D1622" s="10">
        <v>45769</v>
      </c>
      <c r="E1622" s="9">
        <v>670596</v>
      </c>
      <c r="F1622" s="2" t="str">
        <f>INDEX(Vendors!E:E,MATCH(Vendor_Analysis!C1622,Vendors!A:A,0))</f>
        <v xml:space="preserve"> 90</v>
      </c>
      <c r="G1622" s="2">
        <v>90</v>
      </c>
      <c r="H1622" s="16">
        <f t="shared" si="25"/>
        <v>45859</v>
      </c>
      <c r="J1622" s="2"/>
    </row>
    <row r="1623" spans="1:10" x14ac:dyDescent="0.25">
      <c r="A1623" s="8" t="s">
        <v>1490</v>
      </c>
      <c r="B1623" s="8" t="s">
        <v>1459</v>
      </c>
      <c r="C1623" s="8" t="s">
        <v>29</v>
      </c>
      <c r="D1623" s="10">
        <v>45775</v>
      </c>
      <c r="E1623" s="9">
        <v>134990</v>
      </c>
      <c r="F1623" s="2" t="str">
        <f>INDEX(Vendors!E:E,MATCH(Vendor_Analysis!C1623,Vendors!A:A,0))</f>
        <v xml:space="preserve">30 </v>
      </c>
      <c r="G1623" s="2">
        <v>30</v>
      </c>
      <c r="H1623" s="16">
        <f t="shared" si="25"/>
        <v>45805</v>
      </c>
      <c r="J1623" s="2"/>
    </row>
    <row r="1624" spans="1:10" x14ac:dyDescent="0.25">
      <c r="A1624" s="8" t="s">
        <v>1491</v>
      </c>
      <c r="B1624" s="8" t="s">
        <v>1492</v>
      </c>
      <c r="C1624" s="8" t="s">
        <v>25</v>
      </c>
      <c r="D1624" s="10">
        <v>45394</v>
      </c>
      <c r="E1624" s="9">
        <v>34492</v>
      </c>
      <c r="F1624" s="2" t="str">
        <f>INDEX(Vendors!E:E,MATCH(Vendor_Analysis!C1624,Vendors!A:A,0))</f>
        <v xml:space="preserve">30 </v>
      </c>
      <c r="G1624" s="2">
        <v>30</v>
      </c>
      <c r="H1624" s="16">
        <f t="shared" si="25"/>
        <v>45424</v>
      </c>
      <c r="J1624" s="2"/>
    </row>
    <row r="1625" spans="1:10" x14ac:dyDescent="0.25">
      <c r="A1625" s="8" t="s">
        <v>1493</v>
      </c>
      <c r="B1625" s="8" t="s">
        <v>1492</v>
      </c>
      <c r="C1625" s="8" t="s">
        <v>50</v>
      </c>
      <c r="D1625" s="10">
        <v>45412</v>
      </c>
      <c r="E1625" s="9">
        <v>15108</v>
      </c>
      <c r="F1625" s="2" t="str">
        <f>INDEX(Vendors!E:E,MATCH(Vendor_Analysis!C1625,Vendors!A:A,0))</f>
        <v xml:space="preserve"> 90</v>
      </c>
      <c r="G1625" s="2">
        <v>90</v>
      </c>
      <c r="H1625" s="16">
        <f t="shared" si="25"/>
        <v>45502</v>
      </c>
      <c r="J1625" s="2"/>
    </row>
    <row r="1626" spans="1:10" x14ac:dyDescent="0.25">
      <c r="A1626" s="8" t="s">
        <v>1494</v>
      </c>
      <c r="B1626" s="8" t="s">
        <v>1492</v>
      </c>
      <c r="C1626" s="8" t="s">
        <v>108</v>
      </c>
      <c r="D1626" s="10">
        <v>45421</v>
      </c>
      <c r="E1626" s="9">
        <v>22832</v>
      </c>
      <c r="F1626" s="2" t="str">
        <f>INDEX(Vendors!E:E,MATCH(Vendor_Analysis!C1626,Vendors!A:A,0))</f>
        <v xml:space="preserve"> 90</v>
      </c>
      <c r="G1626" s="2">
        <v>90</v>
      </c>
      <c r="H1626" s="16">
        <f t="shared" si="25"/>
        <v>45511</v>
      </c>
      <c r="J1626" s="2"/>
    </row>
    <row r="1627" spans="1:10" x14ac:dyDescent="0.25">
      <c r="A1627" s="8" t="s">
        <v>1495</v>
      </c>
      <c r="B1627" s="8" t="s">
        <v>1492</v>
      </c>
      <c r="C1627" s="8" t="s">
        <v>33</v>
      </c>
      <c r="D1627" s="10">
        <v>45422</v>
      </c>
      <c r="E1627" s="9">
        <v>29380</v>
      </c>
      <c r="F1627" s="2" t="str">
        <f>INDEX(Vendors!E:E,MATCH(Vendor_Analysis!C1627,Vendors!A:A,0))</f>
        <v xml:space="preserve">30 </v>
      </c>
      <c r="G1627" s="2">
        <v>30</v>
      </c>
      <c r="H1627" s="16">
        <f t="shared" si="25"/>
        <v>45452</v>
      </c>
      <c r="J1627" s="2"/>
    </row>
    <row r="1628" spans="1:10" x14ac:dyDescent="0.25">
      <c r="A1628" s="8" t="s">
        <v>1496</v>
      </c>
      <c r="B1628" s="8" t="s">
        <v>1492</v>
      </c>
      <c r="C1628" s="8" t="s">
        <v>12</v>
      </c>
      <c r="D1628" s="10">
        <v>45425</v>
      </c>
      <c r="E1628" s="9">
        <v>30509</v>
      </c>
      <c r="F1628" s="2" t="str">
        <f>INDEX(Vendors!E:E,MATCH(Vendor_Analysis!C1628,Vendors!A:A,0))</f>
        <v xml:space="preserve">30 </v>
      </c>
      <c r="G1628" s="2">
        <v>30</v>
      </c>
      <c r="H1628" s="16">
        <f t="shared" si="25"/>
        <v>45455</v>
      </c>
      <c r="J1628" s="2"/>
    </row>
    <row r="1629" spans="1:10" x14ac:dyDescent="0.25">
      <c r="A1629" s="8" t="s">
        <v>1497</v>
      </c>
      <c r="B1629" s="8" t="s">
        <v>1492</v>
      </c>
      <c r="C1629" s="8" t="s">
        <v>25</v>
      </c>
      <c r="D1629" s="10">
        <v>45430</v>
      </c>
      <c r="E1629" s="9">
        <v>22022</v>
      </c>
      <c r="F1629" s="2" t="str">
        <f>INDEX(Vendors!E:E,MATCH(Vendor_Analysis!C1629,Vendors!A:A,0))</f>
        <v xml:space="preserve">30 </v>
      </c>
      <c r="G1629" s="2">
        <v>30</v>
      </c>
      <c r="H1629" s="16">
        <f t="shared" si="25"/>
        <v>45460</v>
      </c>
      <c r="J1629" s="2"/>
    </row>
    <row r="1630" spans="1:10" x14ac:dyDescent="0.25">
      <c r="A1630" s="8" t="s">
        <v>1498</v>
      </c>
      <c r="B1630" s="8" t="s">
        <v>1492</v>
      </c>
      <c r="C1630" s="8" t="s">
        <v>55</v>
      </c>
      <c r="D1630" s="10">
        <v>45430</v>
      </c>
      <c r="E1630" s="9">
        <v>22410</v>
      </c>
      <c r="F1630" s="2" t="str">
        <f>INDEX(Vendors!E:E,MATCH(Vendor_Analysis!C1630,Vendors!A:A,0))</f>
        <v xml:space="preserve">30 </v>
      </c>
      <c r="G1630" s="2">
        <v>30</v>
      </c>
      <c r="H1630" s="16">
        <f t="shared" si="25"/>
        <v>45460</v>
      </c>
      <c r="J1630" s="2"/>
    </row>
    <row r="1631" spans="1:10" x14ac:dyDescent="0.25">
      <c r="A1631" s="8" t="s">
        <v>1499</v>
      </c>
      <c r="B1631" s="8" t="s">
        <v>1492</v>
      </c>
      <c r="C1631" s="8" t="s">
        <v>8</v>
      </c>
      <c r="D1631" s="10">
        <v>45440</v>
      </c>
      <c r="E1631" s="9">
        <v>16032</v>
      </c>
      <c r="F1631" s="2" t="str">
        <f>INDEX(Vendors!E:E,MATCH(Vendor_Analysis!C1631,Vendors!A:A,0))</f>
        <v xml:space="preserve">60 </v>
      </c>
      <c r="G1631" s="2">
        <v>60</v>
      </c>
      <c r="H1631" s="16">
        <f t="shared" si="25"/>
        <v>45500</v>
      </c>
      <c r="J1631" s="2"/>
    </row>
    <row r="1632" spans="1:10" x14ac:dyDescent="0.25">
      <c r="A1632" s="8" t="s">
        <v>1500</v>
      </c>
      <c r="B1632" s="8" t="s">
        <v>1492</v>
      </c>
      <c r="C1632" s="8" t="s">
        <v>109</v>
      </c>
      <c r="D1632" s="10">
        <v>45475</v>
      </c>
      <c r="E1632" s="9">
        <v>33129</v>
      </c>
      <c r="F1632" s="2" t="str">
        <f>INDEX(Vendors!E:E,MATCH(Vendor_Analysis!C1632,Vendors!A:A,0))</f>
        <v xml:space="preserve">30 </v>
      </c>
      <c r="G1632" s="2">
        <v>30</v>
      </c>
      <c r="H1632" s="16">
        <f t="shared" si="25"/>
        <v>45505</v>
      </c>
      <c r="J1632" s="2"/>
    </row>
    <row r="1633" spans="1:10" x14ac:dyDescent="0.25">
      <c r="A1633" s="8" t="s">
        <v>1501</v>
      </c>
      <c r="B1633" s="8" t="s">
        <v>1492</v>
      </c>
      <c r="C1633" s="8" t="s">
        <v>6</v>
      </c>
      <c r="D1633" s="10">
        <v>45496</v>
      </c>
      <c r="E1633" s="9">
        <v>36329</v>
      </c>
      <c r="F1633" s="2" t="str">
        <f>INDEX(Vendors!E:E,MATCH(Vendor_Analysis!C1633,Vendors!A:A,0))</f>
        <v xml:space="preserve">60 </v>
      </c>
      <c r="G1633" s="2">
        <v>60</v>
      </c>
      <c r="H1633" s="16">
        <f t="shared" si="25"/>
        <v>45556</v>
      </c>
      <c r="J1633" s="2"/>
    </row>
    <row r="1634" spans="1:10" x14ac:dyDescent="0.25">
      <c r="A1634" s="8" t="s">
        <v>1502</v>
      </c>
      <c r="B1634" s="8" t="s">
        <v>1492</v>
      </c>
      <c r="C1634" s="8" t="s">
        <v>19</v>
      </c>
      <c r="D1634" s="10">
        <v>45501</v>
      </c>
      <c r="E1634" s="9">
        <v>26526</v>
      </c>
      <c r="F1634" s="2" t="str">
        <f>INDEX(Vendors!E:E,MATCH(Vendor_Analysis!C1634,Vendors!A:A,0))</f>
        <v xml:space="preserve">45 </v>
      </c>
      <c r="G1634" s="2">
        <v>45</v>
      </c>
      <c r="H1634" s="16">
        <f t="shared" si="25"/>
        <v>45546</v>
      </c>
      <c r="J1634" s="2"/>
    </row>
    <row r="1635" spans="1:10" x14ac:dyDescent="0.25">
      <c r="A1635" s="8" t="s">
        <v>1503</v>
      </c>
      <c r="B1635" s="8" t="s">
        <v>1492</v>
      </c>
      <c r="C1635" s="8" t="s">
        <v>50</v>
      </c>
      <c r="D1635" s="10">
        <v>45525</v>
      </c>
      <c r="E1635" s="9">
        <v>15797</v>
      </c>
      <c r="F1635" s="2" t="str">
        <f>INDEX(Vendors!E:E,MATCH(Vendor_Analysis!C1635,Vendors!A:A,0))</f>
        <v xml:space="preserve"> 90</v>
      </c>
      <c r="G1635" s="2">
        <v>90</v>
      </c>
      <c r="H1635" s="16">
        <f t="shared" si="25"/>
        <v>45615</v>
      </c>
      <c r="J1635" s="2"/>
    </row>
    <row r="1636" spans="1:10" x14ac:dyDescent="0.25">
      <c r="A1636" s="8" t="s">
        <v>1504</v>
      </c>
      <c r="B1636" s="8" t="s">
        <v>1492</v>
      </c>
      <c r="C1636" s="8" t="s">
        <v>50</v>
      </c>
      <c r="D1636" s="10">
        <v>45557</v>
      </c>
      <c r="E1636" s="9">
        <v>24181</v>
      </c>
      <c r="F1636" s="2" t="str">
        <f>INDEX(Vendors!E:E,MATCH(Vendor_Analysis!C1636,Vendors!A:A,0))</f>
        <v xml:space="preserve"> 90</v>
      </c>
      <c r="G1636" s="2">
        <v>90</v>
      </c>
      <c r="H1636" s="16">
        <f t="shared" si="25"/>
        <v>45647</v>
      </c>
      <c r="J1636" s="2"/>
    </row>
    <row r="1637" spans="1:10" x14ac:dyDescent="0.25">
      <c r="A1637" s="8" t="s">
        <v>1505</v>
      </c>
      <c r="B1637" s="8" t="s">
        <v>1492</v>
      </c>
      <c r="C1637" s="8" t="s">
        <v>25</v>
      </c>
      <c r="D1637" s="10">
        <v>45565</v>
      </c>
      <c r="E1637" s="9">
        <v>13234</v>
      </c>
      <c r="F1637" s="2" t="str">
        <f>INDEX(Vendors!E:E,MATCH(Vendor_Analysis!C1637,Vendors!A:A,0))</f>
        <v xml:space="preserve">30 </v>
      </c>
      <c r="G1637" s="2">
        <v>30</v>
      </c>
      <c r="H1637" s="16">
        <f t="shared" si="25"/>
        <v>45595</v>
      </c>
      <c r="J1637" s="2"/>
    </row>
    <row r="1638" spans="1:10" x14ac:dyDescent="0.25">
      <c r="A1638" s="8" t="s">
        <v>1506</v>
      </c>
      <c r="B1638" s="8" t="s">
        <v>1492</v>
      </c>
      <c r="C1638" s="8" t="s">
        <v>23</v>
      </c>
      <c r="D1638" s="10">
        <v>45576</v>
      </c>
      <c r="E1638" s="9">
        <v>28206</v>
      </c>
      <c r="F1638" s="2" t="str">
        <f>INDEX(Vendors!E:E,MATCH(Vendor_Analysis!C1638,Vendors!A:A,0))</f>
        <v xml:space="preserve"> 90</v>
      </c>
      <c r="G1638" s="2">
        <v>90</v>
      </c>
      <c r="H1638" s="16">
        <f t="shared" si="25"/>
        <v>45666</v>
      </c>
      <c r="J1638" s="2"/>
    </row>
    <row r="1639" spans="1:10" x14ac:dyDescent="0.25">
      <c r="A1639" s="8" t="s">
        <v>1507</v>
      </c>
      <c r="B1639" s="8" t="s">
        <v>1492</v>
      </c>
      <c r="C1639" s="8" t="s">
        <v>110</v>
      </c>
      <c r="D1639" s="10">
        <v>45584</v>
      </c>
      <c r="E1639" s="9">
        <v>24667</v>
      </c>
      <c r="F1639" s="2" t="str">
        <f>INDEX(Vendors!E:E,MATCH(Vendor_Analysis!C1639,Vendors!A:A,0))</f>
        <v xml:space="preserve">30 </v>
      </c>
      <c r="G1639" s="2">
        <v>30</v>
      </c>
      <c r="H1639" s="16">
        <f t="shared" si="25"/>
        <v>45614</v>
      </c>
      <c r="J1639" s="2"/>
    </row>
    <row r="1640" spans="1:10" x14ac:dyDescent="0.25">
      <c r="A1640" s="8" t="s">
        <v>1508</v>
      </c>
      <c r="B1640" s="8" t="s">
        <v>1492</v>
      </c>
      <c r="C1640" s="8" t="s">
        <v>19</v>
      </c>
      <c r="D1640" s="10">
        <v>45592</v>
      </c>
      <c r="E1640" s="9">
        <v>27428</v>
      </c>
      <c r="F1640" s="2" t="str">
        <f>INDEX(Vendors!E:E,MATCH(Vendor_Analysis!C1640,Vendors!A:A,0))</f>
        <v xml:space="preserve">45 </v>
      </c>
      <c r="G1640" s="2">
        <v>45</v>
      </c>
      <c r="H1640" s="16">
        <f t="shared" si="25"/>
        <v>45637</v>
      </c>
      <c r="J1640" s="2"/>
    </row>
    <row r="1641" spans="1:10" x14ac:dyDescent="0.25">
      <c r="A1641" s="8" t="s">
        <v>1509</v>
      </c>
      <c r="B1641" s="8" t="s">
        <v>1492</v>
      </c>
      <c r="C1641" s="8" t="s">
        <v>12</v>
      </c>
      <c r="D1641" s="10">
        <v>45606</v>
      </c>
      <c r="E1641" s="9">
        <v>40173</v>
      </c>
      <c r="F1641" s="2" t="str">
        <f>INDEX(Vendors!E:E,MATCH(Vendor_Analysis!C1641,Vendors!A:A,0))</f>
        <v xml:space="preserve">30 </v>
      </c>
      <c r="G1641" s="2">
        <v>30</v>
      </c>
      <c r="H1641" s="16">
        <f t="shared" si="25"/>
        <v>45636</v>
      </c>
      <c r="J1641" s="2"/>
    </row>
    <row r="1642" spans="1:10" x14ac:dyDescent="0.25">
      <c r="A1642" s="8" t="s">
        <v>1510</v>
      </c>
      <c r="B1642" s="8" t="s">
        <v>1492</v>
      </c>
      <c r="C1642" s="8" t="s">
        <v>48</v>
      </c>
      <c r="D1642" s="10">
        <v>45609</v>
      </c>
      <c r="E1642" s="9">
        <v>10892</v>
      </c>
      <c r="F1642" s="2" t="str">
        <f>INDEX(Vendors!E:E,MATCH(Vendor_Analysis!C1642,Vendors!A:A,0))</f>
        <v xml:space="preserve"> 90</v>
      </c>
      <c r="G1642" s="2">
        <v>90</v>
      </c>
      <c r="H1642" s="16">
        <f t="shared" si="25"/>
        <v>45699</v>
      </c>
      <c r="J1642" s="2"/>
    </row>
    <row r="1643" spans="1:10" x14ac:dyDescent="0.25">
      <c r="A1643" s="8" t="s">
        <v>1511</v>
      </c>
      <c r="B1643" s="8" t="s">
        <v>1492</v>
      </c>
      <c r="C1643" s="8" t="s">
        <v>48</v>
      </c>
      <c r="D1643" s="10">
        <v>45624</v>
      </c>
      <c r="E1643" s="9">
        <v>30193</v>
      </c>
      <c r="F1643" s="2" t="str">
        <f>INDEX(Vendors!E:E,MATCH(Vendor_Analysis!C1643,Vendors!A:A,0))</f>
        <v xml:space="preserve"> 90</v>
      </c>
      <c r="G1643" s="2">
        <v>90</v>
      </c>
      <c r="H1643" s="16">
        <f t="shared" si="25"/>
        <v>45714</v>
      </c>
      <c r="J1643" s="2"/>
    </row>
    <row r="1644" spans="1:10" x14ac:dyDescent="0.25">
      <c r="A1644" s="8" t="s">
        <v>1512</v>
      </c>
      <c r="B1644" s="8" t="s">
        <v>1492</v>
      </c>
      <c r="C1644" s="8" t="s">
        <v>108</v>
      </c>
      <c r="D1644" s="10">
        <v>45626</v>
      </c>
      <c r="E1644" s="9">
        <v>19487</v>
      </c>
      <c r="F1644" s="2" t="str">
        <f>INDEX(Vendors!E:E,MATCH(Vendor_Analysis!C1644,Vendors!A:A,0))</f>
        <v xml:space="preserve"> 90</v>
      </c>
      <c r="G1644" s="2">
        <v>90</v>
      </c>
      <c r="H1644" s="16">
        <f t="shared" si="25"/>
        <v>45716</v>
      </c>
      <c r="J1644" s="2"/>
    </row>
    <row r="1645" spans="1:10" x14ac:dyDescent="0.25">
      <c r="A1645" s="8" t="s">
        <v>1513</v>
      </c>
      <c r="B1645" s="8" t="s">
        <v>1492</v>
      </c>
      <c r="C1645" s="8" t="s">
        <v>91</v>
      </c>
      <c r="D1645" s="10">
        <v>45632</v>
      </c>
      <c r="E1645" s="9">
        <v>15179</v>
      </c>
      <c r="F1645" s="2" t="str">
        <f>INDEX(Vendors!E:E,MATCH(Vendor_Analysis!C1645,Vendors!A:A,0))</f>
        <v xml:space="preserve">60 </v>
      </c>
      <c r="G1645" s="2">
        <v>60</v>
      </c>
      <c r="H1645" s="16">
        <f t="shared" si="25"/>
        <v>45692</v>
      </c>
      <c r="J1645" s="2"/>
    </row>
    <row r="1646" spans="1:10" x14ac:dyDescent="0.25">
      <c r="A1646" s="8" t="s">
        <v>1514</v>
      </c>
      <c r="B1646" s="8" t="s">
        <v>1492</v>
      </c>
      <c r="C1646" s="8" t="s">
        <v>108</v>
      </c>
      <c r="D1646" s="10">
        <v>45648</v>
      </c>
      <c r="E1646" s="9">
        <v>25890</v>
      </c>
      <c r="F1646" s="2" t="str">
        <f>INDEX(Vendors!E:E,MATCH(Vendor_Analysis!C1646,Vendors!A:A,0))</f>
        <v xml:space="preserve"> 90</v>
      </c>
      <c r="G1646" s="2">
        <v>90</v>
      </c>
      <c r="H1646" s="16">
        <f t="shared" si="25"/>
        <v>45738</v>
      </c>
      <c r="J1646" s="2"/>
    </row>
    <row r="1647" spans="1:10" x14ac:dyDescent="0.25">
      <c r="A1647" s="8" t="s">
        <v>1515</v>
      </c>
      <c r="B1647" s="8" t="s">
        <v>1492</v>
      </c>
      <c r="C1647" s="8" t="s">
        <v>19</v>
      </c>
      <c r="D1647" s="10">
        <v>45655</v>
      </c>
      <c r="E1647" s="9">
        <v>19289</v>
      </c>
      <c r="F1647" s="2" t="str">
        <f>INDEX(Vendors!E:E,MATCH(Vendor_Analysis!C1647,Vendors!A:A,0))</f>
        <v xml:space="preserve">45 </v>
      </c>
      <c r="G1647" s="2">
        <v>45</v>
      </c>
      <c r="H1647" s="16">
        <f t="shared" si="25"/>
        <v>45700</v>
      </c>
      <c r="J1647" s="2"/>
    </row>
    <row r="1648" spans="1:10" x14ac:dyDescent="0.25">
      <c r="A1648" s="8" t="s">
        <v>1516</v>
      </c>
      <c r="B1648" s="8" t="s">
        <v>1492</v>
      </c>
      <c r="C1648" s="8" t="s">
        <v>48</v>
      </c>
      <c r="D1648" s="10">
        <v>45669</v>
      </c>
      <c r="E1648" s="9">
        <v>26227</v>
      </c>
      <c r="F1648" s="2" t="str">
        <f>INDEX(Vendors!E:E,MATCH(Vendor_Analysis!C1648,Vendors!A:A,0))</f>
        <v xml:space="preserve"> 90</v>
      </c>
      <c r="G1648" s="2">
        <v>90</v>
      </c>
      <c r="H1648" s="16">
        <f t="shared" si="25"/>
        <v>45759</v>
      </c>
      <c r="J1648" s="2"/>
    </row>
    <row r="1649" spans="1:10" x14ac:dyDescent="0.25">
      <c r="A1649" s="8" t="s">
        <v>1517</v>
      </c>
      <c r="B1649" s="8" t="s">
        <v>1492</v>
      </c>
      <c r="C1649" s="8" t="s">
        <v>37</v>
      </c>
      <c r="D1649" s="10">
        <v>45673</v>
      </c>
      <c r="E1649" s="9">
        <v>26937</v>
      </c>
      <c r="F1649" s="2" t="str">
        <f>INDEX(Vendors!E:E,MATCH(Vendor_Analysis!C1649,Vendors!A:A,0))</f>
        <v xml:space="preserve">30 </v>
      </c>
      <c r="G1649" s="2">
        <v>30</v>
      </c>
      <c r="H1649" s="16">
        <f t="shared" si="25"/>
        <v>45703</v>
      </c>
      <c r="J1649" s="2"/>
    </row>
    <row r="1650" spans="1:10" x14ac:dyDescent="0.25">
      <c r="A1650" s="8" t="s">
        <v>1518</v>
      </c>
      <c r="B1650" s="8" t="s">
        <v>1492</v>
      </c>
      <c r="C1650" s="8" t="s">
        <v>110</v>
      </c>
      <c r="D1650" s="10">
        <v>45673</v>
      </c>
      <c r="E1650" s="9">
        <v>64855</v>
      </c>
      <c r="F1650" s="2" t="str">
        <f>INDEX(Vendors!E:E,MATCH(Vendor_Analysis!C1650,Vendors!A:A,0))</f>
        <v xml:space="preserve">30 </v>
      </c>
      <c r="G1650" s="2">
        <v>30</v>
      </c>
      <c r="H1650" s="16">
        <f t="shared" si="25"/>
        <v>45703</v>
      </c>
      <c r="J1650" s="2"/>
    </row>
    <row r="1651" spans="1:10" x14ac:dyDescent="0.25">
      <c r="A1651" s="8" t="s">
        <v>1519</v>
      </c>
      <c r="B1651" s="8" t="s">
        <v>1492</v>
      </c>
      <c r="C1651" s="8" t="s">
        <v>48</v>
      </c>
      <c r="D1651" s="10">
        <v>45673</v>
      </c>
      <c r="E1651" s="9">
        <v>13199</v>
      </c>
      <c r="F1651" s="2" t="str">
        <f>INDEX(Vendors!E:E,MATCH(Vendor_Analysis!C1651,Vendors!A:A,0))</f>
        <v xml:space="preserve"> 90</v>
      </c>
      <c r="G1651" s="2">
        <v>90</v>
      </c>
      <c r="H1651" s="16">
        <f t="shared" si="25"/>
        <v>45763</v>
      </c>
      <c r="J1651" s="2"/>
    </row>
    <row r="1652" spans="1:10" x14ac:dyDescent="0.25">
      <c r="A1652" s="8" t="s">
        <v>1520</v>
      </c>
      <c r="B1652" s="8" t="s">
        <v>1492</v>
      </c>
      <c r="C1652" s="8" t="s">
        <v>8</v>
      </c>
      <c r="D1652" s="10">
        <v>45682</v>
      </c>
      <c r="E1652" s="9">
        <v>23653</v>
      </c>
      <c r="F1652" s="2" t="str">
        <f>INDEX(Vendors!E:E,MATCH(Vendor_Analysis!C1652,Vendors!A:A,0))</f>
        <v xml:space="preserve">60 </v>
      </c>
      <c r="G1652" s="2">
        <v>60</v>
      </c>
      <c r="H1652" s="16">
        <f t="shared" si="25"/>
        <v>45742</v>
      </c>
      <c r="J1652" s="2"/>
    </row>
    <row r="1653" spans="1:10" x14ac:dyDescent="0.25">
      <c r="A1653" s="8" t="s">
        <v>1521</v>
      </c>
      <c r="B1653" s="8" t="s">
        <v>1492</v>
      </c>
      <c r="C1653" s="8" t="s">
        <v>14</v>
      </c>
      <c r="D1653" s="10">
        <v>45707</v>
      </c>
      <c r="E1653" s="9">
        <v>59235</v>
      </c>
      <c r="F1653" s="2" t="str">
        <f>INDEX(Vendors!E:E,MATCH(Vendor_Analysis!C1653,Vendors!A:A,0))</f>
        <v xml:space="preserve"> 90</v>
      </c>
      <c r="G1653" s="2">
        <v>90</v>
      </c>
      <c r="H1653" s="16">
        <f t="shared" si="25"/>
        <v>45797</v>
      </c>
      <c r="J1653" s="2"/>
    </row>
    <row r="1654" spans="1:10" x14ac:dyDescent="0.25">
      <c r="A1654" s="8" t="s">
        <v>1522</v>
      </c>
      <c r="B1654" s="8" t="s">
        <v>1492</v>
      </c>
      <c r="C1654" s="8" t="s">
        <v>35</v>
      </c>
      <c r="D1654" s="10">
        <v>45709</v>
      </c>
      <c r="E1654" s="9">
        <v>30899</v>
      </c>
      <c r="F1654" s="2" t="str">
        <f>INDEX(Vendors!E:E,MATCH(Vendor_Analysis!C1654,Vendors!A:A,0))</f>
        <v xml:space="preserve">60 </v>
      </c>
      <c r="G1654" s="2">
        <v>60</v>
      </c>
      <c r="H1654" s="16">
        <f t="shared" si="25"/>
        <v>45769</v>
      </c>
      <c r="J1654" s="2"/>
    </row>
    <row r="1655" spans="1:10" x14ac:dyDescent="0.25">
      <c r="A1655" s="8" t="s">
        <v>1523</v>
      </c>
      <c r="B1655" s="8" t="s">
        <v>1492</v>
      </c>
      <c r="C1655" s="8" t="s">
        <v>50</v>
      </c>
      <c r="D1655" s="10">
        <v>45719</v>
      </c>
      <c r="E1655" s="9">
        <v>31403</v>
      </c>
      <c r="F1655" s="2" t="str">
        <f>INDEX(Vendors!E:E,MATCH(Vendor_Analysis!C1655,Vendors!A:A,0))</f>
        <v xml:space="preserve"> 90</v>
      </c>
      <c r="G1655" s="2">
        <v>90</v>
      </c>
      <c r="H1655" s="16">
        <f t="shared" si="25"/>
        <v>45809</v>
      </c>
      <c r="J1655" s="2"/>
    </row>
    <row r="1656" spans="1:10" x14ac:dyDescent="0.25">
      <c r="A1656" s="8" t="s">
        <v>1524</v>
      </c>
      <c r="B1656" s="8" t="s">
        <v>1492</v>
      </c>
      <c r="C1656" s="8" t="s">
        <v>109</v>
      </c>
      <c r="D1656" s="10">
        <v>45719</v>
      </c>
      <c r="E1656" s="9">
        <v>13219</v>
      </c>
      <c r="F1656" s="2" t="str">
        <f>INDEX(Vendors!E:E,MATCH(Vendor_Analysis!C1656,Vendors!A:A,0))</f>
        <v xml:space="preserve">30 </v>
      </c>
      <c r="G1656" s="2">
        <v>30</v>
      </c>
      <c r="H1656" s="16">
        <f t="shared" si="25"/>
        <v>45749</v>
      </c>
      <c r="J1656" s="2"/>
    </row>
    <row r="1657" spans="1:10" x14ac:dyDescent="0.25">
      <c r="A1657" s="8" t="s">
        <v>1525</v>
      </c>
      <c r="B1657" s="8" t="s">
        <v>1492</v>
      </c>
      <c r="C1657" s="8" t="s">
        <v>29</v>
      </c>
      <c r="D1657" s="10">
        <v>45746</v>
      </c>
      <c r="E1657" s="9">
        <v>47326</v>
      </c>
      <c r="F1657" s="2" t="str">
        <f>INDEX(Vendors!E:E,MATCH(Vendor_Analysis!C1657,Vendors!A:A,0))</f>
        <v xml:space="preserve">30 </v>
      </c>
      <c r="G1657" s="2">
        <v>30</v>
      </c>
      <c r="H1657" s="16">
        <f t="shared" si="25"/>
        <v>45776</v>
      </c>
      <c r="J1657" s="2"/>
    </row>
    <row r="1658" spans="1:10" x14ac:dyDescent="0.25">
      <c r="A1658" s="8" t="s">
        <v>1526</v>
      </c>
      <c r="B1658" s="8" t="s">
        <v>1492</v>
      </c>
      <c r="C1658" s="8" t="s">
        <v>25</v>
      </c>
      <c r="D1658" s="10">
        <v>45766</v>
      </c>
      <c r="E1658" s="9">
        <v>28390</v>
      </c>
      <c r="F1658" s="2" t="str">
        <f>INDEX(Vendors!E:E,MATCH(Vendor_Analysis!C1658,Vendors!A:A,0))</f>
        <v xml:space="preserve">30 </v>
      </c>
      <c r="G1658" s="2">
        <v>30</v>
      </c>
      <c r="H1658" s="16">
        <f t="shared" si="25"/>
        <v>45796</v>
      </c>
      <c r="J1658" s="2"/>
    </row>
    <row r="1659" spans="1:10" x14ac:dyDescent="0.25">
      <c r="A1659" s="8" t="s">
        <v>1527</v>
      </c>
      <c r="B1659" s="8" t="s">
        <v>1528</v>
      </c>
      <c r="C1659" s="8" t="s">
        <v>108</v>
      </c>
      <c r="D1659" s="10">
        <v>45194</v>
      </c>
      <c r="E1659" s="9">
        <v>7742</v>
      </c>
      <c r="F1659" s="2" t="str">
        <f>INDEX(Vendors!E:E,MATCH(Vendor_Analysis!C1659,Vendors!A:A,0))</f>
        <v xml:space="preserve"> 90</v>
      </c>
      <c r="G1659" s="2">
        <v>90</v>
      </c>
      <c r="H1659" s="16">
        <f t="shared" si="25"/>
        <v>45284</v>
      </c>
      <c r="J1659" s="2"/>
    </row>
    <row r="1660" spans="1:10" x14ac:dyDescent="0.25">
      <c r="A1660" s="8" t="s">
        <v>1529</v>
      </c>
      <c r="B1660" s="8" t="s">
        <v>1528</v>
      </c>
      <c r="C1660" s="8" t="s">
        <v>23</v>
      </c>
      <c r="D1660" s="10">
        <v>45213</v>
      </c>
      <c r="E1660" s="9">
        <v>5047</v>
      </c>
      <c r="F1660" s="2" t="str">
        <f>INDEX(Vendors!E:E,MATCH(Vendor_Analysis!C1660,Vendors!A:A,0))</f>
        <v xml:space="preserve"> 90</v>
      </c>
      <c r="G1660" s="2">
        <v>90</v>
      </c>
      <c r="H1660" s="16">
        <f t="shared" si="25"/>
        <v>45303</v>
      </c>
      <c r="J1660" s="2"/>
    </row>
    <row r="1661" spans="1:10" x14ac:dyDescent="0.25">
      <c r="A1661" s="8" t="s">
        <v>1530</v>
      </c>
      <c r="B1661" s="8" t="s">
        <v>1528</v>
      </c>
      <c r="C1661" s="8" t="s">
        <v>23</v>
      </c>
      <c r="D1661" s="10">
        <v>45222</v>
      </c>
      <c r="E1661" s="9">
        <v>6144</v>
      </c>
      <c r="F1661" s="2" t="str">
        <f>INDEX(Vendors!E:E,MATCH(Vendor_Analysis!C1661,Vendors!A:A,0))</f>
        <v xml:space="preserve"> 90</v>
      </c>
      <c r="G1661" s="2">
        <v>90</v>
      </c>
      <c r="H1661" s="16">
        <f t="shared" si="25"/>
        <v>45312</v>
      </c>
      <c r="J1661" s="2"/>
    </row>
    <row r="1662" spans="1:10" x14ac:dyDescent="0.25">
      <c r="A1662" s="8" t="s">
        <v>1531</v>
      </c>
      <c r="B1662" s="8" t="s">
        <v>1528</v>
      </c>
      <c r="C1662" s="8" t="s">
        <v>33</v>
      </c>
      <c r="D1662" s="10">
        <v>45239</v>
      </c>
      <c r="E1662" s="9">
        <v>5163</v>
      </c>
      <c r="F1662" s="2" t="str">
        <f>INDEX(Vendors!E:E,MATCH(Vendor_Analysis!C1662,Vendors!A:A,0))</f>
        <v xml:space="preserve">30 </v>
      </c>
      <c r="G1662" s="2">
        <v>30</v>
      </c>
      <c r="H1662" s="16">
        <f t="shared" si="25"/>
        <v>45269</v>
      </c>
      <c r="J1662" s="2"/>
    </row>
    <row r="1663" spans="1:10" x14ac:dyDescent="0.25">
      <c r="A1663" s="8" t="s">
        <v>1532</v>
      </c>
      <c r="B1663" s="8" t="s">
        <v>1528</v>
      </c>
      <c r="C1663" s="8" t="s">
        <v>10</v>
      </c>
      <c r="D1663" s="10">
        <v>45239</v>
      </c>
      <c r="E1663" s="9">
        <v>3881</v>
      </c>
      <c r="F1663" s="2" t="str">
        <f>INDEX(Vendors!E:E,MATCH(Vendor_Analysis!C1663,Vendors!A:A,0))</f>
        <v xml:space="preserve">60 </v>
      </c>
      <c r="G1663" s="2">
        <v>60</v>
      </c>
      <c r="H1663" s="16">
        <f t="shared" si="25"/>
        <v>45299</v>
      </c>
      <c r="J1663" s="2"/>
    </row>
    <row r="1664" spans="1:10" x14ac:dyDescent="0.25">
      <c r="A1664" s="8" t="s">
        <v>1533</v>
      </c>
      <c r="B1664" s="8" t="s">
        <v>1528</v>
      </c>
      <c r="C1664" s="8" t="s">
        <v>109</v>
      </c>
      <c r="D1664" s="10">
        <v>45245</v>
      </c>
      <c r="E1664" s="9">
        <v>8163</v>
      </c>
      <c r="F1664" s="2" t="str">
        <f>INDEX(Vendors!E:E,MATCH(Vendor_Analysis!C1664,Vendors!A:A,0))</f>
        <v xml:space="preserve">30 </v>
      </c>
      <c r="G1664" s="2">
        <v>30</v>
      </c>
      <c r="H1664" s="16">
        <f t="shared" si="25"/>
        <v>45275</v>
      </c>
      <c r="J1664" s="2"/>
    </row>
    <row r="1665" spans="1:10" x14ac:dyDescent="0.25">
      <c r="A1665" s="8" t="s">
        <v>1534</v>
      </c>
      <c r="B1665" s="8" t="s">
        <v>1528</v>
      </c>
      <c r="C1665" s="8" t="s">
        <v>12</v>
      </c>
      <c r="D1665" s="10">
        <v>45263</v>
      </c>
      <c r="E1665" s="9">
        <v>8444</v>
      </c>
      <c r="F1665" s="2" t="str">
        <f>INDEX(Vendors!E:E,MATCH(Vendor_Analysis!C1665,Vendors!A:A,0))</f>
        <v xml:space="preserve">30 </v>
      </c>
      <c r="G1665" s="2">
        <v>30</v>
      </c>
      <c r="H1665" s="16">
        <f t="shared" si="25"/>
        <v>45293</v>
      </c>
      <c r="J1665" s="2"/>
    </row>
    <row r="1666" spans="1:10" x14ac:dyDescent="0.25">
      <c r="A1666" s="8" t="s">
        <v>1535</v>
      </c>
      <c r="B1666" s="8" t="s">
        <v>1528</v>
      </c>
      <c r="C1666" s="8" t="s">
        <v>8</v>
      </c>
      <c r="D1666" s="10">
        <v>45263</v>
      </c>
      <c r="E1666" s="9">
        <v>3334</v>
      </c>
      <c r="F1666" s="2" t="str">
        <f>INDEX(Vendors!E:E,MATCH(Vendor_Analysis!C1666,Vendors!A:A,0))</f>
        <v xml:space="preserve">60 </v>
      </c>
      <c r="G1666" s="2">
        <v>60</v>
      </c>
      <c r="H1666" s="16">
        <f t="shared" si="25"/>
        <v>45323</v>
      </c>
      <c r="J1666" s="2"/>
    </row>
    <row r="1667" spans="1:10" x14ac:dyDescent="0.25">
      <c r="A1667" s="8" t="s">
        <v>1536</v>
      </c>
      <c r="B1667" s="8" t="s">
        <v>1528</v>
      </c>
      <c r="C1667" s="8" t="s">
        <v>50</v>
      </c>
      <c r="D1667" s="10">
        <v>45263</v>
      </c>
      <c r="E1667" s="9">
        <v>25141</v>
      </c>
      <c r="F1667" s="2" t="str">
        <f>INDEX(Vendors!E:E,MATCH(Vendor_Analysis!C1667,Vendors!A:A,0))</f>
        <v xml:space="preserve"> 90</v>
      </c>
      <c r="G1667" s="2">
        <v>90</v>
      </c>
      <c r="H1667" s="16">
        <f t="shared" ref="H1667:H1730" si="26">D1667+F1667</f>
        <v>45353</v>
      </c>
      <c r="J1667" s="2"/>
    </row>
    <row r="1668" spans="1:10" x14ac:dyDescent="0.25">
      <c r="A1668" s="8" t="s">
        <v>1537</v>
      </c>
      <c r="B1668" s="8" t="s">
        <v>1528</v>
      </c>
      <c r="C1668" s="8" t="s">
        <v>50</v>
      </c>
      <c r="D1668" s="10">
        <v>45273</v>
      </c>
      <c r="E1668" s="9">
        <v>6560</v>
      </c>
      <c r="F1668" s="2" t="str">
        <f>INDEX(Vendors!E:E,MATCH(Vendor_Analysis!C1668,Vendors!A:A,0))</f>
        <v xml:space="preserve"> 90</v>
      </c>
      <c r="G1668" s="2">
        <v>90</v>
      </c>
      <c r="H1668" s="16">
        <f t="shared" si="26"/>
        <v>45363</v>
      </c>
      <c r="J1668" s="2"/>
    </row>
    <row r="1669" spans="1:10" x14ac:dyDescent="0.25">
      <c r="A1669" s="8" t="s">
        <v>1538</v>
      </c>
      <c r="B1669" s="8" t="s">
        <v>1528</v>
      </c>
      <c r="C1669" s="8" t="s">
        <v>29</v>
      </c>
      <c r="D1669" s="10">
        <v>45286</v>
      </c>
      <c r="E1669" s="9">
        <v>7804</v>
      </c>
      <c r="F1669" s="2" t="str">
        <f>INDEX(Vendors!E:E,MATCH(Vendor_Analysis!C1669,Vendors!A:A,0))</f>
        <v xml:space="preserve">30 </v>
      </c>
      <c r="G1669" s="2">
        <v>30</v>
      </c>
      <c r="H1669" s="16">
        <f t="shared" si="26"/>
        <v>45316</v>
      </c>
      <c r="J1669" s="2"/>
    </row>
    <row r="1670" spans="1:10" x14ac:dyDescent="0.25">
      <c r="A1670" s="8" t="s">
        <v>1539</v>
      </c>
      <c r="B1670" s="8" t="s">
        <v>1528</v>
      </c>
      <c r="C1670" s="8" t="s">
        <v>27</v>
      </c>
      <c r="D1670" s="10">
        <v>45320</v>
      </c>
      <c r="E1670" s="9">
        <v>8872</v>
      </c>
      <c r="F1670" s="2" t="str">
        <f>INDEX(Vendors!E:E,MATCH(Vendor_Analysis!C1670,Vendors!A:A,0))</f>
        <v xml:space="preserve">45 </v>
      </c>
      <c r="G1670" s="2">
        <v>45</v>
      </c>
      <c r="H1670" s="16">
        <f t="shared" si="26"/>
        <v>45365</v>
      </c>
      <c r="J1670" s="2"/>
    </row>
    <row r="1671" spans="1:10" x14ac:dyDescent="0.25">
      <c r="A1671" s="8" t="s">
        <v>1540</v>
      </c>
      <c r="B1671" s="8" t="s">
        <v>1528</v>
      </c>
      <c r="C1671" s="8" t="s">
        <v>37</v>
      </c>
      <c r="D1671" s="10">
        <v>45329</v>
      </c>
      <c r="E1671" s="9">
        <v>9173</v>
      </c>
      <c r="F1671" s="2" t="str">
        <f>INDEX(Vendors!E:E,MATCH(Vendor_Analysis!C1671,Vendors!A:A,0))</f>
        <v xml:space="preserve">30 </v>
      </c>
      <c r="G1671" s="2">
        <v>30</v>
      </c>
      <c r="H1671" s="16">
        <f t="shared" si="26"/>
        <v>45359</v>
      </c>
      <c r="J1671" s="2"/>
    </row>
    <row r="1672" spans="1:10" x14ac:dyDescent="0.25">
      <c r="A1672" s="8" t="s">
        <v>1541</v>
      </c>
      <c r="B1672" s="8" t="s">
        <v>1528</v>
      </c>
      <c r="C1672" s="8" t="s">
        <v>19</v>
      </c>
      <c r="D1672" s="10">
        <v>45329</v>
      </c>
      <c r="E1672" s="9">
        <v>6391</v>
      </c>
      <c r="F1672" s="2" t="str">
        <f>INDEX(Vendors!E:E,MATCH(Vendor_Analysis!C1672,Vendors!A:A,0))</f>
        <v xml:space="preserve">45 </v>
      </c>
      <c r="G1672" s="2">
        <v>45</v>
      </c>
      <c r="H1672" s="16">
        <f t="shared" si="26"/>
        <v>45374</v>
      </c>
      <c r="J1672" s="2"/>
    </row>
    <row r="1673" spans="1:10" x14ac:dyDescent="0.25">
      <c r="A1673" s="8" t="s">
        <v>1542</v>
      </c>
      <c r="B1673" s="8" t="s">
        <v>1528</v>
      </c>
      <c r="C1673" s="8" t="s">
        <v>12</v>
      </c>
      <c r="D1673" s="10">
        <v>45357</v>
      </c>
      <c r="E1673" s="9">
        <v>5800</v>
      </c>
      <c r="F1673" s="2" t="str">
        <f>INDEX(Vendors!E:E,MATCH(Vendor_Analysis!C1673,Vendors!A:A,0))</f>
        <v xml:space="preserve">30 </v>
      </c>
      <c r="G1673" s="2">
        <v>30</v>
      </c>
      <c r="H1673" s="16">
        <f t="shared" si="26"/>
        <v>45387</v>
      </c>
      <c r="J1673" s="2"/>
    </row>
    <row r="1674" spans="1:10" x14ac:dyDescent="0.25">
      <c r="A1674" s="8" t="s">
        <v>1543</v>
      </c>
      <c r="B1674" s="8" t="s">
        <v>1528</v>
      </c>
      <c r="C1674" s="8" t="s">
        <v>35</v>
      </c>
      <c r="D1674" s="10">
        <v>45391</v>
      </c>
      <c r="E1674" s="9">
        <v>8993</v>
      </c>
      <c r="F1674" s="2" t="str">
        <f>INDEX(Vendors!E:E,MATCH(Vendor_Analysis!C1674,Vendors!A:A,0))</f>
        <v xml:space="preserve">60 </v>
      </c>
      <c r="G1674" s="2">
        <v>60</v>
      </c>
      <c r="H1674" s="16">
        <f t="shared" si="26"/>
        <v>45451</v>
      </c>
      <c r="J1674" s="2"/>
    </row>
    <row r="1675" spans="1:10" x14ac:dyDescent="0.25">
      <c r="A1675" s="8" t="s">
        <v>1544</v>
      </c>
      <c r="B1675" s="8" t="s">
        <v>1528</v>
      </c>
      <c r="C1675" s="8" t="s">
        <v>25</v>
      </c>
      <c r="D1675" s="10">
        <v>45393</v>
      </c>
      <c r="E1675" s="9">
        <v>5318</v>
      </c>
      <c r="F1675" s="2" t="str">
        <f>INDEX(Vendors!E:E,MATCH(Vendor_Analysis!C1675,Vendors!A:A,0))</f>
        <v xml:space="preserve">30 </v>
      </c>
      <c r="G1675" s="2">
        <v>30</v>
      </c>
      <c r="H1675" s="16">
        <f t="shared" si="26"/>
        <v>45423</v>
      </c>
      <c r="J1675" s="2"/>
    </row>
    <row r="1676" spans="1:10" x14ac:dyDescent="0.25">
      <c r="A1676" s="8" t="s">
        <v>1545</v>
      </c>
      <c r="B1676" s="8" t="s">
        <v>1528</v>
      </c>
      <c r="C1676" s="8" t="s">
        <v>109</v>
      </c>
      <c r="D1676" s="10">
        <v>45398</v>
      </c>
      <c r="E1676" s="9">
        <v>4453</v>
      </c>
      <c r="F1676" s="2" t="str">
        <f>INDEX(Vendors!E:E,MATCH(Vendor_Analysis!C1676,Vendors!A:A,0))</f>
        <v xml:space="preserve">30 </v>
      </c>
      <c r="G1676" s="2">
        <v>30</v>
      </c>
      <c r="H1676" s="16">
        <f t="shared" si="26"/>
        <v>45428</v>
      </c>
      <c r="J1676" s="2"/>
    </row>
    <row r="1677" spans="1:10" x14ac:dyDescent="0.25">
      <c r="A1677" s="8" t="s">
        <v>1546</v>
      </c>
      <c r="B1677" s="8" t="s">
        <v>1528</v>
      </c>
      <c r="C1677" s="8" t="s">
        <v>71</v>
      </c>
      <c r="D1677" s="10">
        <v>45404</v>
      </c>
      <c r="E1677" s="9">
        <v>7979</v>
      </c>
      <c r="F1677" s="2" t="str">
        <f>INDEX(Vendors!E:E,MATCH(Vendor_Analysis!C1677,Vendors!A:A,0))</f>
        <v xml:space="preserve">45 </v>
      </c>
      <c r="G1677" s="2">
        <v>45</v>
      </c>
      <c r="H1677" s="16">
        <f t="shared" si="26"/>
        <v>45449</v>
      </c>
      <c r="J1677" s="2"/>
    </row>
    <row r="1678" spans="1:10" x14ac:dyDescent="0.25">
      <c r="A1678" s="8" t="s">
        <v>1547</v>
      </c>
      <c r="B1678" s="8" t="s">
        <v>1528</v>
      </c>
      <c r="C1678" s="8" t="s">
        <v>17</v>
      </c>
      <c r="D1678" s="10">
        <v>45410</v>
      </c>
      <c r="E1678" s="9">
        <v>9243</v>
      </c>
      <c r="F1678" s="2" t="str">
        <f>INDEX(Vendors!E:E,MATCH(Vendor_Analysis!C1678,Vendors!A:A,0))</f>
        <v xml:space="preserve">45 </v>
      </c>
      <c r="G1678" s="2">
        <v>45</v>
      </c>
      <c r="H1678" s="16">
        <f t="shared" si="26"/>
        <v>45455</v>
      </c>
      <c r="J1678" s="2"/>
    </row>
    <row r="1679" spans="1:10" x14ac:dyDescent="0.25">
      <c r="A1679" s="8" t="s">
        <v>1548</v>
      </c>
      <c r="B1679" s="8" t="s">
        <v>1528</v>
      </c>
      <c r="C1679" s="8" t="s">
        <v>35</v>
      </c>
      <c r="D1679" s="10">
        <v>45417</v>
      </c>
      <c r="E1679" s="9">
        <v>5956</v>
      </c>
      <c r="F1679" s="2" t="str">
        <f>INDEX(Vendors!E:E,MATCH(Vendor_Analysis!C1679,Vendors!A:A,0))</f>
        <v xml:space="preserve">60 </v>
      </c>
      <c r="G1679" s="2">
        <v>60</v>
      </c>
      <c r="H1679" s="16">
        <f t="shared" si="26"/>
        <v>45477</v>
      </c>
      <c r="J1679" s="2"/>
    </row>
    <row r="1680" spans="1:10" x14ac:dyDescent="0.25">
      <c r="A1680" s="8" t="s">
        <v>1549</v>
      </c>
      <c r="B1680" s="8" t="s">
        <v>1528</v>
      </c>
      <c r="C1680" s="8" t="s">
        <v>8</v>
      </c>
      <c r="D1680" s="10">
        <v>45430</v>
      </c>
      <c r="E1680" s="9">
        <v>9649</v>
      </c>
      <c r="F1680" s="2" t="str">
        <f>INDEX(Vendors!E:E,MATCH(Vendor_Analysis!C1680,Vendors!A:A,0))</f>
        <v xml:space="preserve">60 </v>
      </c>
      <c r="G1680" s="2">
        <v>60</v>
      </c>
      <c r="H1680" s="16">
        <f t="shared" si="26"/>
        <v>45490</v>
      </c>
      <c r="J1680" s="2"/>
    </row>
    <row r="1681" spans="1:10" x14ac:dyDescent="0.25">
      <c r="A1681" s="8" t="s">
        <v>1550</v>
      </c>
      <c r="B1681" s="8" t="s">
        <v>1528</v>
      </c>
      <c r="C1681" s="8" t="s">
        <v>44</v>
      </c>
      <c r="D1681" s="10">
        <v>45436</v>
      </c>
      <c r="E1681" s="9">
        <v>8503</v>
      </c>
      <c r="F1681" s="2" t="str">
        <f>INDEX(Vendors!E:E,MATCH(Vendor_Analysis!C1681,Vendors!A:A,0))</f>
        <v xml:space="preserve">45 </v>
      </c>
      <c r="G1681" s="2">
        <v>45</v>
      </c>
      <c r="H1681" s="16">
        <f t="shared" si="26"/>
        <v>45481</v>
      </c>
      <c r="J1681" s="2"/>
    </row>
    <row r="1682" spans="1:10" x14ac:dyDescent="0.25">
      <c r="A1682" s="8" t="s">
        <v>1551</v>
      </c>
      <c r="B1682" s="8" t="s">
        <v>1528</v>
      </c>
      <c r="C1682" s="8" t="s">
        <v>91</v>
      </c>
      <c r="D1682" s="10">
        <v>45455</v>
      </c>
      <c r="E1682" s="9">
        <v>7772</v>
      </c>
      <c r="F1682" s="2" t="str">
        <f>INDEX(Vendors!E:E,MATCH(Vendor_Analysis!C1682,Vendors!A:A,0))</f>
        <v xml:space="preserve">60 </v>
      </c>
      <c r="G1682" s="2">
        <v>60</v>
      </c>
      <c r="H1682" s="16">
        <f t="shared" si="26"/>
        <v>45515</v>
      </c>
      <c r="J1682" s="2"/>
    </row>
    <row r="1683" spans="1:10" x14ac:dyDescent="0.25">
      <c r="A1683" s="8" t="s">
        <v>1552</v>
      </c>
      <c r="B1683" s="8" t="s">
        <v>1528</v>
      </c>
      <c r="C1683" s="8" t="s">
        <v>91</v>
      </c>
      <c r="D1683" s="10">
        <v>45462</v>
      </c>
      <c r="E1683" s="9">
        <v>6514</v>
      </c>
      <c r="F1683" s="2" t="str">
        <f>INDEX(Vendors!E:E,MATCH(Vendor_Analysis!C1683,Vendors!A:A,0))</f>
        <v xml:space="preserve">60 </v>
      </c>
      <c r="G1683" s="2">
        <v>60</v>
      </c>
      <c r="H1683" s="16">
        <f t="shared" si="26"/>
        <v>45522</v>
      </c>
      <c r="J1683" s="2"/>
    </row>
    <row r="1684" spans="1:10" x14ac:dyDescent="0.25">
      <c r="A1684" s="8" t="s">
        <v>1553</v>
      </c>
      <c r="B1684" s="8" t="s">
        <v>1554</v>
      </c>
      <c r="C1684" s="8" t="s">
        <v>25</v>
      </c>
      <c r="D1684" s="10">
        <v>45251</v>
      </c>
      <c r="E1684" s="9">
        <v>150377</v>
      </c>
      <c r="F1684" s="2" t="str">
        <f>INDEX(Vendors!E:E,MATCH(Vendor_Analysis!C1684,Vendors!A:A,0))</f>
        <v xml:space="preserve">30 </v>
      </c>
      <c r="G1684" s="2">
        <v>30</v>
      </c>
      <c r="H1684" s="16">
        <f t="shared" si="26"/>
        <v>45281</v>
      </c>
      <c r="J1684" s="2"/>
    </row>
    <row r="1685" spans="1:10" x14ac:dyDescent="0.25">
      <c r="A1685" s="8" t="s">
        <v>1555</v>
      </c>
      <c r="B1685" s="8" t="s">
        <v>1554</v>
      </c>
      <c r="C1685" s="8" t="s">
        <v>6</v>
      </c>
      <c r="D1685" s="10">
        <v>45252</v>
      </c>
      <c r="E1685" s="9">
        <v>142142</v>
      </c>
      <c r="F1685" s="2" t="str">
        <f>INDEX(Vendors!E:E,MATCH(Vendor_Analysis!C1685,Vendors!A:A,0))</f>
        <v xml:space="preserve">60 </v>
      </c>
      <c r="G1685" s="2">
        <v>60</v>
      </c>
      <c r="H1685" s="16">
        <f t="shared" si="26"/>
        <v>45312</v>
      </c>
      <c r="J1685" s="2"/>
    </row>
    <row r="1686" spans="1:10" x14ac:dyDescent="0.25">
      <c r="A1686" s="8" t="s">
        <v>1556</v>
      </c>
      <c r="B1686" s="8" t="s">
        <v>1554</v>
      </c>
      <c r="C1686" s="8" t="s">
        <v>12</v>
      </c>
      <c r="D1686" s="10">
        <v>45253</v>
      </c>
      <c r="E1686" s="9">
        <v>141277</v>
      </c>
      <c r="F1686" s="2" t="str">
        <f>INDEX(Vendors!E:E,MATCH(Vendor_Analysis!C1686,Vendors!A:A,0))</f>
        <v xml:space="preserve">30 </v>
      </c>
      <c r="G1686" s="2">
        <v>30</v>
      </c>
      <c r="H1686" s="16">
        <f t="shared" si="26"/>
        <v>45283</v>
      </c>
      <c r="J1686" s="2"/>
    </row>
    <row r="1687" spans="1:10" x14ac:dyDescent="0.25">
      <c r="A1687" s="8" t="s">
        <v>1557</v>
      </c>
      <c r="B1687" s="8" t="s">
        <v>1554</v>
      </c>
      <c r="C1687" s="8" t="s">
        <v>73</v>
      </c>
      <c r="D1687" s="10">
        <v>45264</v>
      </c>
      <c r="E1687" s="9">
        <v>51716</v>
      </c>
      <c r="F1687" s="2" t="str">
        <f>INDEX(Vendors!E:E,MATCH(Vendor_Analysis!C1687,Vendors!A:A,0))</f>
        <v xml:space="preserve">60 </v>
      </c>
      <c r="G1687" s="2">
        <v>60</v>
      </c>
      <c r="H1687" s="16">
        <f t="shared" si="26"/>
        <v>45324</v>
      </c>
      <c r="J1687" s="2"/>
    </row>
    <row r="1688" spans="1:10" x14ac:dyDescent="0.25">
      <c r="A1688" s="8" t="s">
        <v>1558</v>
      </c>
      <c r="B1688" s="8" t="s">
        <v>1554</v>
      </c>
      <c r="C1688" s="8" t="s">
        <v>6</v>
      </c>
      <c r="D1688" s="10">
        <v>45273</v>
      </c>
      <c r="E1688" s="9">
        <v>57891</v>
      </c>
      <c r="F1688" s="2" t="str">
        <f>INDEX(Vendors!E:E,MATCH(Vendor_Analysis!C1688,Vendors!A:A,0))</f>
        <v xml:space="preserve">60 </v>
      </c>
      <c r="G1688" s="2">
        <v>60</v>
      </c>
      <c r="H1688" s="16">
        <f t="shared" si="26"/>
        <v>45333</v>
      </c>
      <c r="J1688" s="2"/>
    </row>
    <row r="1689" spans="1:10" x14ac:dyDescent="0.25">
      <c r="A1689" s="8" t="s">
        <v>1559</v>
      </c>
      <c r="B1689" s="8" t="s">
        <v>1554</v>
      </c>
      <c r="C1689" s="8" t="s">
        <v>109</v>
      </c>
      <c r="D1689" s="10">
        <v>45295</v>
      </c>
      <c r="E1689" s="9">
        <v>155408</v>
      </c>
      <c r="F1689" s="2" t="str">
        <f>INDEX(Vendors!E:E,MATCH(Vendor_Analysis!C1689,Vendors!A:A,0))</f>
        <v xml:space="preserve">30 </v>
      </c>
      <c r="G1689" s="2">
        <v>30</v>
      </c>
      <c r="H1689" s="16">
        <f t="shared" si="26"/>
        <v>45325</v>
      </c>
      <c r="J1689" s="2"/>
    </row>
    <row r="1690" spans="1:10" x14ac:dyDescent="0.25">
      <c r="A1690" s="8" t="s">
        <v>1560</v>
      </c>
      <c r="B1690" s="8" t="s">
        <v>1554</v>
      </c>
      <c r="C1690" s="8" t="s">
        <v>29</v>
      </c>
      <c r="D1690" s="10">
        <v>45301</v>
      </c>
      <c r="E1690" s="9">
        <v>127432</v>
      </c>
      <c r="F1690" s="2" t="str">
        <f>INDEX(Vendors!E:E,MATCH(Vendor_Analysis!C1690,Vendors!A:A,0))</f>
        <v xml:space="preserve">30 </v>
      </c>
      <c r="G1690" s="2">
        <v>30</v>
      </c>
      <c r="H1690" s="16">
        <f t="shared" si="26"/>
        <v>45331</v>
      </c>
      <c r="J1690" s="2"/>
    </row>
    <row r="1691" spans="1:10" x14ac:dyDescent="0.25">
      <c r="A1691" s="8" t="s">
        <v>1561</v>
      </c>
      <c r="B1691" s="8" t="s">
        <v>1554</v>
      </c>
      <c r="C1691" s="8" t="s">
        <v>91</v>
      </c>
      <c r="D1691" s="10">
        <v>45335</v>
      </c>
      <c r="E1691" s="9">
        <v>98013</v>
      </c>
      <c r="F1691" s="2" t="str">
        <f>INDEX(Vendors!E:E,MATCH(Vendor_Analysis!C1691,Vendors!A:A,0))</f>
        <v xml:space="preserve">60 </v>
      </c>
      <c r="G1691" s="2">
        <v>60</v>
      </c>
      <c r="H1691" s="16">
        <f t="shared" si="26"/>
        <v>45395</v>
      </c>
      <c r="J1691" s="2"/>
    </row>
    <row r="1692" spans="1:10" x14ac:dyDescent="0.25">
      <c r="A1692" s="8" t="s">
        <v>1562</v>
      </c>
      <c r="B1692" s="8" t="s">
        <v>1554</v>
      </c>
      <c r="C1692" s="8" t="s">
        <v>71</v>
      </c>
      <c r="D1692" s="10">
        <v>45336</v>
      </c>
      <c r="E1692" s="9">
        <v>102676</v>
      </c>
      <c r="F1692" s="2" t="str">
        <f>INDEX(Vendors!E:E,MATCH(Vendor_Analysis!C1692,Vendors!A:A,0))</f>
        <v xml:space="preserve">45 </v>
      </c>
      <c r="G1692" s="2">
        <v>45</v>
      </c>
      <c r="H1692" s="16">
        <f t="shared" si="26"/>
        <v>45381</v>
      </c>
      <c r="J1692" s="2"/>
    </row>
    <row r="1693" spans="1:10" x14ac:dyDescent="0.25">
      <c r="A1693" s="8" t="s">
        <v>1563</v>
      </c>
      <c r="B1693" s="8" t="s">
        <v>1554</v>
      </c>
      <c r="C1693" s="8" t="s">
        <v>44</v>
      </c>
      <c r="D1693" s="10">
        <v>45344</v>
      </c>
      <c r="E1693" s="9">
        <v>131779</v>
      </c>
      <c r="F1693" s="2" t="str">
        <f>INDEX(Vendors!E:E,MATCH(Vendor_Analysis!C1693,Vendors!A:A,0))</f>
        <v xml:space="preserve">45 </v>
      </c>
      <c r="G1693" s="2">
        <v>45</v>
      </c>
      <c r="H1693" s="16">
        <f t="shared" si="26"/>
        <v>45389</v>
      </c>
      <c r="J1693" s="2"/>
    </row>
    <row r="1694" spans="1:10" x14ac:dyDescent="0.25">
      <c r="A1694" s="8" t="s">
        <v>1564</v>
      </c>
      <c r="B1694" s="8" t="s">
        <v>1554</v>
      </c>
      <c r="C1694" s="8" t="s">
        <v>19</v>
      </c>
      <c r="D1694" s="10">
        <v>45354</v>
      </c>
      <c r="E1694" s="9">
        <v>110478</v>
      </c>
      <c r="F1694" s="2" t="str">
        <f>INDEX(Vendors!E:E,MATCH(Vendor_Analysis!C1694,Vendors!A:A,0))</f>
        <v xml:space="preserve">45 </v>
      </c>
      <c r="G1694" s="2">
        <v>45</v>
      </c>
      <c r="H1694" s="16">
        <f t="shared" si="26"/>
        <v>45399</v>
      </c>
      <c r="J1694" s="2"/>
    </row>
    <row r="1695" spans="1:10" x14ac:dyDescent="0.25">
      <c r="A1695" s="8" t="s">
        <v>1565</v>
      </c>
      <c r="B1695" s="8" t="s">
        <v>1554</v>
      </c>
      <c r="C1695" s="8" t="s">
        <v>25</v>
      </c>
      <c r="D1695" s="10">
        <v>45370</v>
      </c>
      <c r="E1695" s="9">
        <v>120551</v>
      </c>
      <c r="F1695" s="2" t="str">
        <f>INDEX(Vendors!E:E,MATCH(Vendor_Analysis!C1695,Vendors!A:A,0))</f>
        <v xml:space="preserve">30 </v>
      </c>
      <c r="G1695" s="2">
        <v>30</v>
      </c>
      <c r="H1695" s="16">
        <f t="shared" si="26"/>
        <v>45400</v>
      </c>
      <c r="J1695" s="2"/>
    </row>
    <row r="1696" spans="1:10" x14ac:dyDescent="0.25">
      <c r="A1696" s="8" t="s">
        <v>1566</v>
      </c>
      <c r="B1696" s="8" t="s">
        <v>1554</v>
      </c>
      <c r="C1696" s="8" t="s">
        <v>37</v>
      </c>
      <c r="D1696" s="10">
        <v>45379</v>
      </c>
      <c r="E1696" s="9">
        <v>112020</v>
      </c>
      <c r="F1696" s="2" t="str">
        <f>INDEX(Vendors!E:E,MATCH(Vendor_Analysis!C1696,Vendors!A:A,0))</f>
        <v xml:space="preserve">30 </v>
      </c>
      <c r="G1696" s="2">
        <v>30</v>
      </c>
      <c r="H1696" s="16">
        <f t="shared" si="26"/>
        <v>45409</v>
      </c>
      <c r="J1696" s="2"/>
    </row>
    <row r="1697" spans="1:10" x14ac:dyDescent="0.25">
      <c r="A1697" s="8" t="s">
        <v>1567</v>
      </c>
      <c r="B1697" s="8" t="s">
        <v>1554</v>
      </c>
      <c r="C1697" s="8" t="s">
        <v>8</v>
      </c>
      <c r="D1697" s="10">
        <v>45406</v>
      </c>
      <c r="E1697" s="9">
        <v>70777</v>
      </c>
      <c r="F1697" s="2" t="str">
        <f>INDEX(Vendors!E:E,MATCH(Vendor_Analysis!C1697,Vendors!A:A,0))</f>
        <v xml:space="preserve">60 </v>
      </c>
      <c r="G1697" s="2">
        <v>60</v>
      </c>
      <c r="H1697" s="16">
        <f t="shared" si="26"/>
        <v>45466</v>
      </c>
      <c r="J1697" s="2"/>
    </row>
    <row r="1698" spans="1:10" x14ac:dyDescent="0.25">
      <c r="A1698" s="8" t="s">
        <v>1568</v>
      </c>
      <c r="B1698" s="8" t="s">
        <v>1554</v>
      </c>
      <c r="C1698" s="8" t="s">
        <v>12</v>
      </c>
      <c r="D1698" s="10">
        <v>45447</v>
      </c>
      <c r="E1698" s="9">
        <v>160929</v>
      </c>
      <c r="F1698" s="2" t="str">
        <f>INDEX(Vendors!E:E,MATCH(Vendor_Analysis!C1698,Vendors!A:A,0))</f>
        <v xml:space="preserve">30 </v>
      </c>
      <c r="G1698" s="2">
        <v>30</v>
      </c>
      <c r="H1698" s="16">
        <f t="shared" si="26"/>
        <v>45477</v>
      </c>
      <c r="J1698" s="2"/>
    </row>
    <row r="1699" spans="1:10" x14ac:dyDescent="0.25">
      <c r="A1699" s="8" t="s">
        <v>1569</v>
      </c>
      <c r="B1699" s="8" t="s">
        <v>1554</v>
      </c>
      <c r="C1699" s="8" t="s">
        <v>71</v>
      </c>
      <c r="D1699" s="10">
        <v>45449</v>
      </c>
      <c r="E1699" s="9">
        <v>153127</v>
      </c>
      <c r="F1699" s="2" t="str">
        <f>INDEX(Vendors!E:E,MATCH(Vendor_Analysis!C1699,Vendors!A:A,0))</f>
        <v xml:space="preserve">45 </v>
      </c>
      <c r="G1699" s="2">
        <v>45</v>
      </c>
      <c r="H1699" s="16">
        <f t="shared" si="26"/>
        <v>45494</v>
      </c>
      <c r="J1699" s="2"/>
    </row>
    <row r="1700" spans="1:10" x14ac:dyDescent="0.25">
      <c r="A1700" s="8" t="s">
        <v>1570</v>
      </c>
      <c r="B1700" s="8" t="s">
        <v>1554</v>
      </c>
      <c r="C1700" s="8" t="s">
        <v>23</v>
      </c>
      <c r="D1700" s="10">
        <v>45460</v>
      </c>
      <c r="E1700" s="9">
        <v>75580</v>
      </c>
      <c r="F1700" s="2" t="str">
        <f>INDEX(Vendors!E:E,MATCH(Vendor_Analysis!C1700,Vendors!A:A,0))</f>
        <v xml:space="preserve"> 90</v>
      </c>
      <c r="G1700" s="2">
        <v>90</v>
      </c>
      <c r="H1700" s="16">
        <f t="shared" si="26"/>
        <v>45550</v>
      </c>
      <c r="J1700" s="2"/>
    </row>
    <row r="1701" spans="1:10" x14ac:dyDescent="0.25">
      <c r="A1701" s="8" t="s">
        <v>1571</v>
      </c>
      <c r="B1701" s="8" t="s">
        <v>1554</v>
      </c>
      <c r="C1701" s="8" t="s">
        <v>12</v>
      </c>
      <c r="D1701" s="10">
        <v>45463</v>
      </c>
      <c r="E1701" s="9">
        <v>113309</v>
      </c>
      <c r="F1701" s="2" t="str">
        <f>INDEX(Vendors!E:E,MATCH(Vendor_Analysis!C1701,Vendors!A:A,0))</f>
        <v xml:space="preserve">30 </v>
      </c>
      <c r="G1701" s="2">
        <v>30</v>
      </c>
      <c r="H1701" s="16">
        <f t="shared" si="26"/>
        <v>45493</v>
      </c>
      <c r="J1701" s="2"/>
    </row>
    <row r="1702" spans="1:10" x14ac:dyDescent="0.25">
      <c r="A1702" s="8" t="s">
        <v>1572</v>
      </c>
      <c r="B1702" s="8" t="s">
        <v>1554</v>
      </c>
      <c r="C1702" s="8" t="s">
        <v>12</v>
      </c>
      <c r="D1702" s="10">
        <v>45474</v>
      </c>
      <c r="E1702" s="9">
        <v>95987</v>
      </c>
      <c r="F1702" s="2" t="str">
        <f>INDEX(Vendors!E:E,MATCH(Vendor_Analysis!C1702,Vendors!A:A,0))</f>
        <v xml:space="preserve">30 </v>
      </c>
      <c r="G1702" s="2">
        <v>30</v>
      </c>
      <c r="H1702" s="16">
        <f t="shared" si="26"/>
        <v>45504</v>
      </c>
      <c r="J1702" s="2"/>
    </row>
    <row r="1703" spans="1:10" x14ac:dyDescent="0.25">
      <c r="A1703" s="8" t="s">
        <v>1573</v>
      </c>
      <c r="B1703" s="8" t="s">
        <v>1554</v>
      </c>
      <c r="C1703" s="8" t="s">
        <v>108</v>
      </c>
      <c r="D1703" s="10">
        <v>45477</v>
      </c>
      <c r="E1703" s="9">
        <v>162955</v>
      </c>
      <c r="F1703" s="2" t="str">
        <f>INDEX(Vendors!E:E,MATCH(Vendor_Analysis!C1703,Vendors!A:A,0))</f>
        <v xml:space="preserve"> 90</v>
      </c>
      <c r="G1703" s="2">
        <v>90</v>
      </c>
      <c r="H1703" s="16">
        <f t="shared" si="26"/>
        <v>45567</v>
      </c>
      <c r="J1703" s="2"/>
    </row>
    <row r="1704" spans="1:10" x14ac:dyDescent="0.25">
      <c r="A1704" s="8" t="s">
        <v>1574</v>
      </c>
      <c r="B1704" s="8" t="s">
        <v>1554</v>
      </c>
      <c r="C1704" s="8" t="s">
        <v>27</v>
      </c>
      <c r="D1704" s="10">
        <v>45491</v>
      </c>
      <c r="E1704" s="9">
        <v>141022</v>
      </c>
      <c r="F1704" s="2" t="str">
        <f>INDEX(Vendors!E:E,MATCH(Vendor_Analysis!C1704,Vendors!A:A,0))</f>
        <v xml:space="preserve">45 </v>
      </c>
      <c r="G1704" s="2">
        <v>45</v>
      </c>
      <c r="H1704" s="16">
        <f t="shared" si="26"/>
        <v>45536</v>
      </c>
      <c r="J1704" s="2"/>
    </row>
    <row r="1705" spans="1:10" x14ac:dyDescent="0.25">
      <c r="A1705" s="8" t="s">
        <v>1575</v>
      </c>
      <c r="B1705" s="8" t="s">
        <v>1554</v>
      </c>
      <c r="C1705" s="8" t="s">
        <v>33</v>
      </c>
      <c r="D1705" s="10">
        <v>45499</v>
      </c>
      <c r="E1705" s="9">
        <v>162408</v>
      </c>
      <c r="F1705" s="2" t="str">
        <f>INDEX(Vendors!E:E,MATCH(Vendor_Analysis!C1705,Vendors!A:A,0))</f>
        <v xml:space="preserve">30 </v>
      </c>
      <c r="G1705" s="2">
        <v>30</v>
      </c>
      <c r="H1705" s="16">
        <f t="shared" si="26"/>
        <v>45529</v>
      </c>
      <c r="J1705" s="2"/>
    </row>
    <row r="1706" spans="1:10" x14ac:dyDescent="0.25">
      <c r="A1706" s="8" t="s">
        <v>1576</v>
      </c>
      <c r="B1706" s="8" t="s">
        <v>1554</v>
      </c>
      <c r="C1706" s="8" t="s">
        <v>10</v>
      </c>
      <c r="D1706" s="10">
        <v>45508</v>
      </c>
      <c r="E1706" s="9">
        <v>142684</v>
      </c>
      <c r="F1706" s="2" t="str">
        <f>INDEX(Vendors!E:E,MATCH(Vendor_Analysis!C1706,Vendors!A:A,0))</f>
        <v xml:space="preserve">60 </v>
      </c>
      <c r="G1706" s="2">
        <v>60</v>
      </c>
      <c r="H1706" s="16">
        <f t="shared" si="26"/>
        <v>45568</v>
      </c>
      <c r="J1706" s="2"/>
    </row>
    <row r="1707" spans="1:10" x14ac:dyDescent="0.25">
      <c r="A1707" s="8" t="s">
        <v>1577</v>
      </c>
      <c r="B1707" s="8" t="s">
        <v>1554</v>
      </c>
      <c r="C1707" s="8" t="s">
        <v>71</v>
      </c>
      <c r="D1707" s="10">
        <v>45519</v>
      </c>
      <c r="E1707" s="9">
        <v>104086</v>
      </c>
      <c r="F1707" s="2" t="str">
        <f>INDEX(Vendors!E:E,MATCH(Vendor_Analysis!C1707,Vendors!A:A,0))</f>
        <v xml:space="preserve">45 </v>
      </c>
      <c r="G1707" s="2">
        <v>45</v>
      </c>
      <c r="H1707" s="16">
        <f t="shared" si="26"/>
        <v>45564</v>
      </c>
      <c r="J1707" s="2"/>
    </row>
    <row r="1708" spans="1:10" x14ac:dyDescent="0.25">
      <c r="A1708" s="8" t="s">
        <v>1578</v>
      </c>
      <c r="B1708" s="8" t="s">
        <v>1554</v>
      </c>
      <c r="C1708" s="8" t="s">
        <v>25</v>
      </c>
      <c r="D1708" s="10">
        <v>45519</v>
      </c>
      <c r="E1708" s="9">
        <v>157004</v>
      </c>
      <c r="F1708" s="2" t="str">
        <f>INDEX(Vendors!E:E,MATCH(Vendor_Analysis!C1708,Vendors!A:A,0))</f>
        <v xml:space="preserve">30 </v>
      </c>
      <c r="G1708" s="2">
        <v>30</v>
      </c>
      <c r="H1708" s="16">
        <f t="shared" si="26"/>
        <v>45549</v>
      </c>
      <c r="J1708" s="2"/>
    </row>
    <row r="1709" spans="1:10" x14ac:dyDescent="0.25">
      <c r="A1709" s="8" t="s">
        <v>2021</v>
      </c>
      <c r="B1709" s="8" t="s">
        <v>1554</v>
      </c>
      <c r="C1709" s="8" t="s">
        <v>108</v>
      </c>
      <c r="D1709" s="10">
        <v>45525</v>
      </c>
      <c r="E1709" s="9">
        <v>143834</v>
      </c>
      <c r="F1709" s="2" t="str">
        <f>INDEX(Vendors!E:E,MATCH(Vendor_Analysis!C1709,Vendors!A:A,0))</f>
        <v xml:space="preserve"> 90</v>
      </c>
      <c r="G1709" s="2">
        <v>90</v>
      </c>
      <c r="H1709" s="16">
        <f t="shared" si="26"/>
        <v>45615</v>
      </c>
      <c r="J1709" s="2"/>
    </row>
    <row r="1710" spans="1:10" x14ac:dyDescent="0.25">
      <c r="A1710" s="8" t="s">
        <v>2022</v>
      </c>
      <c r="B1710" s="8" t="s">
        <v>1554</v>
      </c>
      <c r="C1710" s="8" t="s">
        <v>19</v>
      </c>
      <c r="D1710" s="10">
        <v>45533</v>
      </c>
      <c r="E1710" s="9">
        <v>125366</v>
      </c>
      <c r="F1710" s="2" t="str">
        <f>INDEX(Vendors!E:E,MATCH(Vendor_Analysis!C1710,Vendors!A:A,0))</f>
        <v xml:space="preserve">45 </v>
      </c>
      <c r="G1710" s="2">
        <v>45</v>
      </c>
      <c r="H1710" s="16">
        <f t="shared" si="26"/>
        <v>45578</v>
      </c>
      <c r="J1710" s="2"/>
    </row>
    <row r="1711" spans="1:10" x14ac:dyDescent="0.25">
      <c r="A1711" s="8" t="s">
        <v>2023</v>
      </c>
      <c r="B1711" s="8" t="s">
        <v>1554</v>
      </c>
      <c r="C1711" s="8" t="s">
        <v>73</v>
      </c>
      <c r="D1711" s="10">
        <v>45554</v>
      </c>
      <c r="E1711" s="9">
        <v>84930</v>
      </c>
      <c r="F1711" s="2" t="str">
        <f>INDEX(Vendors!E:E,MATCH(Vendor_Analysis!C1711,Vendors!A:A,0))</f>
        <v xml:space="preserve">60 </v>
      </c>
      <c r="G1711" s="2">
        <v>60</v>
      </c>
      <c r="H1711" s="16">
        <f t="shared" si="26"/>
        <v>45614</v>
      </c>
      <c r="J1711" s="2"/>
    </row>
    <row r="1712" spans="1:10" x14ac:dyDescent="0.25">
      <c r="A1712" s="8" t="s">
        <v>2024</v>
      </c>
      <c r="B1712" s="8" t="s">
        <v>1554</v>
      </c>
      <c r="C1712" s="8" t="s">
        <v>27</v>
      </c>
      <c r="D1712" s="10">
        <v>45556</v>
      </c>
      <c r="E1712" s="9">
        <v>176108</v>
      </c>
      <c r="F1712" s="2" t="str">
        <f>INDEX(Vendors!E:E,MATCH(Vendor_Analysis!C1712,Vendors!A:A,0))</f>
        <v xml:space="preserve">45 </v>
      </c>
      <c r="G1712" s="2">
        <v>45</v>
      </c>
      <c r="H1712" s="16">
        <f t="shared" si="26"/>
        <v>45601</v>
      </c>
      <c r="J1712" s="2"/>
    </row>
    <row r="1713" spans="1:10" x14ac:dyDescent="0.25">
      <c r="A1713" s="8" t="s">
        <v>2025</v>
      </c>
      <c r="B1713" s="8" t="s">
        <v>1554</v>
      </c>
      <c r="C1713" s="8" t="s">
        <v>23</v>
      </c>
      <c r="D1713" s="10">
        <v>45572</v>
      </c>
      <c r="E1713" s="9">
        <v>140612</v>
      </c>
      <c r="F1713" s="2" t="str">
        <f>INDEX(Vendors!E:E,MATCH(Vendor_Analysis!C1713,Vendors!A:A,0))</f>
        <v xml:space="preserve"> 90</v>
      </c>
      <c r="G1713" s="2">
        <v>90</v>
      </c>
      <c r="H1713" s="16">
        <f t="shared" si="26"/>
        <v>45662</v>
      </c>
      <c r="J1713" s="2"/>
    </row>
    <row r="1714" spans="1:10" x14ac:dyDescent="0.25">
      <c r="A1714" s="8" t="s">
        <v>2026</v>
      </c>
      <c r="B1714" s="8" t="s">
        <v>1554</v>
      </c>
      <c r="C1714" s="8" t="s">
        <v>33</v>
      </c>
      <c r="D1714" s="10">
        <v>45588</v>
      </c>
      <c r="E1714" s="9">
        <v>151200</v>
      </c>
      <c r="F1714" s="2" t="str">
        <f>INDEX(Vendors!E:E,MATCH(Vendor_Analysis!C1714,Vendors!A:A,0))</f>
        <v xml:space="preserve">30 </v>
      </c>
      <c r="G1714" s="2">
        <v>30</v>
      </c>
      <c r="H1714" s="16">
        <f t="shared" si="26"/>
        <v>45618</v>
      </c>
      <c r="J1714" s="2"/>
    </row>
    <row r="1715" spans="1:10" x14ac:dyDescent="0.25">
      <c r="A1715" s="8" t="s">
        <v>2027</v>
      </c>
      <c r="B1715" s="8" t="s">
        <v>1554</v>
      </c>
      <c r="C1715" s="8" t="s">
        <v>108</v>
      </c>
      <c r="D1715" s="10">
        <v>45602</v>
      </c>
      <c r="E1715" s="9">
        <v>100358</v>
      </c>
      <c r="F1715" s="2" t="str">
        <f>INDEX(Vendors!E:E,MATCH(Vendor_Analysis!C1715,Vendors!A:A,0))</f>
        <v xml:space="preserve"> 90</v>
      </c>
      <c r="G1715" s="2">
        <v>90</v>
      </c>
      <c r="H1715" s="16">
        <f t="shared" si="26"/>
        <v>45692</v>
      </c>
      <c r="J1715" s="2"/>
    </row>
    <row r="1716" spans="1:10" x14ac:dyDescent="0.25">
      <c r="A1716" s="8" t="s">
        <v>2028</v>
      </c>
      <c r="B1716" s="8" t="s">
        <v>1554</v>
      </c>
      <c r="C1716" s="8" t="s">
        <v>71</v>
      </c>
      <c r="D1716" s="10">
        <v>45627</v>
      </c>
      <c r="E1716" s="9">
        <v>67653</v>
      </c>
      <c r="F1716" s="2" t="str">
        <f>INDEX(Vendors!E:E,MATCH(Vendor_Analysis!C1716,Vendors!A:A,0))</f>
        <v xml:space="preserve">45 </v>
      </c>
      <c r="G1716" s="2">
        <v>45</v>
      </c>
      <c r="H1716" s="16">
        <f t="shared" si="26"/>
        <v>45672</v>
      </c>
      <c r="J1716" s="2"/>
    </row>
    <row r="1717" spans="1:10" x14ac:dyDescent="0.25">
      <c r="A1717" s="8" t="s">
        <v>2029</v>
      </c>
      <c r="B1717" s="8" t="s">
        <v>1554</v>
      </c>
      <c r="C1717" s="8" t="s">
        <v>44</v>
      </c>
      <c r="D1717" s="10">
        <v>45629</v>
      </c>
      <c r="E1717" s="9">
        <v>118864</v>
      </c>
      <c r="F1717" s="2" t="str">
        <f>INDEX(Vendors!E:E,MATCH(Vendor_Analysis!C1717,Vendors!A:A,0))</f>
        <v xml:space="preserve">45 </v>
      </c>
      <c r="G1717" s="2">
        <v>45</v>
      </c>
      <c r="H1717" s="16">
        <f t="shared" si="26"/>
        <v>45674</v>
      </c>
      <c r="J1717" s="2"/>
    </row>
    <row r="1718" spans="1:10" x14ac:dyDescent="0.25">
      <c r="A1718" s="8" t="s">
        <v>2030</v>
      </c>
      <c r="B1718" s="8" t="s">
        <v>1554</v>
      </c>
      <c r="C1718" s="8" t="s">
        <v>44</v>
      </c>
      <c r="D1718" s="10">
        <v>45639</v>
      </c>
      <c r="E1718" s="9">
        <v>106986</v>
      </c>
      <c r="F1718" s="2" t="str">
        <f>INDEX(Vendors!E:E,MATCH(Vendor_Analysis!C1718,Vendors!A:A,0))</f>
        <v xml:space="preserve">45 </v>
      </c>
      <c r="G1718" s="2">
        <v>45</v>
      </c>
      <c r="H1718" s="16">
        <f t="shared" si="26"/>
        <v>45684</v>
      </c>
      <c r="J1718" s="2"/>
    </row>
    <row r="1719" spans="1:10" x14ac:dyDescent="0.25">
      <c r="A1719" s="8" t="s">
        <v>2031</v>
      </c>
      <c r="B1719" s="8" t="s">
        <v>1554</v>
      </c>
      <c r="C1719" s="8" t="s">
        <v>14</v>
      </c>
      <c r="D1719" s="10">
        <v>45650</v>
      </c>
      <c r="E1719" s="9">
        <v>98909</v>
      </c>
      <c r="F1719" s="2" t="str">
        <f>INDEX(Vendors!E:E,MATCH(Vendor_Analysis!C1719,Vendors!A:A,0))</f>
        <v xml:space="preserve"> 90</v>
      </c>
      <c r="G1719" s="2">
        <v>90</v>
      </c>
      <c r="H1719" s="16">
        <f t="shared" si="26"/>
        <v>45740</v>
      </c>
      <c r="J1719" s="2"/>
    </row>
    <row r="1720" spans="1:10" x14ac:dyDescent="0.25">
      <c r="A1720" s="8" t="s">
        <v>2032</v>
      </c>
      <c r="B1720" s="8" t="s">
        <v>1554</v>
      </c>
      <c r="C1720" s="8" t="s">
        <v>55</v>
      </c>
      <c r="D1720" s="10">
        <v>45660</v>
      </c>
      <c r="E1720" s="9">
        <v>111431</v>
      </c>
      <c r="F1720" s="2" t="str">
        <f>INDEX(Vendors!E:E,MATCH(Vendor_Analysis!C1720,Vendors!A:A,0))</f>
        <v xml:space="preserve">30 </v>
      </c>
      <c r="G1720" s="2">
        <v>30</v>
      </c>
      <c r="H1720" s="16">
        <f t="shared" si="26"/>
        <v>45690</v>
      </c>
      <c r="J1720" s="2"/>
    </row>
    <row r="1721" spans="1:10" x14ac:dyDescent="0.25">
      <c r="A1721" s="8" t="s">
        <v>2033</v>
      </c>
      <c r="B1721" s="8" t="s">
        <v>1554</v>
      </c>
      <c r="C1721" s="8" t="s">
        <v>35</v>
      </c>
      <c r="D1721" s="10">
        <v>45670</v>
      </c>
      <c r="E1721" s="9">
        <v>124773</v>
      </c>
      <c r="F1721" s="2" t="str">
        <f>INDEX(Vendors!E:E,MATCH(Vendor_Analysis!C1721,Vendors!A:A,0))</f>
        <v xml:space="preserve">60 </v>
      </c>
      <c r="G1721" s="2">
        <v>60</v>
      </c>
      <c r="H1721" s="16">
        <f t="shared" si="26"/>
        <v>45730</v>
      </c>
      <c r="J1721" s="2"/>
    </row>
    <row r="1722" spans="1:10" x14ac:dyDescent="0.25">
      <c r="A1722" s="8" t="s">
        <v>2034</v>
      </c>
      <c r="B1722" s="8" t="s">
        <v>1554</v>
      </c>
      <c r="C1722" s="8" t="s">
        <v>109</v>
      </c>
      <c r="D1722" s="10">
        <v>45697</v>
      </c>
      <c r="E1722" s="9">
        <v>83857</v>
      </c>
      <c r="F1722" s="2" t="str">
        <f>INDEX(Vendors!E:E,MATCH(Vendor_Analysis!C1722,Vendors!A:A,0))</f>
        <v xml:space="preserve">30 </v>
      </c>
      <c r="G1722" s="2">
        <v>30</v>
      </c>
      <c r="H1722" s="16">
        <f t="shared" si="26"/>
        <v>45727</v>
      </c>
      <c r="J1722" s="2"/>
    </row>
    <row r="1723" spans="1:10" x14ac:dyDescent="0.25">
      <c r="A1723" s="8" t="s">
        <v>2035</v>
      </c>
      <c r="B1723" s="8" t="s">
        <v>1554</v>
      </c>
      <c r="C1723" s="8" t="s">
        <v>48</v>
      </c>
      <c r="D1723" s="10">
        <v>45700</v>
      </c>
      <c r="E1723" s="9">
        <v>60631</v>
      </c>
      <c r="F1723" s="2" t="str">
        <f>INDEX(Vendors!E:E,MATCH(Vendor_Analysis!C1723,Vendors!A:A,0))</f>
        <v xml:space="preserve"> 90</v>
      </c>
      <c r="G1723" s="2">
        <v>90</v>
      </c>
      <c r="H1723" s="16">
        <f t="shared" si="26"/>
        <v>45790</v>
      </c>
      <c r="J1723" s="2"/>
    </row>
    <row r="1724" spans="1:10" x14ac:dyDescent="0.25">
      <c r="A1724" s="8" t="s">
        <v>2036</v>
      </c>
      <c r="B1724" s="8" t="s">
        <v>1554</v>
      </c>
      <c r="C1724" s="8" t="s">
        <v>23</v>
      </c>
      <c r="D1724" s="10">
        <v>45714</v>
      </c>
      <c r="E1724" s="9">
        <v>112835</v>
      </c>
      <c r="F1724" s="2" t="str">
        <f>INDEX(Vendors!E:E,MATCH(Vendor_Analysis!C1724,Vendors!A:A,0))</f>
        <v xml:space="preserve"> 90</v>
      </c>
      <c r="G1724" s="2">
        <v>90</v>
      </c>
      <c r="H1724" s="16">
        <f t="shared" si="26"/>
        <v>45804</v>
      </c>
      <c r="J1724" s="2"/>
    </row>
    <row r="1725" spans="1:10" x14ac:dyDescent="0.25">
      <c r="A1725" s="8" t="s">
        <v>2037</v>
      </c>
      <c r="B1725" s="8" t="s">
        <v>1554</v>
      </c>
      <c r="C1725" s="8" t="s">
        <v>50</v>
      </c>
      <c r="D1725" s="10">
        <v>45719</v>
      </c>
      <c r="E1725" s="9">
        <v>54631</v>
      </c>
      <c r="F1725" s="2" t="str">
        <f>INDEX(Vendors!E:E,MATCH(Vendor_Analysis!C1725,Vendors!A:A,0))</f>
        <v xml:space="preserve"> 90</v>
      </c>
      <c r="G1725" s="2">
        <v>90</v>
      </c>
      <c r="H1725" s="16">
        <f t="shared" si="26"/>
        <v>45809</v>
      </c>
      <c r="J1725" s="2"/>
    </row>
    <row r="1726" spans="1:10" x14ac:dyDescent="0.25">
      <c r="A1726" s="8" t="s">
        <v>2038</v>
      </c>
      <c r="B1726" s="8" t="s">
        <v>1554</v>
      </c>
      <c r="C1726" s="8" t="s">
        <v>71</v>
      </c>
      <c r="D1726" s="10">
        <v>45721</v>
      </c>
      <c r="E1726" s="9">
        <v>124301</v>
      </c>
      <c r="F1726" s="2" t="str">
        <f>INDEX(Vendors!E:E,MATCH(Vendor_Analysis!C1726,Vendors!A:A,0))</f>
        <v xml:space="preserve">45 </v>
      </c>
      <c r="G1726" s="2">
        <v>45</v>
      </c>
      <c r="H1726" s="16">
        <f t="shared" si="26"/>
        <v>45766</v>
      </c>
      <c r="J1726" s="2"/>
    </row>
    <row r="1727" spans="1:10" x14ac:dyDescent="0.25">
      <c r="A1727" s="8" t="s">
        <v>2039</v>
      </c>
      <c r="B1727" s="8" t="s">
        <v>1554</v>
      </c>
      <c r="C1727" s="8" t="s">
        <v>12</v>
      </c>
      <c r="D1727" s="10">
        <v>45729</v>
      </c>
      <c r="E1727" s="9">
        <v>125558</v>
      </c>
      <c r="F1727" s="2" t="str">
        <f>INDEX(Vendors!E:E,MATCH(Vendor_Analysis!C1727,Vendors!A:A,0))</f>
        <v xml:space="preserve">30 </v>
      </c>
      <c r="G1727" s="2">
        <v>30</v>
      </c>
      <c r="H1727" s="16">
        <f t="shared" si="26"/>
        <v>45759</v>
      </c>
      <c r="J1727" s="2"/>
    </row>
    <row r="1728" spans="1:10" x14ac:dyDescent="0.25">
      <c r="A1728" s="8" t="s">
        <v>2040</v>
      </c>
      <c r="B1728" s="8" t="s">
        <v>1554</v>
      </c>
      <c r="C1728" s="8" t="s">
        <v>91</v>
      </c>
      <c r="D1728" s="10">
        <v>45747</v>
      </c>
      <c r="E1728" s="9">
        <v>121934</v>
      </c>
      <c r="F1728" s="2" t="str">
        <f>INDEX(Vendors!E:E,MATCH(Vendor_Analysis!C1728,Vendors!A:A,0))</f>
        <v xml:space="preserve">60 </v>
      </c>
      <c r="G1728" s="2">
        <v>60</v>
      </c>
      <c r="H1728" s="16">
        <f t="shared" si="26"/>
        <v>45807</v>
      </c>
      <c r="J1728" s="2"/>
    </row>
    <row r="1729" spans="1:10" x14ac:dyDescent="0.25">
      <c r="A1729" s="8" t="s">
        <v>2041</v>
      </c>
      <c r="B1729" s="8" t="s">
        <v>1554</v>
      </c>
      <c r="C1729" s="8" t="s">
        <v>21</v>
      </c>
      <c r="D1729" s="10">
        <v>45762</v>
      </c>
      <c r="E1729" s="9">
        <v>52374</v>
      </c>
      <c r="F1729" s="2" t="str">
        <f>INDEX(Vendors!E:E,MATCH(Vendor_Analysis!C1729,Vendors!A:A,0))</f>
        <v xml:space="preserve"> 90</v>
      </c>
      <c r="G1729" s="2">
        <v>90</v>
      </c>
      <c r="H1729" s="16">
        <f t="shared" si="26"/>
        <v>45852</v>
      </c>
      <c r="J1729" s="2"/>
    </row>
    <row r="1730" spans="1:10" x14ac:dyDescent="0.25">
      <c r="A1730" s="8" t="s">
        <v>2042</v>
      </c>
      <c r="B1730" s="8" t="s">
        <v>1554</v>
      </c>
      <c r="C1730" s="8" t="s">
        <v>27</v>
      </c>
      <c r="D1730" s="10">
        <v>45769</v>
      </c>
      <c r="E1730" s="9">
        <v>61040</v>
      </c>
      <c r="F1730" s="2" t="str">
        <f>INDEX(Vendors!E:E,MATCH(Vendor_Analysis!C1730,Vendors!A:A,0))</f>
        <v xml:space="preserve">45 </v>
      </c>
      <c r="G1730" s="2">
        <v>45</v>
      </c>
      <c r="H1730" s="16">
        <f t="shared" si="26"/>
        <v>45814</v>
      </c>
      <c r="J1730" s="2"/>
    </row>
    <row r="1731" spans="1:10" x14ac:dyDescent="0.25">
      <c r="A1731" s="8" t="s">
        <v>2043</v>
      </c>
      <c r="B1731" s="8" t="s">
        <v>1554</v>
      </c>
      <c r="C1731" s="8" t="s">
        <v>6</v>
      </c>
      <c r="D1731" s="10">
        <v>45772</v>
      </c>
      <c r="E1731" s="9">
        <v>73491</v>
      </c>
      <c r="F1731" s="2" t="str">
        <f>INDEX(Vendors!E:E,MATCH(Vendor_Analysis!C1731,Vendors!A:A,0))</f>
        <v xml:space="preserve">60 </v>
      </c>
      <c r="G1731" s="2">
        <v>60</v>
      </c>
      <c r="H1731" s="16">
        <f t="shared" ref="H1731:H1794" si="27">D1731+F1731</f>
        <v>45832</v>
      </c>
      <c r="J1731" s="2"/>
    </row>
    <row r="1732" spans="1:10" x14ac:dyDescent="0.25">
      <c r="A1732" s="8" t="s">
        <v>2044</v>
      </c>
      <c r="B1732" s="8" t="s">
        <v>1554</v>
      </c>
      <c r="C1732" s="8" t="s">
        <v>17</v>
      </c>
      <c r="D1732" s="10">
        <v>45777</v>
      </c>
      <c r="E1732" s="9">
        <v>112882</v>
      </c>
      <c r="F1732" s="2" t="str">
        <f>INDEX(Vendors!E:E,MATCH(Vendor_Analysis!C1732,Vendors!A:A,0))</f>
        <v xml:space="preserve">45 </v>
      </c>
      <c r="G1732" s="2">
        <v>45</v>
      </c>
      <c r="H1732" s="16">
        <f t="shared" si="27"/>
        <v>45822</v>
      </c>
      <c r="J1732" s="2"/>
    </row>
    <row r="1733" spans="1:10" x14ac:dyDescent="0.25">
      <c r="A1733" s="8" t="s">
        <v>2045</v>
      </c>
      <c r="B1733" s="8" t="s">
        <v>1554</v>
      </c>
      <c r="C1733" s="8" t="s">
        <v>37</v>
      </c>
      <c r="D1733" s="10">
        <v>45780</v>
      </c>
      <c r="E1733" s="9">
        <v>125907</v>
      </c>
      <c r="F1733" s="2" t="str">
        <f>INDEX(Vendors!E:E,MATCH(Vendor_Analysis!C1733,Vendors!A:A,0))</f>
        <v xml:space="preserve">30 </v>
      </c>
      <c r="G1733" s="2">
        <v>30</v>
      </c>
      <c r="H1733" s="16">
        <f t="shared" si="27"/>
        <v>45810</v>
      </c>
      <c r="J1733" s="2"/>
    </row>
    <row r="1734" spans="1:10" x14ac:dyDescent="0.25">
      <c r="A1734" s="8" t="s">
        <v>1579</v>
      </c>
      <c r="B1734" s="8" t="s">
        <v>1580</v>
      </c>
      <c r="C1734" s="8" t="s">
        <v>91</v>
      </c>
      <c r="D1734" s="10">
        <v>45143</v>
      </c>
      <c r="E1734" s="9">
        <v>37473</v>
      </c>
      <c r="F1734" s="2" t="str">
        <f>INDEX(Vendors!E:E,MATCH(Vendor_Analysis!C1734,Vendors!A:A,0))</f>
        <v xml:space="preserve">60 </v>
      </c>
      <c r="G1734" s="2">
        <v>60</v>
      </c>
      <c r="H1734" s="16">
        <f t="shared" si="27"/>
        <v>45203</v>
      </c>
      <c r="J1734" s="2"/>
    </row>
    <row r="1735" spans="1:10" x14ac:dyDescent="0.25">
      <c r="A1735" s="8" t="s">
        <v>1581</v>
      </c>
      <c r="B1735" s="8" t="s">
        <v>1580</v>
      </c>
      <c r="C1735" s="8" t="s">
        <v>55</v>
      </c>
      <c r="D1735" s="10">
        <v>45153</v>
      </c>
      <c r="E1735" s="9">
        <v>19669</v>
      </c>
      <c r="F1735" s="2" t="str">
        <f>INDEX(Vendors!E:E,MATCH(Vendor_Analysis!C1735,Vendors!A:A,0))</f>
        <v xml:space="preserve">30 </v>
      </c>
      <c r="G1735" s="2">
        <v>30</v>
      </c>
      <c r="H1735" s="16">
        <f t="shared" si="27"/>
        <v>45183</v>
      </c>
      <c r="J1735" s="2"/>
    </row>
    <row r="1736" spans="1:10" x14ac:dyDescent="0.25">
      <c r="A1736" s="8" t="s">
        <v>1582</v>
      </c>
      <c r="B1736" s="8" t="s">
        <v>1580</v>
      </c>
      <c r="C1736" s="8" t="s">
        <v>71</v>
      </c>
      <c r="D1736" s="10">
        <v>45175</v>
      </c>
      <c r="E1736" s="9">
        <v>14971</v>
      </c>
      <c r="F1736" s="2" t="str">
        <f>INDEX(Vendors!E:E,MATCH(Vendor_Analysis!C1736,Vendors!A:A,0))</f>
        <v xml:space="preserve">45 </v>
      </c>
      <c r="G1736" s="2">
        <v>45</v>
      </c>
      <c r="H1736" s="16">
        <f t="shared" si="27"/>
        <v>45220</v>
      </c>
      <c r="J1736" s="2"/>
    </row>
    <row r="1737" spans="1:10" x14ac:dyDescent="0.25">
      <c r="A1737" s="8" t="s">
        <v>1583</v>
      </c>
      <c r="B1737" s="8" t="s">
        <v>1580</v>
      </c>
      <c r="C1737" s="8" t="s">
        <v>37</v>
      </c>
      <c r="D1737" s="10">
        <v>45177</v>
      </c>
      <c r="E1737" s="9">
        <v>32515</v>
      </c>
      <c r="F1737" s="2" t="str">
        <f>INDEX(Vendors!E:E,MATCH(Vendor_Analysis!C1737,Vendors!A:A,0))</f>
        <v xml:space="preserve">30 </v>
      </c>
      <c r="G1737" s="2">
        <v>30</v>
      </c>
      <c r="H1737" s="16">
        <f t="shared" si="27"/>
        <v>45207</v>
      </c>
      <c r="J1737" s="2"/>
    </row>
    <row r="1738" spans="1:10" x14ac:dyDescent="0.25">
      <c r="A1738" s="8" t="s">
        <v>1584</v>
      </c>
      <c r="B1738" s="8" t="s">
        <v>1580</v>
      </c>
      <c r="C1738" s="8" t="s">
        <v>27</v>
      </c>
      <c r="D1738" s="10">
        <v>45221</v>
      </c>
      <c r="E1738" s="9">
        <v>19429</v>
      </c>
      <c r="F1738" s="2" t="str">
        <f>INDEX(Vendors!E:E,MATCH(Vendor_Analysis!C1738,Vendors!A:A,0))</f>
        <v xml:space="preserve">45 </v>
      </c>
      <c r="G1738" s="2">
        <v>45</v>
      </c>
      <c r="H1738" s="16">
        <f t="shared" si="27"/>
        <v>45266</v>
      </c>
      <c r="J1738" s="2"/>
    </row>
    <row r="1739" spans="1:10" x14ac:dyDescent="0.25">
      <c r="A1739" s="8" t="s">
        <v>1585</v>
      </c>
      <c r="B1739" s="8" t="s">
        <v>1580</v>
      </c>
      <c r="C1739" s="8" t="s">
        <v>27</v>
      </c>
      <c r="D1739" s="10">
        <v>45229</v>
      </c>
      <c r="E1739" s="9">
        <v>27820</v>
      </c>
      <c r="F1739" s="2" t="str">
        <f>INDEX(Vendors!E:E,MATCH(Vendor_Analysis!C1739,Vendors!A:A,0))</f>
        <v xml:space="preserve">45 </v>
      </c>
      <c r="G1739" s="2">
        <v>45</v>
      </c>
      <c r="H1739" s="16">
        <f t="shared" si="27"/>
        <v>45274</v>
      </c>
      <c r="J1739" s="2"/>
    </row>
    <row r="1740" spans="1:10" x14ac:dyDescent="0.25">
      <c r="A1740" s="8" t="s">
        <v>1586</v>
      </c>
      <c r="B1740" s="8" t="s">
        <v>1580</v>
      </c>
      <c r="C1740" s="8" t="s">
        <v>91</v>
      </c>
      <c r="D1740" s="10">
        <v>45259</v>
      </c>
      <c r="E1740" s="9">
        <v>24451</v>
      </c>
      <c r="F1740" s="2" t="str">
        <f>INDEX(Vendors!E:E,MATCH(Vendor_Analysis!C1740,Vendors!A:A,0))</f>
        <v xml:space="preserve">60 </v>
      </c>
      <c r="G1740" s="2">
        <v>60</v>
      </c>
      <c r="H1740" s="16">
        <f t="shared" si="27"/>
        <v>45319</v>
      </c>
      <c r="J1740" s="2"/>
    </row>
    <row r="1741" spans="1:10" x14ac:dyDescent="0.25">
      <c r="A1741" s="8" t="s">
        <v>1587</v>
      </c>
      <c r="B1741" s="8" t="s">
        <v>1580</v>
      </c>
      <c r="C1741" s="8" t="s">
        <v>29</v>
      </c>
      <c r="D1741" s="10">
        <v>45292</v>
      </c>
      <c r="E1741" s="9">
        <v>16994</v>
      </c>
      <c r="F1741" s="2" t="str">
        <f>INDEX(Vendors!E:E,MATCH(Vendor_Analysis!C1741,Vendors!A:A,0))</f>
        <v xml:space="preserve">30 </v>
      </c>
      <c r="G1741" s="2">
        <v>30</v>
      </c>
      <c r="H1741" s="16">
        <f t="shared" si="27"/>
        <v>45322</v>
      </c>
      <c r="J1741" s="2"/>
    </row>
    <row r="1742" spans="1:10" x14ac:dyDescent="0.25">
      <c r="A1742" s="8" t="s">
        <v>1588</v>
      </c>
      <c r="B1742" s="8" t="s">
        <v>1580</v>
      </c>
      <c r="C1742" s="8" t="s">
        <v>12</v>
      </c>
      <c r="D1742" s="10">
        <v>45293</v>
      </c>
      <c r="E1742" s="9">
        <v>29480</v>
      </c>
      <c r="F1742" s="2" t="str">
        <f>INDEX(Vendors!E:E,MATCH(Vendor_Analysis!C1742,Vendors!A:A,0))</f>
        <v xml:space="preserve">30 </v>
      </c>
      <c r="G1742" s="2">
        <v>30</v>
      </c>
      <c r="H1742" s="16">
        <f t="shared" si="27"/>
        <v>45323</v>
      </c>
      <c r="J1742" s="2"/>
    </row>
    <row r="1743" spans="1:10" x14ac:dyDescent="0.25">
      <c r="A1743" s="8" t="s">
        <v>1589</v>
      </c>
      <c r="B1743" s="8" t="s">
        <v>1580</v>
      </c>
      <c r="C1743" s="8" t="s">
        <v>108</v>
      </c>
      <c r="D1743" s="10">
        <v>45301</v>
      </c>
      <c r="E1743" s="9">
        <v>29296</v>
      </c>
      <c r="F1743" s="2" t="str">
        <f>INDEX(Vendors!E:E,MATCH(Vendor_Analysis!C1743,Vendors!A:A,0))</f>
        <v xml:space="preserve"> 90</v>
      </c>
      <c r="G1743" s="2">
        <v>90</v>
      </c>
      <c r="H1743" s="16">
        <f t="shared" si="27"/>
        <v>45391</v>
      </c>
      <c r="J1743" s="2"/>
    </row>
    <row r="1744" spans="1:10" x14ac:dyDescent="0.25">
      <c r="A1744" s="8" t="s">
        <v>1590</v>
      </c>
      <c r="B1744" s="8" t="s">
        <v>1580</v>
      </c>
      <c r="C1744" s="8" t="s">
        <v>110</v>
      </c>
      <c r="D1744" s="10">
        <v>45311</v>
      </c>
      <c r="E1744" s="9">
        <v>32659</v>
      </c>
      <c r="F1744" s="2" t="str">
        <f>INDEX(Vendors!E:E,MATCH(Vendor_Analysis!C1744,Vendors!A:A,0))</f>
        <v xml:space="preserve">30 </v>
      </c>
      <c r="G1744" s="2">
        <v>30</v>
      </c>
      <c r="H1744" s="16">
        <f t="shared" si="27"/>
        <v>45341</v>
      </c>
      <c r="J1744" s="2"/>
    </row>
    <row r="1745" spans="1:10" x14ac:dyDescent="0.25">
      <c r="A1745" s="8" t="s">
        <v>1591</v>
      </c>
      <c r="B1745" s="8" t="s">
        <v>1580</v>
      </c>
      <c r="C1745" s="8" t="s">
        <v>23</v>
      </c>
      <c r="D1745" s="10">
        <v>45324</v>
      </c>
      <c r="E1745" s="9">
        <v>16596</v>
      </c>
      <c r="F1745" s="2" t="str">
        <f>INDEX(Vendors!E:E,MATCH(Vendor_Analysis!C1745,Vendors!A:A,0))</f>
        <v xml:space="preserve"> 90</v>
      </c>
      <c r="G1745" s="2">
        <v>90</v>
      </c>
      <c r="H1745" s="16">
        <f t="shared" si="27"/>
        <v>45414</v>
      </c>
      <c r="J1745" s="2"/>
    </row>
    <row r="1746" spans="1:10" x14ac:dyDescent="0.25">
      <c r="A1746" s="8" t="s">
        <v>1592</v>
      </c>
      <c r="B1746" s="8" t="s">
        <v>1580</v>
      </c>
      <c r="C1746" s="8" t="s">
        <v>12</v>
      </c>
      <c r="D1746" s="10">
        <v>45326</v>
      </c>
      <c r="E1746" s="9">
        <v>40624</v>
      </c>
      <c r="F1746" s="2" t="str">
        <f>INDEX(Vendors!E:E,MATCH(Vendor_Analysis!C1746,Vendors!A:A,0))</f>
        <v xml:space="preserve">30 </v>
      </c>
      <c r="G1746" s="2">
        <v>30</v>
      </c>
      <c r="H1746" s="16">
        <f t="shared" si="27"/>
        <v>45356</v>
      </c>
      <c r="J1746" s="2"/>
    </row>
    <row r="1747" spans="1:10" x14ac:dyDescent="0.25">
      <c r="A1747" s="8" t="s">
        <v>1593</v>
      </c>
      <c r="B1747" s="8" t="s">
        <v>1580</v>
      </c>
      <c r="C1747" s="8" t="s">
        <v>10</v>
      </c>
      <c r="D1747" s="10">
        <v>45338</v>
      </c>
      <c r="E1747" s="9">
        <v>46934</v>
      </c>
      <c r="F1747" s="2" t="str">
        <f>INDEX(Vendors!E:E,MATCH(Vendor_Analysis!C1747,Vendors!A:A,0))</f>
        <v xml:space="preserve">60 </v>
      </c>
      <c r="G1747" s="2">
        <v>60</v>
      </c>
      <c r="H1747" s="16">
        <f t="shared" si="27"/>
        <v>45398</v>
      </c>
      <c r="J1747" s="2"/>
    </row>
    <row r="1748" spans="1:10" x14ac:dyDescent="0.25">
      <c r="A1748" s="8" t="s">
        <v>1594</v>
      </c>
      <c r="B1748" s="8" t="s">
        <v>1580</v>
      </c>
      <c r="C1748" s="8" t="s">
        <v>21</v>
      </c>
      <c r="D1748" s="10">
        <v>45344</v>
      </c>
      <c r="E1748" s="9">
        <v>17809</v>
      </c>
      <c r="F1748" s="2" t="str">
        <f>INDEX(Vendors!E:E,MATCH(Vendor_Analysis!C1748,Vendors!A:A,0))</f>
        <v xml:space="preserve"> 90</v>
      </c>
      <c r="G1748" s="2">
        <v>90</v>
      </c>
      <c r="H1748" s="16">
        <f t="shared" si="27"/>
        <v>45434</v>
      </c>
      <c r="J1748" s="2"/>
    </row>
    <row r="1749" spans="1:10" x14ac:dyDescent="0.25">
      <c r="A1749" s="8" t="s">
        <v>1595</v>
      </c>
      <c r="B1749" s="8" t="s">
        <v>1580</v>
      </c>
      <c r="C1749" s="8" t="s">
        <v>110</v>
      </c>
      <c r="D1749" s="10">
        <v>45353</v>
      </c>
      <c r="E1749" s="9">
        <v>29612</v>
      </c>
      <c r="F1749" s="2" t="str">
        <f>INDEX(Vendors!E:E,MATCH(Vendor_Analysis!C1749,Vendors!A:A,0))</f>
        <v xml:space="preserve">30 </v>
      </c>
      <c r="G1749" s="2">
        <v>30</v>
      </c>
      <c r="H1749" s="16">
        <f t="shared" si="27"/>
        <v>45383</v>
      </c>
      <c r="J1749" s="2"/>
    </row>
    <row r="1750" spans="1:10" x14ac:dyDescent="0.25">
      <c r="A1750" s="8" t="s">
        <v>1596</v>
      </c>
      <c r="B1750" s="8" t="s">
        <v>1580</v>
      </c>
      <c r="C1750" s="8" t="s">
        <v>109</v>
      </c>
      <c r="D1750" s="10">
        <v>45366</v>
      </c>
      <c r="E1750" s="9">
        <v>18988</v>
      </c>
      <c r="F1750" s="2" t="str">
        <f>INDEX(Vendors!E:E,MATCH(Vendor_Analysis!C1750,Vendors!A:A,0))</f>
        <v xml:space="preserve">30 </v>
      </c>
      <c r="G1750" s="2">
        <v>30</v>
      </c>
      <c r="H1750" s="16">
        <f t="shared" si="27"/>
        <v>45396</v>
      </c>
      <c r="J1750" s="2"/>
    </row>
    <row r="1751" spans="1:10" x14ac:dyDescent="0.25">
      <c r="A1751" s="8" t="s">
        <v>1597</v>
      </c>
      <c r="B1751" s="8" t="s">
        <v>1580</v>
      </c>
      <c r="C1751" s="8" t="s">
        <v>14</v>
      </c>
      <c r="D1751" s="10">
        <v>45366</v>
      </c>
      <c r="E1751" s="9">
        <v>21641</v>
      </c>
      <c r="F1751" s="2" t="str">
        <f>INDEX(Vendors!E:E,MATCH(Vendor_Analysis!C1751,Vendors!A:A,0))</f>
        <v xml:space="preserve"> 90</v>
      </c>
      <c r="G1751" s="2">
        <v>90</v>
      </c>
      <c r="H1751" s="16">
        <f t="shared" si="27"/>
        <v>45456</v>
      </c>
      <c r="J1751" s="2"/>
    </row>
    <row r="1752" spans="1:10" x14ac:dyDescent="0.25">
      <c r="A1752" s="8" t="s">
        <v>1598</v>
      </c>
      <c r="B1752" s="8" t="s">
        <v>1580</v>
      </c>
      <c r="C1752" s="8" t="s">
        <v>29</v>
      </c>
      <c r="D1752" s="10">
        <v>45385</v>
      </c>
      <c r="E1752" s="9">
        <v>130386</v>
      </c>
      <c r="F1752" s="2" t="str">
        <f>INDEX(Vendors!E:E,MATCH(Vendor_Analysis!C1752,Vendors!A:A,0))</f>
        <v xml:space="preserve">30 </v>
      </c>
      <c r="G1752" s="2">
        <v>30</v>
      </c>
      <c r="H1752" s="16">
        <f t="shared" si="27"/>
        <v>45415</v>
      </c>
      <c r="J1752" s="2"/>
    </row>
    <row r="1753" spans="1:10" x14ac:dyDescent="0.25">
      <c r="A1753" s="8" t="s">
        <v>1599</v>
      </c>
      <c r="B1753" s="8" t="s">
        <v>1580</v>
      </c>
      <c r="C1753" s="8" t="s">
        <v>6</v>
      </c>
      <c r="D1753" s="10">
        <v>45403</v>
      </c>
      <c r="E1753" s="9">
        <v>40385</v>
      </c>
      <c r="F1753" s="2" t="str">
        <f>INDEX(Vendors!E:E,MATCH(Vendor_Analysis!C1753,Vendors!A:A,0))</f>
        <v xml:space="preserve">60 </v>
      </c>
      <c r="G1753" s="2">
        <v>60</v>
      </c>
      <c r="H1753" s="16">
        <f t="shared" si="27"/>
        <v>45463</v>
      </c>
      <c r="J1753" s="2"/>
    </row>
    <row r="1754" spans="1:10" x14ac:dyDescent="0.25">
      <c r="A1754" s="8" t="s">
        <v>1600</v>
      </c>
      <c r="B1754" s="8" t="s">
        <v>1580</v>
      </c>
      <c r="C1754" s="8" t="s">
        <v>33</v>
      </c>
      <c r="D1754" s="10">
        <v>45404</v>
      </c>
      <c r="E1754" s="9">
        <v>35694</v>
      </c>
      <c r="F1754" s="2" t="str">
        <f>INDEX(Vendors!E:E,MATCH(Vendor_Analysis!C1754,Vendors!A:A,0))</f>
        <v xml:space="preserve">30 </v>
      </c>
      <c r="G1754" s="2">
        <v>30</v>
      </c>
      <c r="H1754" s="16">
        <f t="shared" si="27"/>
        <v>45434</v>
      </c>
      <c r="J1754" s="2"/>
    </row>
    <row r="1755" spans="1:10" x14ac:dyDescent="0.25">
      <c r="A1755" s="8" t="s">
        <v>1601</v>
      </c>
      <c r="B1755" s="8" t="s">
        <v>1580</v>
      </c>
      <c r="C1755" s="8" t="s">
        <v>25</v>
      </c>
      <c r="D1755" s="10">
        <v>45422</v>
      </c>
      <c r="E1755" s="9">
        <v>20538</v>
      </c>
      <c r="F1755" s="2" t="str">
        <f>INDEX(Vendors!E:E,MATCH(Vendor_Analysis!C1755,Vendors!A:A,0))</f>
        <v xml:space="preserve">30 </v>
      </c>
      <c r="G1755" s="2">
        <v>30</v>
      </c>
      <c r="H1755" s="16">
        <f t="shared" si="27"/>
        <v>45452</v>
      </c>
      <c r="J1755" s="2"/>
    </row>
    <row r="1756" spans="1:10" x14ac:dyDescent="0.25">
      <c r="A1756" s="8" t="s">
        <v>1602</v>
      </c>
      <c r="B1756" s="8" t="s">
        <v>1580</v>
      </c>
      <c r="C1756" s="8" t="s">
        <v>50</v>
      </c>
      <c r="D1756" s="10">
        <v>45444</v>
      </c>
      <c r="E1756" s="9">
        <v>38286</v>
      </c>
      <c r="F1756" s="2" t="str">
        <f>INDEX(Vendors!E:E,MATCH(Vendor_Analysis!C1756,Vendors!A:A,0))</f>
        <v xml:space="preserve"> 90</v>
      </c>
      <c r="G1756" s="2">
        <v>90</v>
      </c>
      <c r="H1756" s="16">
        <f t="shared" si="27"/>
        <v>45534</v>
      </c>
      <c r="J1756" s="2"/>
    </row>
    <row r="1757" spans="1:10" x14ac:dyDescent="0.25">
      <c r="A1757" s="8" t="s">
        <v>1603</v>
      </c>
      <c r="B1757" s="8" t="s">
        <v>1580</v>
      </c>
      <c r="C1757" s="8" t="s">
        <v>55</v>
      </c>
      <c r="D1757" s="10">
        <v>45446</v>
      </c>
      <c r="E1757" s="9">
        <v>45009</v>
      </c>
      <c r="F1757" s="2" t="str">
        <f>INDEX(Vendors!E:E,MATCH(Vendor_Analysis!C1757,Vendors!A:A,0))</f>
        <v xml:space="preserve">30 </v>
      </c>
      <c r="G1757" s="2">
        <v>30</v>
      </c>
      <c r="H1757" s="16">
        <f t="shared" si="27"/>
        <v>45476</v>
      </c>
      <c r="J1757" s="2"/>
    </row>
    <row r="1758" spans="1:10" x14ac:dyDescent="0.25">
      <c r="A1758" s="8" t="s">
        <v>1604</v>
      </c>
      <c r="B1758" s="8" t="s">
        <v>1580</v>
      </c>
      <c r="C1758" s="8" t="s">
        <v>73</v>
      </c>
      <c r="D1758" s="10">
        <v>45453</v>
      </c>
      <c r="E1758" s="9">
        <v>42120</v>
      </c>
      <c r="F1758" s="2" t="str">
        <f>INDEX(Vendors!E:E,MATCH(Vendor_Analysis!C1758,Vendors!A:A,0))</f>
        <v xml:space="preserve">60 </v>
      </c>
      <c r="G1758" s="2">
        <v>60</v>
      </c>
      <c r="H1758" s="16">
        <f t="shared" si="27"/>
        <v>45513</v>
      </c>
      <c r="J1758" s="2"/>
    </row>
    <row r="1759" spans="1:10" x14ac:dyDescent="0.25">
      <c r="A1759" s="8" t="s">
        <v>1605</v>
      </c>
      <c r="B1759" s="8" t="s">
        <v>1580</v>
      </c>
      <c r="C1759" s="8" t="s">
        <v>12</v>
      </c>
      <c r="D1759" s="10">
        <v>45458</v>
      </c>
      <c r="E1759" s="9">
        <v>44783</v>
      </c>
      <c r="F1759" s="2" t="str">
        <f>INDEX(Vendors!E:E,MATCH(Vendor_Analysis!C1759,Vendors!A:A,0))</f>
        <v xml:space="preserve">30 </v>
      </c>
      <c r="G1759" s="2">
        <v>30</v>
      </c>
      <c r="H1759" s="16">
        <f t="shared" si="27"/>
        <v>45488</v>
      </c>
      <c r="J1759" s="2"/>
    </row>
    <row r="1760" spans="1:10" x14ac:dyDescent="0.25">
      <c r="A1760" s="8" t="s">
        <v>1606</v>
      </c>
      <c r="B1760" s="8" t="s">
        <v>1580</v>
      </c>
      <c r="C1760" s="8" t="s">
        <v>91</v>
      </c>
      <c r="D1760" s="10">
        <v>45459</v>
      </c>
      <c r="E1760" s="9">
        <v>19046</v>
      </c>
      <c r="F1760" s="2" t="str">
        <f>INDEX(Vendors!E:E,MATCH(Vendor_Analysis!C1760,Vendors!A:A,0))</f>
        <v xml:space="preserve">60 </v>
      </c>
      <c r="G1760" s="2">
        <v>60</v>
      </c>
      <c r="H1760" s="16">
        <f t="shared" si="27"/>
        <v>45519</v>
      </c>
      <c r="J1760" s="2"/>
    </row>
    <row r="1761" spans="1:10" x14ac:dyDescent="0.25">
      <c r="A1761" s="8" t="s">
        <v>1607</v>
      </c>
      <c r="B1761" s="8" t="s">
        <v>1580</v>
      </c>
      <c r="C1761" s="8" t="s">
        <v>17</v>
      </c>
      <c r="D1761" s="10">
        <v>45466</v>
      </c>
      <c r="E1761" s="9">
        <v>25572</v>
      </c>
      <c r="F1761" s="2" t="str">
        <f>INDEX(Vendors!E:E,MATCH(Vendor_Analysis!C1761,Vendors!A:A,0))</f>
        <v xml:space="preserve">45 </v>
      </c>
      <c r="G1761" s="2">
        <v>45</v>
      </c>
      <c r="H1761" s="16">
        <f t="shared" si="27"/>
        <v>45511</v>
      </c>
      <c r="J1761" s="2"/>
    </row>
    <row r="1762" spans="1:10" x14ac:dyDescent="0.25">
      <c r="A1762" s="8" t="s">
        <v>1608</v>
      </c>
      <c r="B1762" s="8" t="s">
        <v>1580</v>
      </c>
      <c r="C1762" s="8" t="s">
        <v>12</v>
      </c>
      <c r="D1762" s="10">
        <v>45478</v>
      </c>
      <c r="E1762" s="9">
        <v>17142</v>
      </c>
      <c r="F1762" s="2" t="str">
        <f>INDEX(Vendors!E:E,MATCH(Vendor_Analysis!C1762,Vendors!A:A,0))</f>
        <v xml:space="preserve">30 </v>
      </c>
      <c r="G1762" s="2">
        <v>30</v>
      </c>
      <c r="H1762" s="16">
        <f t="shared" si="27"/>
        <v>45508</v>
      </c>
      <c r="J1762" s="2"/>
    </row>
    <row r="1763" spans="1:10" x14ac:dyDescent="0.25">
      <c r="A1763" s="8" t="s">
        <v>1609</v>
      </c>
      <c r="B1763" s="8" t="s">
        <v>1580</v>
      </c>
      <c r="C1763" s="8" t="s">
        <v>33</v>
      </c>
      <c r="D1763" s="10">
        <v>45482</v>
      </c>
      <c r="E1763" s="9">
        <v>27399</v>
      </c>
      <c r="F1763" s="2" t="str">
        <f>INDEX(Vendors!E:E,MATCH(Vendor_Analysis!C1763,Vendors!A:A,0))</f>
        <v xml:space="preserve">30 </v>
      </c>
      <c r="G1763" s="2">
        <v>30</v>
      </c>
      <c r="H1763" s="16">
        <f t="shared" si="27"/>
        <v>45512</v>
      </c>
      <c r="J1763" s="2"/>
    </row>
    <row r="1764" spans="1:10" x14ac:dyDescent="0.25">
      <c r="A1764" s="8" t="s">
        <v>1610</v>
      </c>
      <c r="B1764" s="8" t="s">
        <v>1580</v>
      </c>
      <c r="C1764" s="8" t="s">
        <v>44</v>
      </c>
      <c r="D1764" s="10">
        <v>45490</v>
      </c>
      <c r="E1764" s="9">
        <v>18468</v>
      </c>
      <c r="F1764" s="2" t="str">
        <f>INDEX(Vendors!E:E,MATCH(Vendor_Analysis!C1764,Vendors!A:A,0))</f>
        <v xml:space="preserve">45 </v>
      </c>
      <c r="G1764" s="2">
        <v>45</v>
      </c>
      <c r="H1764" s="16">
        <f t="shared" si="27"/>
        <v>45535</v>
      </c>
      <c r="J1764" s="2"/>
    </row>
    <row r="1765" spans="1:10" x14ac:dyDescent="0.25">
      <c r="A1765" s="8" t="s">
        <v>1611</v>
      </c>
      <c r="B1765" s="8" t="s">
        <v>1580</v>
      </c>
      <c r="C1765" s="8" t="s">
        <v>27</v>
      </c>
      <c r="D1765" s="10">
        <v>45552</v>
      </c>
      <c r="E1765" s="9">
        <v>33526</v>
      </c>
      <c r="F1765" s="2" t="str">
        <f>INDEX(Vendors!E:E,MATCH(Vendor_Analysis!C1765,Vendors!A:A,0))</f>
        <v xml:space="preserve">45 </v>
      </c>
      <c r="G1765" s="2">
        <v>45</v>
      </c>
      <c r="H1765" s="16">
        <f t="shared" si="27"/>
        <v>45597</v>
      </c>
      <c r="J1765" s="2"/>
    </row>
    <row r="1766" spans="1:10" x14ac:dyDescent="0.25">
      <c r="A1766" s="8" t="s">
        <v>1612</v>
      </c>
      <c r="B1766" s="8" t="s">
        <v>1580</v>
      </c>
      <c r="C1766" s="8" t="s">
        <v>12</v>
      </c>
      <c r="D1766" s="10">
        <v>45553</v>
      </c>
      <c r="E1766" s="9">
        <v>21263</v>
      </c>
      <c r="F1766" s="2" t="str">
        <f>INDEX(Vendors!E:E,MATCH(Vendor_Analysis!C1766,Vendors!A:A,0))</f>
        <v xml:space="preserve">30 </v>
      </c>
      <c r="G1766" s="2">
        <v>30</v>
      </c>
      <c r="H1766" s="16">
        <f t="shared" si="27"/>
        <v>45583</v>
      </c>
      <c r="J1766" s="2"/>
    </row>
    <row r="1767" spans="1:10" x14ac:dyDescent="0.25">
      <c r="A1767" s="8" t="s">
        <v>1613</v>
      </c>
      <c r="B1767" s="8" t="s">
        <v>1580</v>
      </c>
      <c r="C1767" s="8" t="s">
        <v>14</v>
      </c>
      <c r="D1767" s="10">
        <v>45583</v>
      </c>
      <c r="E1767" s="9">
        <v>17674</v>
      </c>
      <c r="F1767" s="2" t="str">
        <f>INDEX(Vendors!E:E,MATCH(Vendor_Analysis!C1767,Vendors!A:A,0))</f>
        <v xml:space="preserve"> 90</v>
      </c>
      <c r="G1767" s="2">
        <v>90</v>
      </c>
      <c r="H1767" s="16">
        <f t="shared" si="27"/>
        <v>45673</v>
      </c>
      <c r="J1767" s="2"/>
    </row>
    <row r="1768" spans="1:10" x14ac:dyDescent="0.25">
      <c r="A1768" s="8" t="s">
        <v>1614</v>
      </c>
      <c r="B1768" s="8" t="s">
        <v>1580</v>
      </c>
      <c r="C1768" s="8" t="s">
        <v>91</v>
      </c>
      <c r="D1768" s="10">
        <v>45607</v>
      </c>
      <c r="E1768" s="9">
        <v>18636</v>
      </c>
      <c r="F1768" s="2" t="str">
        <f>INDEX(Vendors!E:E,MATCH(Vendor_Analysis!C1768,Vendors!A:A,0))</f>
        <v xml:space="preserve">60 </v>
      </c>
      <c r="G1768" s="2">
        <v>60</v>
      </c>
      <c r="H1768" s="16">
        <f t="shared" si="27"/>
        <v>45667</v>
      </c>
      <c r="J1768" s="2"/>
    </row>
    <row r="1769" spans="1:10" x14ac:dyDescent="0.25">
      <c r="A1769" s="8" t="s">
        <v>1615</v>
      </c>
      <c r="B1769" s="8" t="s">
        <v>1580</v>
      </c>
      <c r="C1769" s="8" t="s">
        <v>6</v>
      </c>
      <c r="D1769" s="10">
        <v>45621</v>
      </c>
      <c r="E1769" s="9">
        <v>25265</v>
      </c>
      <c r="F1769" s="2" t="str">
        <f>INDEX(Vendors!E:E,MATCH(Vendor_Analysis!C1769,Vendors!A:A,0))</f>
        <v xml:space="preserve">60 </v>
      </c>
      <c r="G1769" s="2">
        <v>60</v>
      </c>
      <c r="H1769" s="16">
        <f t="shared" si="27"/>
        <v>45681</v>
      </c>
      <c r="J1769" s="2"/>
    </row>
    <row r="1770" spans="1:10" x14ac:dyDescent="0.25">
      <c r="A1770" s="8" t="s">
        <v>1616</v>
      </c>
      <c r="B1770" s="8" t="s">
        <v>1580</v>
      </c>
      <c r="C1770" s="8" t="s">
        <v>21</v>
      </c>
      <c r="D1770" s="10">
        <v>45627</v>
      </c>
      <c r="E1770" s="9">
        <v>16404</v>
      </c>
      <c r="F1770" s="2" t="str">
        <f>INDEX(Vendors!E:E,MATCH(Vendor_Analysis!C1770,Vendors!A:A,0))</f>
        <v xml:space="preserve"> 90</v>
      </c>
      <c r="G1770" s="2">
        <v>90</v>
      </c>
      <c r="H1770" s="16">
        <f t="shared" si="27"/>
        <v>45717</v>
      </c>
      <c r="J1770" s="2"/>
    </row>
    <row r="1771" spans="1:10" x14ac:dyDescent="0.25">
      <c r="A1771" s="8" t="s">
        <v>1617</v>
      </c>
      <c r="B1771" s="8" t="s">
        <v>1580</v>
      </c>
      <c r="C1771" s="8" t="s">
        <v>73</v>
      </c>
      <c r="D1771" s="10">
        <v>45648</v>
      </c>
      <c r="E1771" s="9">
        <v>26128</v>
      </c>
      <c r="F1771" s="2" t="str">
        <f>INDEX(Vendors!E:E,MATCH(Vendor_Analysis!C1771,Vendors!A:A,0))</f>
        <v xml:space="preserve">60 </v>
      </c>
      <c r="G1771" s="2">
        <v>60</v>
      </c>
      <c r="H1771" s="16">
        <f t="shared" si="27"/>
        <v>45708</v>
      </c>
      <c r="J1771" s="2"/>
    </row>
    <row r="1772" spans="1:10" x14ac:dyDescent="0.25">
      <c r="A1772" s="8" t="s">
        <v>1618</v>
      </c>
      <c r="B1772" s="8" t="s">
        <v>1580</v>
      </c>
      <c r="C1772" s="8" t="s">
        <v>55</v>
      </c>
      <c r="D1772" s="10">
        <v>45682</v>
      </c>
      <c r="E1772" s="9">
        <v>40191</v>
      </c>
      <c r="F1772" s="2" t="str">
        <f>INDEX(Vendors!E:E,MATCH(Vendor_Analysis!C1772,Vendors!A:A,0))</f>
        <v xml:space="preserve">30 </v>
      </c>
      <c r="G1772" s="2">
        <v>30</v>
      </c>
      <c r="H1772" s="16">
        <f t="shared" si="27"/>
        <v>45712</v>
      </c>
      <c r="J1772" s="2"/>
    </row>
    <row r="1773" spans="1:10" x14ac:dyDescent="0.25">
      <c r="A1773" s="8" t="s">
        <v>1619</v>
      </c>
      <c r="B1773" s="8" t="s">
        <v>1580</v>
      </c>
      <c r="C1773" s="8" t="s">
        <v>33</v>
      </c>
      <c r="D1773" s="10">
        <v>45711</v>
      </c>
      <c r="E1773" s="9">
        <v>20918</v>
      </c>
      <c r="F1773" s="2" t="str">
        <f>INDEX(Vendors!E:E,MATCH(Vendor_Analysis!C1773,Vendors!A:A,0))</f>
        <v xml:space="preserve">30 </v>
      </c>
      <c r="G1773" s="2">
        <v>30</v>
      </c>
      <c r="H1773" s="16">
        <f t="shared" si="27"/>
        <v>45741</v>
      </c>
      <c r="J1773" s="2"/>
    </row>
    <row r="1774" spans="1:10" x14ac:dyDescent="0.25">
      <c r="A1774" s="8" t="s">
        <v>1620</v>
      </c>
      <c r="B1774" s="8" t="s">
        <v>1580</v>
      </c>
      <c r="C1774" s="8" t="s">
        <v>37</v>
      </c>
      <c r="D1774" s="10">
        <v>45722</v>
      </c>
      <c r="E1774" s="9">
        <v>22670</v>
      </c>
      <c r="F1774" s="2" t="str">
        <f>INDEX(Vendors!E:E,MATCH(Vendor_Analysis!C1774,Vendors!A:A,0))</f>
        <v xml:space="preserve">30 </v>
      </c>
      <c r="G1774" s="2">
        <v>30</v>
      </c>
      <c r="H1774" s="16">
        <f t="shared" si="27"/>
        <v>45752</v>
      </c>
      <c r="J1774" s="2"/>
    </row>
    <row r="1775" spans="1:10" x14ac:dyDescent="0.25">
      <c r="A1775" s="8" t="s">
        <v>1621</v>
      </c>
      <c r="B1775" s="8" t="s">
        <v>1580</v>
      </c>
      <c r="C1775" s="8" t="s">
        <v>6</v>
      </c>
      <c r="D1775" s="10">
        <v>45724</v>
      </c>
      <c r="E1775" s="9">
        <v>37186</v>
      </c>
      <c r="F1775" s="2" t="str">
        <f>INDEX(Vendors!E:E,MATCH(Vendor_Analysis!C1775,Vendors!A:A,0))</f>
        <v xml:space="preserve">60 </v>
      </c>
      <c r="G1775" s="2">
        <v>60</v>
      </c>
      <c r="H1775" s="16">
        <f t="shared" si="27"/>
        <v>45784</v>
      </c>
      <c r="J1775" s="2"/>
    </row>
    <row r="1776" spans="1:10" x14ac:dyDescent="0.25">
      <c r="A1776" s="8" t="s">
        <v>1622</v>
      </c>
      <c r="B1776" s="8" t="s">
        <v>1580</v>
      </c>
      <c r="C1776" s="8" t="s">
        <v>14</v>
      </c>
      <c r="D1776" s="10">
        <v>45738</v>
      </c>
      <c r="E1776" s="9">
        <v>39821</v>
      </c>
      <c r="F1776" s="2" t="str">
        <f>INDEX(Vendors!E:E,MATCH(Vendor_Analysis!C1776,Vendors!A:A,0))</f>
        <v xml:space="preserve"> 90</v>
      </c>
      <c r="G1776" s="2">
        <v>90</v>
      </c>
      <c r="H1776" s="16">
        <f t="shared" si="27"/>
        <v>45828</v>
      </c>
      <c r="J1776" s="2"/>
    </row>
    <row r="1777" spans="1:10" x14ac:dyDescent="0.25">
      <c r="A1777" s="8" t="s">
        <v>1623</v>
      </c>
      <c r="B1777" s="8" t="s">
        <v>1580</v>
      </c>
      <c r="C1777" s="8" t="s">
        <v>108</v>
      </c>
      <c r="D1777" s="10">
        <v>45753</v>
      </c>
      <c r="E1777" s="9">
        <v>30110</v>
      </c>
      <c r="F1777" s="2" t="str">
        <f>INDEX(Vendors!E:E,MATCH(Vendor_Analysis!C1777,Vendors!A:A,0))</f>
        <v xml:space="preserve"> 90</v>
      </c>
      <c r="G1777" s="2">
        <v>90</v>
      </c>
      <c r="H1777" s="16">
        <f t="shared" si="27"/>
        <v>45843</v>
      </c>
      <c r="J1777" s="2"/>
    </row>
    <row r="1778" spans="1:10" x14ac:dyDescent="0.25">
      <c r="A1778" s="8" t="s">
        <v>1624</v>
      </c>
      <c r="B1778" s="8" t="s">
        <v>1580</v>
      </c>
      <c r="C1778" s="8" t="s">
        <v>10</v>
      </c>
      <c r="D1778" s="10">
        <v>45774</v>
      </c>
      <c r="E1778" s="9">
        <v>18578</v>
      </c>
      <c r="F1778" s="2" t="str">
        <f>INDEX(Vendors!E:E,MATCH(Vendor_Analysis!C1778,Vendors!A:A,0))</f>
        <v xml:space="preserve">60 </v>
      </c>
      <c r="G1778" s="2">
        <v>60</v>
      </c>
      <c r="H1778" s="16">
        <f t="shared" si="27"/>
        <v>45834</v>
      </c>
      <c r="J1778" s="2"/>
    </row>
    <row r="1779" spans="1:10" x14ac:dyDescent="0.25">
      <c r="A1779" s="8" t="s">
        <v>1625</v>
      </c>
      <c r="B1779" s="8" t="s">
        <v>1580</v>
      </c>
      <c r="C1779" s="8" t="s">
        <v>48</v>
      </c>
      <c r="D1779" s="10">
        <v>45785</v>
      </c>
      <c r="E1779" s="9">
        <v>33136</v>
      </c>
      <c r="F1779" s="2" t="str">
        <f>INDEX(Vendors!E:E,MATCH(Vendor_Analysis!C1779,Vendors!A:A,0))</f>
        <v xml:space="preserve"> 90</v>
      </c>
      <c r="G1779" s="2">
        <v>90</v>
      </c>
      <c r="H1779" s="16">
        <f t="shared" si="27"/>
        <v>45875</v>
      </c>
      <c r="J1779" s="2"/>
    </row>
    <row r="1780" spans="1:10" x14ac:dyDescent="0.25">
      <c r="A1780" s="8" t="s">
        <v>1626</v>
      </c>
      <c r="B1780" s="8" t="s">
        <v>1580</v>
      </c>
      <c r="C1780" s="8" t="s">
        <v>37</v>
      </c>
      <c r="D1780" s="10">
        <v>45788</v>
      </c>
      <c r="E1780" s="9">
        <v>26983</v>
      </c>
      <c r="F1780" s="2" t="str">
        <f>INDEX(Vendors!E:E,MATCH(Vendor_Analysis!C1780,Vendors!A:A,0))</f>
        <v xml:space="preserve">30 </v>
      </c>
      <c r="G1780" s="2">
        <v>30</v>
      </c>
      <c r="H1780" s="16">
        <f t="shared" si="27"/>
        <v>45818</v>
      </c>
      <c r="J1780" s="2"/>
    </row>
    <row r="1781" spans="1:10" x14ac:dyDescent="0.25">
      <c r="A1781" s="8" t="s">
        <v>1627</v>
      </c>
      <c r="B1781" s="8" t="s">
        <v>1580</v>
      </c>
      <c r="C1781" s="8" t="s">
        <v>19</v>
      </c>
      <c r="D1781" s="10">
        <v>45792</v>
      </c>
      <c r="E1781" s="9">
        <v>17410</v>
      </c>
      <c r="F1781" s="2" t="str">
        <f>INDEX(Vendors!E:E,MATCH(Vendor_Analysis!C1781,Vendors!A:A,0))</f>
        <v xml:space="preserve">45 </v>
      </c>
      <c r="G1781" s="2">
        <v>45</v>
      </c>
      <c r="H1781" s="16">
        <f t="shared" si="27"/>
        <v>45837</v>
      </c>
      <c r="J1781" s="2"/>
    </row>
    <row r="1782" spans="1:10" x14ac:dyDescent="0.25">
      <c r="A1782" s="8" t="s">
        <v>1628</v>
      </c>
      <c r="B1782" s="8" t="s">
        <v>1580</v>
      </c>
      <c r="C1782" s="8" t="s">
        <v>37</v>
      </c>
      <c r="D1782" s="10">
        <v>45794</v>
      </c>
      <c r="E1782" s="9">
        <v>30949</v>
      </c>
      <c r="F1782" s="2" t="str">
        <f>INDEX(Vendors!E:E,MATCH(Vendor_Analysis!C1782,Vendors!A:A,0))</f>
        <v xml:space="preserve">30 </v>
      </c>
      <c r="G1782" s="2">
        <v>30</v>
      </c>
      <c r="H1782" s="16">
        <f t="shared" si="27"/>
        <v>45824</v>
      </c>
      <c r="J1782" s="2"/>
    </row>
    <row r="1783" spans="1:10" x14ac:dyDescent="0.25">
      <c r="A1783" s="8" t="s">
        <v>1629</v>
      </c>
      <c r="B1783" s="8" t="s">
        <v>1580</v>
      </c>
      <c r="C1783" s="8" t="s">
        <v>29</v>
      </c>
      <c r="D1783" s="10">
        <v>45806</v>
      </c>
      <c r="E1783" s="9">
        <v>21545</v>
      </c>
      <c r="F1783" s="2" t="str">
        <f>INDEX(Vendors!E:E,MATCH(Vendor_Analysis!C1783,Vendors!A:A,0))</f>
        <v xml:space="preserve">30 </v>
      </c>
      <c r="G1783" s="2">
        <v>30</v>
      </c>
      <c r="H1783" s="16">
        <f t="shared" si="27"/>
        <v>45836</v>
      </c>
      <c r="J1783" s="2"/>
    </row>
    <row r="1784" spans="1:10" x14ac:dyDescent="0.25">
      <c r="A1784" s="8" t="s">
        <v>2046</v>
      </c>
      <c r="B1784" s="8" t="s">
        <v>1580</v>
      </c>
      <c r="C1784" s="8" t="s">
        <v>19</v>
      </c>
      <c r="D1784" s="10">
        <v>45812</v>
      </c>
      <c r="E1784" s="9">
        <v>19027</v>
      </c>
      <c r="F1784" s="2" t="str">
        <f>INDEX(Vendors!E:E,MATCH(Vendor_Analysis!C1784,Vendors!A:A,0))</f>
        <v xml:space="preserve">45 </v>
      </c>
      <c r="G1784" s="2">
        <v>45</v>
      </c>
      <c r="H1784" s="16">
        <f t="shared" si="27"/>
        <v>45857</v>
      </c>
      <c r="J1784" s="2"/>
    </row>
    <row r="1785" spans="1:10" x14ac:dyDescent="0.25">
      <c r="A1785" s="8" t="s">
        <v>2047</v>
      </c>
      <c r="B1785" s="8" t="s">
        <v>1580</v>
      </c>
      <c r="C1785" s="8" t="s">
        <v>48</v>
      </c>
      <c r="D1785" s="10">
        <v>45826</v>
      </c>
      <c r="E1785" s="9">
        <v>32658</v>
      </c>
      <c r="F1785" s="2" t="str">
        <f>INDEX(Vendors!E:E,MATCH(Vendor_Analysis!C1785,Vendors!A:A,0))</f>
        <v xml:space="preserve"> 90</v>
      </c>
      <c r="G1785" s="2">
        <v>90</v>
      </c>
      <c r="H1785" s="16">
        <f t="shared" si="27"/>
        <v>45916</v>
      </c>
      <c r="J1785" s="2"/>
    </row>
    <row r="1786" spans="1:10" x14ac:dyDescent="0.25">
      <c r="A1786" s="8" t="s">
        <v>2048</v>
      </c>
      <c r="B1786" s="8" t="s">
        <v>1580</v>
      </c>
      <c r="C1786" s="8" t="s">
        <v>48</v>
      </c>
      <c r="D1786" s="10">
        <v>45831</v>
      </c>
      <c r="E1786" s="9">
        <v>13858</v>
      </c>
      <c r="F1786" s="2" t="str">
        <f>INDEX(Vendors!E:E,MATCH(Vendor_Analysis!C1786,Vendors!A:A,0))</f>
        <v xml:space="preserve"> 90</v>
      </c>
      <c r="G1786" s="2">
        <v>90</v>
      </c>
      <c r="H1786" s="16">
        <f t="shared" si="27"/>
        <v>45921</v>
      </c>
      <c r="J1786" s="2"/>
    </row>
    <row r="1787" spans="1:10" x14ac:dyDescent="0.25">
      <c r="A1787" s="8" t="s">
        <v>2049</v>
      </c>
      <c r="B1787" s="8" t="s">
        <v>1580</v>
      </c>
      <c r="C1787" s="8" t="s">
        <v>12</v>
      </c>
      <c r="D1787" s="10">
        <v>45836</v>
      </c>
      <c r="E1787" s="9">
        <v>31196</v>
      </c>
      <c r="F1787" s="2" t="str">
        <f>INDEX(Vendors!E:E,MATCH(Vendor_Analysis!C1787,Vendors!A:A,0))</f>
        <v xml:space="preserve">30 </v>
      </c>
      <c r="G1787" s="2">
        <v>30</v>
      </c>
      <c r="H1787" s="16">
        <f t="shared" si="27"/>
        <v>45866</v>
      </c>
      <c r="J1787" s="2"/>
    </row>
    <row r="1788" spans="1:10" x14ac:dyDescent="0.25">
      <c r="A1788" s="8" t="s">
        <v>2050</v>
      </c>
      <c r="B1788" s="8" t="s">
        <v>1580</v>
      </c>
      <c r="C1788" s="8" t="s">
        <v>44</v>
      </c>
      <c r="D1788" s="10">
        <v>45849</v>
      </c>
      <c r="E1788" s="9">
        <v>15945</v>
      </c>
      <c r="F1788" s="2" t="str">
        <f>INDEX(Vendors!E:E,MATCH(Vendor_Analysis!C1788,Vendors!A:A,0))</f>
        <v xml:space="preserve">45 </v>
      </c>
      <c r="G1788" s="2">
        <v>45</v>
      </c>
      <c r="H1788" s="16">
        <f t="shared" si="27"/>
        <v>45894</v>
      </c>
      <c r="J1788" s="2"/>
    </row>
    <row r="1789" spans="1:10" x14ac:dyDescent="0.25">
      <c r="A1789" s="8" t="s">
        <v>2051</v>
      </c>
      <c r="B1789" s="8" t="s">
        <v>1580</v>
      </c>
      <c r="C1789" s="8" t="s">
        <v>23</v>
      </c>
      <c r="D1789" s="10">
        <v>45867</v>
      </c>
      <c r="E1789" s="9">
        <v>13897</v>
      </c>
      <c r="F1789" s="2" t="str">
        <f>INDEX(Vendors!E:E,MATCH(Vendor_Analysis!C1789,Vendors!A:A,0))</f>
        <v xml:space="preserve"> 90</v>
      </c>
      <c r="G1789" s="2">
        <v>90</v>
      </c>
      <c r="H1789" s="16">
        <f t="shared" si="27"/>
        <v>45957</v>
      </c>
      <c r="J1789" s="2"/>
    </row>
    <row r="1790" spans="1:10" x14ac:dyDescent="0.25">
      <c r="A1790" s="8" t="s">
        <v>2052</v>
      </c>
      <c r="B1790" s="8" t="s">
        <v>1580</v>
      </c>
      <c r="C1790" s="8" t="s">
        <v>29</v>
      </c>
      <c r="D1790" s="10">
        <v>45871</v>
      </c>
      <c r="E1790" s="9">
        <v>24309</v>
      </c>
      <c r="F1790" s="2" t="str">
        <f>INDEX(Vendors!E:E,MATCH(Vendor_Analysis!C1790,Vendors!A:A,0))</f>
        <v xml:space="preserve">30 </v>
      </c>
      <c r="G1790" s="2">
        <v>30</v>
      </c>
      <c r="H1790" s="16">
        <f t="shared" si="27"/>
        <v>45901</v>
      </c>
      <c r="J1790" s="2"/>
    </row>
    <row r="1791" spans="1:10" x14ac:dyDescent="0.25">
      <c r="A1791" s="8" t="s">
        <v>2053</v>
      </c>
      <c r="B1791" s="8" t="s">
        <v>1580</v>
      </c>
      <c r="C1791" s="8" t="s">
        <v>91</v>
      </c>
      <c r="D1791" s="10">
        <v>45877</v>
      </c>
      <c r="E1791" s="9">
        <v>14303</v>
      </c>
      <c r="F1791" s="2" t="str">
        <f>INDEX(Vendors!E:E,MATCH(Vendor_Analysis!C1791,Vendors!A:A,0))</f>
        <v xml:space="preserve">60 </v>
      </c>
      <c r="G1791" s="2">
        <v>60</v>
      </c>
      <c r="H1791" s="16">
        <f t="shared" si="27"/>
        <v>45937</v>
      </c>
      <c r="J1791" s="2"/>
    </row>
    <row r="1792" spans="1:10" x14ac:dyDescent="0.25">
      <c r="A1792" s="8" t="s">
        <v>2054</v>
      </c>
      <c r="B1792" s="8" t="s">
        <v>1580</v>
      </c>
      <c r="C1792" s="8" t="s">
        <v>55</v>
      </c>
      <c r="D1792" s="10">
        <v>45887</v>
      </c>
      <c r="E1792" s="9">
        <v>15857</v>
      </c>
      <c r="F1792" s="2" t="str">
        <f>INDEX(Vendors!E:E,MATCH(Vendor_Analysis!C1792,Vendors!A:A,0))</f>
        <v xml:space="preserve">30 </v>
      </c>
      <c r="G1792" s="2">
        <v>30</v>
      </c>
      <c r="H1792" s="16">
        <f t="shared" si="27"/>
        <v>45917</v>
      </c>
      <c r="J1792" s="2"/>
    </row>
    <row r="1793" spans="1:10" x14ac:dyDescent="0.25">
      <c r="A1793" s="8" t="s">
        <v>2055</v>
      </c>
      <c r="B1793" s="8" t="s">
        <v>1580</v>
      </c>
      <c r="C1793" s="8" t="s">
        <v>25</v>
      </c>
      <c r="D1793" s="10">
        <v>45890</v>
      </c>
      <c r="E1793" s="9">
        <v>27516</v>
      </c>
      <c r="F1793" s="2" t="str">
        <f>INDEX(Vendors!E:E,MATCH(Vendor_Analysis!C1793,Vendors!A:A,0))</f>
        <v xml:space="preserve">30 </v>
      </c>
      <c r="G1793" s="2">
        <v>30</v>
      </c>
      <c r="H1793" s="16">
        <f t="shared" si="27"/>
        <v>45920</v>
      </c>
      <c r="J1793" s="2"/>
    </row>
    <row r="1794" spans="1:10" x14ac:dyDescent="0.25">
      <c r="A1794" s="8" t="s">
        <v>1630</v>
      </c>
      <c r="B1794" s="8" t="s">
        <v>1631</v>
      </c>
      <c r="C1794" s="8" t="s">
        <v>21</v>
      </c>
      <c r="D1794" s="10">
        <v>45141</v>
      </c>
      <c r="E1794" s="9">
        <v>6651</v>
      </c>
      <c r="F1794" s="2" t="str">
        <f>INDEX(Vendors!E:E,MATCH(Vendor_Analysis!C1794,Vendors!A:A,0))</f>
        <v xml:space="preserve"> 90</v>
      </c>
      <c r="G1794" s="2">
        <v>90</v>
      </c>
      <c r="H1794" s="16">
        <f t="shared" si="27"/>
        <v>45231</v>
      </c>
      <c r="J1794" s="2"/>
    </row>
    <row r="1795" spans="1:10" x14ac:dyDescent="0.25">
      <c r="A1795" s="8" t="s">
        <v>1632</v>
      </c>
      <c r="B1795" s="8" t="s">
        <v>1631</v>
      </c>
      <c r="C1795" s="8" t="s">
        <v>48</v>
      </c>
      <c r="D1795" s="10">
        <v>45159</v>
      </c>
      <c r="E1795" s="9">
        <v>7319</v>
      </c>
      <c r="F1795" s="2" t="str">
        <f>INDEX(Vendors!E:E,MATCH(Vendor_Analysis!C1795,Vendors!A:A,0))</f>
        <v xml:space="preserve"> 90</v>
      </c>
      <c r="G1795" s="2">
        <v>90</v>
      </c>
      <c r="H1795" s="16">
        <f t="shared" ref="H1795:H1858" si="28">D1795+F1795</f>
        <v>45249</v>
      </c>
      <c r="J1795" s="2"/>
    </row>
    <row r="1796" spans="1:10" x14ac:dyDescent="0.25">
      <c r="A1796" s="8" t="s">
        <v>1633</v>
      </c>
      <c r="B1796" s="8" t="s">
        <v>1631</v>
      </c>
      <c r="C1796" s="8" t="s">
        <v>91</v>
      </c>
      <c r="D1796" s="10">
        <v>45161</v>
      </c>
      <c r="E1796" s="9">
        <v>14899</v>
      </c>
      <c r="F1796" s="2" t="str">
        <f>INDEX(Vendors!E:E,MATCH(Vendor_Analysis!C1796,Vendors!A:A,0))</f>
        <v xml:space="preserve">60 </v>
      </c>
      <c r="G1796" s="2">
        <v>60</v>
      </c>
      <c r="H1796" s="16">
        <f t="shared" si="28"/>
        <v>45221</v>
      </c>
      <c r="J1796" s="2"/>
    </row>
    <row r="1797" spans="1:10" x14ac:dyDescent="0.25">
      <c r="A1797" s="8" t="s">
        <v>1634</v>
      </c>
      <c r="B1797" s="8" t="s">
        <v>1631</v>
      </c>
      <c r="C1797" s="8" t="s">
        <v>44</v>
      </c>
      <c r="D1797" s="10">
        <v>45177</v>
      </c>
      <c r="E1797" s="9">
        <v>5776</v>
      </c>
      <c r="F1797" s="2" t="str">
        <f>INDEX(Vendors!E:E,MATCH(Vendor_Analysis!C1797,Vendors!A:A,0))</f>
        <v xml:space="preserve">45 </v>
      </c>
      <c r="G1797" s="2">
        <v>45</v>
      </c>
      <c r="H1797" s="16">
        <f t="shared" si="28"/>
        <v>45222</v>
      </c>
      <c r="J1797" s="2"/>
    </row>
    <row r="1798" spans="1:10" x14ac:dyDescent="0.25">
      <c r="A1798" s="8" t="s">
        <v>1635</v>
      </c>
      <c r="B1798" s="8" t="s">
        <v>1631</v>
      </c>
      <c r="C1798" s="8" t="s">
        <v>6</v>
      </c>
      <c r="D1798" s="10">
        <v>45185</v>
      </c>
      <c r="E1798" s="9">
        <v>15998</v>
      </c>
      <c r="F1798" s="2" t="str">
        <f>INDEX(Vendors!E:E,MATCH(Vendor_Analysis!C1798,Vendors!A:A,0))</f>
        <v xml:space="preserve">60 </v>
      </c>
      <c r="G1798" s="2">
        <v>60</v>
      </c>
      <c r="H1798" s="16">
        <f t="shared" si="28"/>
        <v>45245</v>
      </c>
      <c r="J1798" s="2"/>
    </row>
    <row r="1799" spans="1:10" x14ac:dyDescent="0.25">
      <c r="A1799" s="8" t="s">
        <v>1636</v>
      </c>
      <c r="B1799" s="8" t="s">
        <v>1631</v>
      </c>
      <c r="C1799" s="8" t="s">
        <v>33</v>
      </c>
      <c r="D1799" s="10">
        <v>45185</v>
      </c>
      <c r="E1799" s="9">
        <v>13787</v>
      </c>
      <c r="F1799" s="2" t="str">
        <f>INDEX(Vendors!E:E,MATCH(Vendor_Analysis!C1799,Vendors!A:A,0))</f>
        <v xml:space="preserve">30 </v>
      </c>
      <c r="G1799" s="2">
        <v>30</v>
      </c>
      <c r="H1799" s="16">
        <f t="shared" si="28"/>
        <v>45215</v>
      </c>
      <c r="J1799" s="2"/>
    </row>
    <row r="1800" spans="1:10" x14ac:dyDescent="0.25">
      <c r="A1800" s="8" t="s">
        <v>1637</v>
      </c>
      <c r="B1800" s="8" t="s">
        <v>1631</v>
      </c>
      <c r="C1800" s="8" t="s">
        <v>19</v>
      </c>
      <c r="D1800" s="10">
        <v>45190</v>
      </c>
      <c r="E1800" s="9">
        <v>9864</v>
      </c>
      <c r="F1800" s="2" t="str">
        <f>INDEX(Vendors!E:E,MATCH(Vendor_Analysis!C1800,Vendors!A:A,0))</f>
        <v xml:space="preserve">45 </v>
      </c>
      <c r="G1800" s="2">
        <v>45</v>
      </c>
      <c r="H1800" s="16">
        <f t="shared" si="28"/>
        <v>45235</v>
      </c>
      <c r="J1800" s="2"/>
    </row>
    <row r="1801" spans="1:10" x14ac:dyDescent="0.25">
      <c r="A1801" s="8" t="s">
        <v>1638</v>
      </c>
      <c r="B1801" s="8" t="s">
        <v>1631</v>
      </c>
      <c r="C1801" s="8" t="s">
        <v>48</v>
      </c>
      <c r="D1801" s="10">
        <v>45230</v>
      </c>
      <c r="E1801" s="9">
        <v>11578</v>
      </c>
      <c r="F1801" s="2" t="str">
        <f>INDEX(Vendors!E:E,MATCH(Vendor_Analysis!C1801,Vendors!A:A,0))</f>
        <v xml:space="preserve"> 90</v>
      </c>
      <c r="G1801" s="2">
        <v>90</v>
      </c>
      <c r="H1801" s="16">
        <f t="shared" si="28"/>
        <v>45320</v>
      </c>
      <c r="J1801" s="2"/>
    </row>
    <row r="1802" spans="1:10" x14ac:dyDescent="0.25">
      <c r="A1802" s="8" t="s">
        <v>1639</v>
      </c>
      <c r="B1802" s="8" t="s">
        <v>1631</v>
      </c>
      <c r="C1802" s="8" t="s">
        <v>73</v>
      </c>
      <c r="D1802" s="10">
        <v>45242</v>
      </c>
      <c r="E1802" s="9">
        <v>8991</v>
      </c>
      <c r="F1802" s="2" t="str">
        <f>INDEX(Vendors!E:E,MATCH(Vendor_Analysis!C1802,Vendors!A:A,0))</f>
        <v xml:space="preserve">60 </v>
      </c>
      <c r="G1802" s="2">
        <v>60</v>
      </c>
      <c r="H1802" s="16">
        <f t="shared" si="28"/>
        <v>45302</v>
      </c>
      <c r="J1802" s="2"/>
    </row>
    <row r="1803" spans="1:10" x14ac:dyDescent="0.25">
      <c r="A1803" s="8" t="s">
        <v>1640</v>
      </c>
      <c r="B1803" s="8" t="s">
        <v>1631</v>
      </c>
      <c r="C1803" s="8" t="s">
        <v>109</v>
      </c>
      <c r="D1803" s="10">
        <v>45246</v>
      </c>
      <c r="E1803" s="9">
        <v>15291</v>
      </c>
      <c r="F1803" s="2" t="str">
        <f>INDEX(Vendors!E:E,MATCH(Vendor_Analysis!C1803,Vendors!A:A,0))</f>
        <v xml:space="preserve">30 </v>
      </c>
      <c r="G1803" s="2">
        <v>30</v>
      </c>
      <c r="H1803" s="16">
        <f t="shared" si="28"/>
        <v>45276</v>
      </c>
      <c r="J1803" s="2"/>
    </row>
    <row r="1804" spans="1:10" x14ac:dyDescent="0.25">
      <c r="A1804" s="8" t="s">
        <v>1641</v>
      </c>
      <c r="B1804" s="8" t="s">
        <v>1631</v>
      </c>
      <c r="C1804" s="8" t="s">
        <v>17</v>
      </c>
      <c r="D1804" s="10">
        <v>45255</v>
      </c>
      <c r="E1804" s="9">
        <v>13612</v>
      </c>
      <c r="F1804" s="2" t="str">
        <f>INDEX(Vendors!E:E,MATCH(Vendor_Analysis!C1804,Vendors!A:A,0))</f>
        <v xml:space="preserve">45 </v>
      </c>
      <c r="G1804" s="2">
        <v>45</v>
      </c>
      <c r="H1804" s="16">
        <f t="shared" si="28"/>
        <v>45300</v>
      </c>
      <c r="J1804" s="2"/>
    </row>
    <row r="1805" spans="1:10" x14ac:dyDescent="0.25">
      <c r="A1805" s="8" t="s">
        <v>1642</v>
      </c>
      <c r="B1805" s="8" t="s">
        <v>1631</v>
      </c>
      <c r="C1805" s="8" t="s">
        <v>8</v>
      </c>
      <c r="D1805" s="10">
        <v>45257</v>
      </c>
      <c r="E1805" s="9">
        <v>15778</v>
      </c>
      <c r="F1805" s="2" t="str">
        <f>INDEX(Vendors!E:E,MATCH(Vendor_Analysis!C1805,Vendors!A:A,0))</f>
        <v xml:space="preserve">60 </v>
      </c>
      <c r="G1805" s="2">
        <v>60</v>
      </c>
      <c r="H1805" s="16">
        <f t="shared" si="28"/>
        <v>45317</v>
      </c>
      <c r="J1805" s="2"/>
    </row>
    <row r="1806" spans="1:10" x14ac:dyDescent="0.25">
      <c r="A1806" s="8" t="s">
        <v>1643</v>
      </c>
      <c r="B1806" s="8" t="s">
        <v>1631</v>
      </c>
      <c r="C1806" s="8" t="s">
        <v>10</v>
      </c>
      <c r="D1806" s="10">
        <v>45273</v>
      </c>
      <c r="E1806" s="9">
        <v>8706</v>
      </c>
      <c r="F1806" s="2" t="str">
        <f>INDEX(Vendors!E:E,MATCH(Vendor_Analysis!C1806,Vendors!A:A,0))</f>
        <v xml:space="preserve">60 </v>
      </c>
      <c r="G1806" s="2">
        <v>60</v>
      </c>
      <c r="H1806" s="16">
        <f t="shared" si="28"/>
        <v>45333</v>
      </c>
      <c r="J1806" s="2"/>
    </row>
    <row r="1807" spans="1:10" x14ac:dyDescent="0.25">
      <c r="A1807" s="8" t="s">
        <v>1644</v>
      </c>
      <c r="B1807" s="8" t="s">
        <v>1631</v>
      </c>
      <c r="C1807" s="8" t="s">
        <v>6</v>
      </c>
      <c r="D1807" s="10">
        <v>45280</v>
      </c>
      <c r="E1807" s="9">
        <v>5970</v>
      </c>
      <c r="F1807" s="2" t="str">
        <f>INDEX(Vendors!E:E,MATCH(Vendor_Analysis!C1807,Vendors!A:A,0))</f>
        <v xml:space="preserve">60 </v>
      </c>
      <c r="G1807" s="2">
        <v>60</v>
      </c>
      <c r="H1807" s="16">
        <f t="shared" si="28"/>
        <v>45340</v>
      </c>
      <c r="J1807" s="2"/>
    </row>
    <row r="1808" spans="1:10" x14ac:dyDescent="0.25">
      <c r="A1808" s="8" t="s">
        <v>1645</v>
      </c>
      <c r="B1808" s="8" t="s">
        <v>1631</v>
      </c>
      <c r="C1808" s="8" t="s">
        <v>33</v>
      </c>
      <c r="D1808" s="10">
        <v>45291</v>
      </c>
      <c r="E1808" s="9">
        <v>8162</v>
      </c>
      <c r="F1808" s="2" t="str">
        <f>INDEX(Vendors!E:E,MATCH(Vendor_Analysis!C1808,Vendors!A:A,0))</f>
        <v xml:space="preserve">30 </v>
      </c>
      <c r="G1808" s="2">
        <v>30</v>
      </c>
      <c r="H1808" s="16">
        <f t="shared" si="28"/>
        <v>45321</v>
      </c>
      <c r="J1808" s="2"/>
    </row>
    <row r="1809" spans="1:10" x14ac:dyDescent="0.25">
      <c r="A1809" s="8" t="s">
        <v>1646</v>
      </c>
      <c r="B1809" s="8" t="s">
        <v>1631</v>
      </c>
      <c r="C1809" s="8" t="s">
        <v>73</v>
      </c>
      <c r="D1809" s="10">
        <v>45295</v>
      </c>
      <c r="E1809" s="9">
        <v>6742</v>
      </c>
      <c r="F1809" s="2" t="str">
        <f>INDEX(Vendors!E:E,MATCH(Vendor_Analysis!C1809,Vendors!A:A,0))</f>
        <v xml:space="preserve">60 </v>
      </c>
      <c r="G1809" s="2">
        <v>60</v>
      </c>
      <c r="H1809" s="16">
        <f t="shared" si="28"/>
        <v>45355</v>
      </c>
      <c r="J1809" s="2"/>
    </row>
    <row r="1810" spans="1:10" x14ac:dyDescent="0.25">
      <c r="A1810" s="8" t="s">
        <v>1647</v>
      </c>
      <c r="B1810" s="8" t="s">
        <v>1631</v>
      </c>
      <c r="C1810" s="8" t="s">
        <v>44</v>
      </c>
      <c r="D1810" s="10">
        <v>45312</v>
      </c>
      <c r="E1810" s="9">
        <v>13269</v>
      </c>
      <c r="F1810" s="2" t="str">
        <f>INDEX(Vendors!E:E,MATCH(Vendor_Analysis!C1810,Vendors!A:A,0))</f>
        <v xml:space="preserve">45 </v>
      </c>
      <c r="G1810" s="2">
        <v>45</v>
      </c>
      <c r="H1810" s="16">
        <f t="shared" si="28"/>
        <v>45357</v>
      </c>
      <c r="J1810" s="2"/>
    </row>
    <row r="1811" spans="1:10" x14ac:dyDescent="0.25">
      <c r="A1811" s="8" t="s">
        <v>1648</v>
      </c>
      <c r="B1811" s="8" t="s">
        <v>1631</v>
      </c>
      <c r="C1811" s="8" t="s">
        <v>71</v>
      </c>
      <c r="D1811" s="10">
        <v>45313</v>
      </c>
      <c r="E1811" s="9">
        <v>14349</v>
      </c>
      <c r="F1811" s="2" t="str">
        <f>INDEX(Vendors!E:E,MATCH(Vendor_Analysis!C1811,Vendors!A:A,0))</f>
        <v xml:space="preserve">45 </v>
      </c>
      <c r="G1811" s="2">
        <v>45</v>
      </c>
      <c r="H1811" s="16">
        <f t="shared" si="28"/>
        <v>45358</v>
      </c>
      <c r="J1811" s="2"/>
    </row>
    <row r="1812" spans="1:10" x14ac:dyDescent="0.25">
      <c r="A1812" s="8" t="s">
        <v>1649</v>
      </c>
      <c r="B1812" s="8" t="s">
        <v>1631</v>
      </c>
      <c r="C1812" s="8" t="s">
        <v>21</v>
      </c>
      <c r="D1812" s="10">
        <v>45317</v>
      </c>
      <c r="E1812" s="9">
        <v>19396</v>
      </c>
      <c r="F1812" s="2" t="str">
        <f>INDEX(Vendors!E:E,MATCH(Vendor_Analysis!C1812,Vendors!A:A,0))</f>
        <v xml:space="preserve"> 90</v>
      </c>
      <c r="G1812" s="2">
        <v>90</v>
      </c>
      <c r="H1812" s="16">
        <f t="shared" si="28"/>
        <v>45407</v>
      </c>
      <c r="J1812" s="2"/>
    </row>
    <row r="1813" spans="1:10" x14ac:dyDescent="0.25">
      <c r="A1813" s="8" t="s">
        <v>1650</v>
      </c>
      <c r="B1813" s="8" t="s">
        <v>1631</v>
      </c>
      <c r="C1813" s="8" t="s">
        <v>6</v>
      </c>
      <c r="D1813" s="10">
        <v>45331</v>
      </c>
      <c r="E1813" s="9">
        <v>16781</v>
      </c>
      <c r="F1813" s="2" t="str">
        <f>INDEX(Vendors!E:E,MATCH(Vendor_Analysis!C1813,Vendors!A:A,0))</f>
        <v xml:space="preserve">60 </v>
      </c>
      <c r="G1813" s="2">
        <v>60</v>
      </c>
      <c r="H1813" s="16">
        <f t="shared" si="28"/>
        <v>45391</v>
      </c>
      <c r="J1813" s="2"/>
    </row>
    <row r="1814" spans="1:10" x14ac:dyDescent="0.25">
      <c r="A1814" s="8" t="s">
        <v>2056</v>
      </c>
      <c r="B1814" s="8" t="s">
        <v>1631</v>
      </c>
      <c r="C1814" s="8" t="s">
        <v>21</v>
      </c>
      <c r="D1814" s="10">
        <v>45343</v>
      </c>
      <c r="E1814" s="9">
        <v>10466</v>
      </c>
      <c r="F1814" s="2" t="str">
        <f>INDEX(Vendors!E:E,MATCH(Vendor_Analysis!C1814,Vendors!A:A,0))</f>
        <v xml:space="preserve"> 90</v>
      </c>
      <c r="G1814" s="2">
        <v>90</v>
      </c>
      <c r="H1814" s="16">
        <f t="shared" si="28"/>
        <v>45433</v>
      </c>
      <c r="J1814" s="2"/>
    </row>
    <row r="1815" spans="1:10" x14ac:dyDescent="0.25">
      <c r="A1815" s="8" t="s">
        <v>2057</v>
      </c>
      <c r="B1815" s="8" t="s">
        <v>1631</v>
      </c>
      <c r="C1815" s="8" t="s">
        <v>109</v>
      </c>
      <c r="D1815" s="10">
        <v>45351</v>
      </c>
      <c r="E1815" s="9">
        <v>12475</v>
      </c>
      <c r="F1815" s="2" t="str">
        <f>INDEX(Vendors!E:E,MATCH(Vendor_Analysis!C1815,Vendors!A:A,0))</f>
        <v xml:space="preserve">30 </v>
      </c>
      <c r="G1815" s="2">
        <v>30</v>
      </c>
      <c r="H1815" s="16">
        <f t="shared" si="28"/>
        <v>45381</v>
      </c>
      <c r="J1815" s="2"/>
    </row>
    <row r="1816" spans="1:10" x14ac:dyDescent="0.25">
      <c r="A1816" s="8" t="s">
        <v>2058</v>
      </c>
      <c r="B1816" s="8" t="s">
        <v>1631</v>
      </c>
      <c r="C1816" s="8" t="s">
        <v>27</v>
      </c>
      <c r="D1816" s="10">
        <v>45368</v>
      </c>
      <c r="E1816" s="9">
        <v>8950</v>
      </c>
      <c r="F1816" s="2" t="str">
        <f>INDEX(Vendors!E:E,MATCH(Vendor_Analysis!C1816,Vendors!A:A,0))</f>
        <v xml:space="preserve">45 </v>
      </c>
      <c r="G1816" s="2">
        <v>45</v>
      </c>
      <c r="H1816" s="16">
        <f t="shared" si="28"/>
        <v>45413</v>
      </c>
      <c r="J1816" s="2"/>
    </row>
    <row r="1817" spans="1:10" x14ac:dyDescent="0.25">
      <c r="A1817" s="8" t="s">
        <v>2059</v>
      </c>
      <c r="B1817" s="8" t="s">
        <v>1631</v>
      </c>
      <c r="C1817" s="8" t="s">
        <v>71</v>
      </c>
      <c r="D1817" s="10">
        <v>45397</v>
      </c>
      <c r="E1817" s="9">
        <v>18520</v>
      </c>
      <c r="F1817" s="2" t="str">
        <f>INDEX(Vendors!E:E,MATCH(Vendor_Analysis!C1817,Vendors!A:A,0))</f>
        <v xml:space="preserve">45 </v>
      </c>
      <c r="G1817" s="2">
        <v>45</v>
      </c>
      <c r="H1817" s="16">
        <f t="shared" si="28"/>
        <v>45442</v>
      </c>
      <c r="J1817" s="2"/>
    </row>
    <row r="1818" spans="1:10" x14ac:dyDescent="0.25">
      <c r="A1818" s="8" t="s">
        <v>2060</v>
      </c>
      <c r="B1818" s="8" t="s">
        <v>1631</v>
      </c>
      <c r="C1818" s="8" t="s">
        <v>14</v>
      </c>
      <c r="D1818" s="10">
        <v>45401</v>
      </c>
      <c r="E1818" s="9">
        <v>14681</v>
      </c>
      <c r="F1818" s="2" t="str">
        <f>INDEX(Vendors!E:E,MATCH(Vendor_Analysis!C1818,Vendors!A:A,0))</f>
        <v xml:space="preserve"> 90</v>
      </c>
      <c r="G1818" s="2">
        <v>90</v>
      </c>
      <c r="H1818" s="16">
        <f t="shared" si="28"/>
        <v>45491</v>
      </c>
      <c r="J1818" s="2"/>
    </row>
    <row r="1819" spans="1:10" x14ac:dyDescent="0.25">
      <c r="A1819" s="8" t="s">
        <v>2061</v>
      </c>
      <c r="B1819" s="8" t="s">
        <v>1631</v>
      </c>
      <c r="C1819" s="8" t="s">
        <v>110</v>
      </c>
      <c r="D1819" s="10">
        <v>45415</v>
      </c>
      <c r="E1819" s="9">
        <v>12734</v>
      </c>
      <c r="F1819" s="2" t="str">
        <f>INDEX(Vendors!E:E,MATCH(Vendor_Analysis!C1819,Vendors!A:A,0))</f>
        <v xml:space="preserve">30 </v>
      </c>
      <c r="G1819" s="2">
        <v>30</v>
      </c>
      <c r="H1819" s="16">
        <f t="shared" si="28"/>
        <v>45445</v>
      </c>
      <c r="J1819" s="2"/>
    </row>
    <row r="1820" spans="1:10" x14ac:dyDescent="0.25">
      <c r="A1820" s="8" t="s">
        <v>2062</v>
      </c>
      <c r="B1820" s="8" t="s">
        <v>1631</v>
      </c>
      <c r="C1820" s="8" t="s">
        <v>110</v>
      </c>
      <c r="D1820" s="10">
        <v>45436</v>
      </c>
      <c r="E1820" s="9">
        <v>17719</v>
      </c>
      <c r="F1820" s="2" t="str">
        <f>INDEX(Vendors!E:E,MATCH(Vendor_Analysis!C1820,Vendors!A:A,0))</f>
        <v xml:space="preserve">30 </v>
      </c>
      <c r="G1820" s="2">
        <v>30</v>
      </c>
      <c r="H1820" s="16">
        <f t="shared" si="28"/>
        <v>45466</v>
      </c>
      <c r="J1820" s="2"/>
    </row>
    <row r="1821" spans="1:10" x14ac:dyDescent="0.25">
      <c r="A1821" s="8" t="s">
        <v>2063</v>
      </c>
      <c r="B1821" s="8" t="s">
        <v>1631</v>
      </c>
      <c r="C1821" s="8" t="s">
        <v>71</v>
      </c>
      <c r="D1821" s="10">
        <v>45436</v>
      </c>
      <c r="E1821" s="9">
        <v>6676</v>
      </c>
      <c r="F1821" s="2" t="str">
        <f>INDEX(Vendors!E:E,MATCH(Vendor_Analysis!C1821,Vendors!A:A,0))</f>
        <v xml:space="preserve">45 </v>
      </c>
      <c r="G1821" s="2">
        <v>45</v>
      </c>
      <c r="H1821" s="16">
        <f t="shared" si="28"/>
        <v>45481</v>
      </c>
      <c r="J1821" s="2"/>
    </row>
    <row r="1822" spans="1:10" x14ac:dyDescent="0.25">
      <c r="A1822" s="8" t="s">
        <v>2064</v>
      </c>
      <c r="B1822" s="8" t="s">
        <v>1631</v>
      </c>
      <c r="C1822" s="8" t="s">
        <v>6</v>
      </c>
      <c r="D1822" s="10">
        <v>45441</v>
      </c>
      <c r="E1822" s="9">
        <v>12303</v>
      </c>
      <c r="F1822" s="2" t="str">
        <f>INDEX(Vendors!E:E,MATCH(Vendor_Analysis!C1822,Vendors!A:A,0))</f>
        <v xml:space="preserve">60 </v>
      </c>
      <c r="G1822" s="2">
        <v>60</v>
      </c>
      <c r="H1822" s="16">
        <f t="shared" si="28"/>
        <v>45501</v>
      </c>
      <c r="J1822" s="2"/>
    </row>
    <row r="1823" spans="1:10" x14ac:dyDescent="0.25">
      <c r="A1823" s="8" t="s">
        <v>2065</v>
      </c>
      <c r="B1823" s="8" t="s">
        <v>1631</v>
      </c>
      <c r="C1823" s="8" t="s">
        <v>55</v>
      </c>
      <c r="D1823" s="10">
        <v>45442</v>
      </c>
      <c r="E1823" s="9">
        <v>14071</v>
      </c>
      <c r="F1823" s="2" t="str">
        <f>INDEX(Vendors!E:E,MATCH(Vendor_Analysis!C1823,Vendors!A:A,0))</f>
        <v xml:space="preserve">30 </v>
      </c>
      <c r="G1823" s="2">
        <v>30</v>
      </c>
      <c r="H1823" s="16">
        <f t="shared" si="28"/>
        <v>45472</v>
      </c>
      <c r="J1823" s="2"/>
    </row>
    <row r="1824" spans="1:10" x14ac:dyDescent="0.25">
      <c r="A1824" s="8" t="s">
        <v>2066</v>
      </c>
      <c r="B1824" s="8" t="s">
        <v>1631</v>
      </c>
      <c r="C1824" s="8" t="s">
        <v>71</v>
      </c>
      <c r="D1824" s="10">
        <v>45447</v>
      </c>
      <c r="E1824" s="9">
        <v>6502</v>
      </c>
      <c r="F1824" s="2" t="str">
        <f>INDEX(Vendors!E:E,MATCH(Vendor_Analysis!C1824,Vendors!A:A,0))</f>
        <v xml:space="preserve">45 </v>
      </c>
      <c r="G1824" s="2">
        <v>45</v>
      </c>
      <c r="H1824" s="16">
        <f t="shared" si="28"/>
        <v>45492</v>
      </c>
      <c r="J1824" s="2"/>
    </row>
    <row r="1825" spans="1:10" x14ac:dyDescent="0.25">
      <c r="A1825" s="8" t="s">
        <v>2067</v>
      </c>
      <c r="B1825" s="8" t="s">
        <v>1631</v>
      </c>
      <c r="C1825" s="8" t="s">
        <v>17</v>
      </c>
      <c r="D1825" s="10">
        <v>45452</v>
      </c>
      <c r="E1825" s="9">
        <v>9833</v>
      </c>
      <c r="F1825" s="2" t="str">
        <f>INDEX(Vendors!E:E,MATCH(Vendor_Analysis!C1825,Vendors!A:A,0))</f>
        <v xml:space="preserve">45 </v>
      </c>
      <c r="G1825" s="2">
        <v>45</v>
      </c>
      <c r="H1825" s="16">
        <f t="shared" si="28"/>
        <v>45497</v>
      </c>
      <c r="J1825" s="2"/>
    </row>
    <row r="1826" spans="1:10" x14ac:dyDescent="0.25">
      <c r="A1826" s="8" t="s">
        <v>2068</v>
      </c>
      <c r="B1826" s="8" t="s">
        <v>1631</v>
      </c>
      <c r="C1826" s="8" t="s">
        <v>110</v>
      </c>
      <c r="D1826" s="10">
        <v>45484</v>
      </c>
      <c r="E1826" s="9">
        <v>11375</v>
      </c>
      <c r="F1826" s="2" t="str">
        <f>INDEX(Vendors!E:E,MATCH(Vendor_Analysis!C1826,Vendors!A:A,0))</f>
        <v xml:space="preserve">30 </v>
      </c>
      <c r="G1826" s="2">
        <v>30</v>
      </c>
      <c r="H1826" s="16">
        <f t="shared" si="28"/>
        <v>45514</v>
      </c>
      <c r="J1826" s="2"/>
    </row>
    <row r="1827" spans="1:10" x14ac:dyDescent="0.25">
      <c r="A1827" s="8" t="s">
        <v>2069</v>
      </c>
      <c r="B1827" s="8" t="s">
        <v>1631</v>
      </c>
      <c r="C1827" s="8" t="s">
        <v>17</v>
      </c>
      <c r="D1827" s="10">
        <v>45489</v>
      </c>
      <c r="E1827" s="9">
        <v>15807</v>
      </c>
      <c r="F1827" s="2" t="str">
        <f>INDEX(Vendors!E:E,MATCH(Vendor_Analysis!C1827,Vendors!A:A,0))</f>
        <v xml:space="preserve">45 </v>
      </c>
      <c r="G1827" s="2">
        <v>45</v>
      </c>
      <c r="H1827" s="16">
        <f t="shared" si="28"/>
        <v>45534</v>
      </c>
      <c r="J1827" s="2"/>
    </row>
    <row r="1828" spans="1:10" x14ac:dyDescent="0.25">
      <c r="A1828" s="8" t="s">
        <v>2070</v>
      </c>
      <c r="B1828" s="8" t="s">
        <v>1631</v>
      </c>
      <c r="C1828" s="8" t="s">
        <v>27</v>
      </c>
      <c r="D1828" s="10">
        <v>45505</v>
      </c>
      <c r="E1828" s="9">
        <v>14797</v>
      </c>
      <c r="F1828" s="2" t="str">
        <f>INDEX(Vendors!E:E,MATCH(Vendor_Analysis!C1828,Vendors!A:A,0))</f>
        <v xml:space="preserve">45 </v>
      </c>
      <c r="G1828" s="2">
        <v>45</v>
      </c>
      <c r="H1828" s="16">
        <f t="shared" si="28"/>
        <v>45550</v>
      </c>
      <c r="J1828" s="2"/>
    </row>
    <row r="1829" spans="1:10" x14ac:dyDescent="0.25">
      <c r="A1829" s="8" t="s">
        <v>2071</v>
      </c>
      <c r="B1829" s="8" t="s">
        <v>1631</v>
      </c>
      <c r="C1829" s="8" t="s">
        <v>27</v>
      </c>
      <c r="D1829" s="10">
        <v>45528</v>
      </c>
      <c r="E1829" s="9">
        <v>15888</v>
      </c>
      <c r="F1829" s="2" t="str">
        <f>INDEX(Vendors!E:E,MATCH(Vendor_Analysis!C1829,Vendors!A:A,0))</f>
        <v xml:space="preserve">45 </v>
      </c>
      <c r="G1829" s="2">
        <v>45</v>
      </c>
      <c r="H1829" s="16">
        <f t="shared" si="28"/>
        <v>45573</v>
      </c>
      <c r="J1829" s="2"/>
    </row>
    <row r="1830" spans="1:10" x14ac:dyDescent="0.25">
      <c r="A1830" s="8" t="s">
        <v>2072</v>
      </c>
      <c r="B1830" s="8" t="s">
        <v>1631</v>
      </c>
      <c r="C1830" s="8" t="s">
        <v>25</v>
      </c>
      <c r="D1830" s="10">
        <v>45531</v>
      </c>
      <c r="E1830" s="9">
        <v>14459</v>
      </c>
      <c r="F1830" s="2" t="str">
        <f>INDEX(Vendors!E:E,MATCH(Vendor_Analysis!C1830,Vendors!A:A,0))</f>
        <v xml:space="preserve">30 </v>
      </c>
      <c r="G1830" s="2">
        <v>30</v>
      </c>
      <c r="H1830" s="16">
        <f t="shared" si="28"/>
        <v>45561</v>
      </c>
      <c r="J1830" s="2"/>
    </row>
    <row r="1831" spans="1:10" x14ac:dyDescent="0.25">
      <c r="A1831" s="8" t="s">
        <v>2073</v>
      </c>
      <c r="B1831" s="8" t="s">
        <v>1631</v>
      </c>
      <c r="C1831" s="8" t="s">
        <v>91</v>
      </c>
      <c r="D1831" s="10">
        <v>45552</v>
      </c>
      <c r="E1831" s="9">
        <v>15267</v>
      </c>
      <c r="F1831" s="2" t="str">
        <f>INDEX(Vendors!E:E,MATCH(Vendor_Analysis!C1831,Vendors!A:A,0))</f>
        <v xml:space="preserve">60 </v>
      </c>
      <c r="G1831" s="2">
        <v>60</v>
      </c>
      <c r="H1831" s="16">
        <f t="shared" si="28"/>
        <v>45612</v>
      </c>
      <c r="J1831" s="2"/>
    </row>
    <row r="1832" spans="1:10" x14ac:dyDescent="0.25">
      <c r="A1832" s="8" t="s">
        <v>2074</v>
      </c>
      <c r="B1832" s="8" t="s">
        <v>1631</v>
      </c>
      <c r="C1832" s="8" t="s">
        <v>50</v>
      </c>
      <c r="D1832" s="10">
        <v>45587</v>
      </c>
      <c r="E1832" s="9">
        <v>25546</v>
      </c>
      <c r="F1832" s="2" t="str">
        <f>INDEX(Vendors!E:E,MATCH(Vendor_Analysis!C1832,Vendors!A:A,0))</f>
        <v xml:space="preserve"> 90</v>
      </c>
      <c r="G1832" s="2">
        <v>90</v>
      </c>
      <c r="H1832" s="16">
        <f t="shared" si="28"/>
        <v>45677</v>
      </c>
      <c r="J1832" s="2"/>
    </row>
    <row r="1833" spans="1:10" x14ac:dyDescent="0.25">
      <c r="A1833" s="8" t="s">
        <v>2075</v>
      </c>
      <c r="B1833" s="8" t="s">
        <v>1631</v>
      </c>
      <c r="C1833" s="8" t="s">
        <v>12</v>
      </c>
      <c r="D1833" s="10">
        <v>45606</v>
      </c>
      <c r="E1833" s="9">
        <v>9611</v>
      </c>
      <c r="F1833" s="2" t="str">
        <f>INDEX(Vendors!E:E,MATCH(Vendor_Analysis!C1833,Vendors!A:A,0))</f>
        <v xml:space="preserve">30 </v>
      </c>
      <c r="G1833" s="2">
        <v>30</v>
      </c>
      <c r="H1833" s="16">
        <f t="shared" si="28"/>
        <v>45636</v>
      </c>
      <c r="J1833" s="2"/>
    </row>
    <row r="1834" spans="1:10" x14ac:dyDescent="0.25">
      <c r="A1834" s="8" t="s">
        <v>2076</v>
      </c>
      <c r="B1834" s="8" t="s">
        <v>1631</v>
      </c>
      <c r="C1834" s="8" t="s">
        <v>48</v>
      </c>
      <c r="D1834" s="10">
        <v>45631</v>
      </c>
      <c r="E1834" s="9">
        <v>14160</v>
      </c>
      <c r="F1834" s="2" t="str">
        <f>INDEX(Vendors!E:E,MATCH(Vendor_Analysis!C1834,Vendors!A:A,0))</f>
        <v xml:space="preserve"> 90</v>
      </c>
      <c r="G1834" s="2">
        <v>90</v>
      </c>
      <c r="H1834" s="16">
        <f t="shared" si="28"/>
        <v>45721</v>
      </c>
      <c r="J1834" s="2"/>
    </row>
    <row r="1835" spans="1:10" x14ac:dyDescent="0.25">
      <c r="A1835" s="8" t="s">
        <v>2077</v>
      </c>
      <c r="B1835" s="8" t="s">
        <v>1631</v>
      </c>
      <c r="C1835" s="8" t="s">
        <v>35</v>
      </c>
      <c r="D1835" s="10">
        <v>45640</v>
      </c>
      <c r="E1835" s="9">
        <v>7066</v>
      </c>
      <c r="F1835" s="2" t="str">
        <f>INDEX(Vendors!E:E,MATCH(Vendor_Analysis!C1835,Vendors!A:A,0))</f>
        <v xml:space="preserve">60 </v>
      </c>
      <c r="G1835" s="2">
        <v>60</v>
      </c>
      <c r="H1835" s="16">
        <f t="shared" si="28"/>
        <v>45700</v>
      </c>
      <c r="J1835" s="2"/>
    </row>
    <row r="1836" spans="1:10" x14ac:dyDescent="0.25">
      <c r="A1836" s="8" t="s">
        <v>2078</v>
      </c>
      <c r="B1836" s="8" t="s">
        <v>1631</v>
      </c>
      <c r="C1836" s="8" t="s">
        <v>109</v>
      </c>
      <c r="D1836" s="10">
        <v>45648</v>
      </c>
      <c r="E1836" s="9">
        <v>12639</v>
      </c>
      <c r="F1836" s="2" t="str">
        <f>INDEX(Vendors!E:E,MATCH(Vendor_Analysis!C1836,Vendors!A:A,0))</f>
        <v xml:space="preserve">30 </v>
      </c>
      <c r="G1836" s="2">
        <v>30</v>
      </c>
      <c r="H1836" s="16">
        <f t="shared" si="28"/>
        <v>45678</v>
      </c>
      <c r="J1836" s="2"/>
    </row>
    <row r="1837" spans="1:10" x14ac:dyDescent="0.25">
      <c r="A1837" s="8" t="s">
        <v>2079</v>
      </c>
      <c r="B1837" s="8" t="s">
        <v>1631</v>
      </c>
      <c r="C1837" s="8" t="s">
        <v>110</v>
      </c>
      <c r="D1837" s="10">
        <v>45662</v>
      </c>
      <c r="E1837" s="9">
        <v>8166</v>
      </c>
      <c r="F1837" s="2" t="str">
        <f>INDEX(Vendors!E:E,MATCH(Vendor_Analysis!C1837,Vendors!A:A,0))</f>
        <v xml:space="preserve">30 </v>
      </c>
      <c r="G1837" s="2">
        <v>30</v>
      </c>
      <c r="H1837" s="16">
        <f t="shared" si="28"/>
        <v>45692</v>
      </c>
      <c r="J1837" s="2"/>
    </row>
    <row r="1838" spans="1:10" x14ac:dyDescent="0.25">
      <c r="A1838" s="8" t="s">
        <v>2080</v>
      </c>
      <c r="B1838" s="8" t="s">
        <v>1631</v>
      </c>
      <c r="C1838" s="8" t="s">
        <v>33</v>
      </c>
      <c r="D1838" s="10">
        <v>45671</v>
      </c>
      <c r="E1838" s="9">
        <v>6378</v>
      </c>
      <c r="F1838" s="2" t="str">
        <f>INDEX(Vendors!E:E,MATCH(Vendor_Analysis!C1838,Vendors!A:A,0))</f>
        <v xml:space="preserve">30 </v>
      </c>
      <c r="G1838" s="2">
        <v>30</v>
      </c>
      <c r="H1838" s="16">
        <f t="shared" si="28"/>
        <v>45701</v>
      </c>
      <c r="J1838" s="2"/>
    </row>
    <row r="1839" spans="1:10" x14ac:dyDescent="0.25">
      <c r="A1839" s="8" t="s">
        <v>2081</v>
      </c>
      <c r="B1839" s="8" t="s">
        <v>1631</v>
      </c>
      <c r="C1839" s="8" t="s">
        <v>35</v>
      </c>
      <c r="D1839" s="10">
        <v>45674</v>
      </c>
      <c r="E1839" s="9">
        <v>44274</v>
      </c>
      <c r="F1839" s="2" t="str">
        <f>INDEX(Vendors!E:E,MATCH(Vendor_Analysis!C1839,Vendors!A:A,0))</f>
        <v xml:space="preserve">60 </v>
      </c>
      <c r="G1839" s="2">
        <v>60</v>
      </c>
      <c r="H1839" s="16">
        <f t="shared" si="28"/>
        <v>45734</v>
      </c>
      <c r="J1839" s="2"/>
    </row>
    <row r="1840" spans="1:10" x14ac:dyDescent="0.25">
      <c r="A1840" s="8" t="s">
        <v>2082</v>
      </c>
      <c r="B1840" s="8" t="s">
        <v>1631</v>
      </c>
      <c r="C1840" s="8" t="s">
        <v>23</v>
      </c>
      <c r="D1840" s="10">
        <v>45686</v>
      </c>
      <c r="E1840" s="9">
        <v>7154</v>
      </c>
      <c r="F1840" s="2" t="str">
        <f>INDEX(Vendors!E:E,MATCH(Vendor_Analysis!C1840,Vendors!A:A,0))</f>
        <v xml:space="preserve"> 90</v>
      </c>
      <c r="G1840" s="2">
        <v>90</v>
      </c>
      <c r="H1840" s="16">
        <f t="shared" si="28"/>
        <v>45776</v>
      </c>
      <c r="J1840" s="2"/>
    </row>
    <row r="1841" spans="1:10" x14ac:dyDescent="0.25">
      <c r="A1841" s="8" t="s">
        <v>2083</v>
      </c>
      <c r="B1841" s="8" t="s">
        <v>1631</v>
      </c>
      <c r="C1841" s="8" t="s">
        <v>50</v>
      </c>
      <c r="D1841" s="10">
        <v>45700</v>
      </c>
      <c r="E1841" s="9">
        <v>13603</v>
      </c>
      <c r="F1841" s="2" t="str">
        <f>INDEX(Vendors!E:E,MATCH(Vendor_Analysis!C1841,Vendors!A:A,0))</f>
        <v xml:space="preserve"> 90</v>
      </c>
      <c r="G1841" s="2">
        <v>90</v>
      </c>
      <c r="H1841" s="16">
        <f t="shared" si="28"/>
        <v>45790</v>
      </c>
      <c r="J1841" s="2"/>
    </row>
    <row r="1842" spans="1:10" x14ac:dyDescent="0.25">
      <c r="A1842" s="8" t="s">
        <v>2084</v>
      </c>
      <c r="B1842" s="8" t="s">
        <v>1631</v>
      </c>
      <c r="C1842" s="8" t="s">
        <v>35</v>
      </c>
      <c r="D1842" s="10">
        <v>45726</v>
      </c>
      <c r="E1842" s="9">
        <v>8049</v>
      </c>
      <c r="F1842" s="2" t="str">
        <f>INDEX(Vendors!E:E,MATCH(Vendor_Analysis!C1842,Vendors!A:A,0))</f>
        <v xml:space="preserve">60 </v>
      </c>
      <c r="G1842" s="2">
        <v>60</v>
      </c>
      <c r="H1842" s="16">
        <f t="shared" si="28"/>
        <v>45786</v>
      </c>
      <c r="J1842" s="2"/>
    </row>
    <row r="1843" spans="1:10" x14ac:dyDescent="0.25">
      <c r="A1843" s="8" t="s">
        <v>2085</v>
      </c>
      <c r="B1843" s="8" t="s">
        <v>1631</v>
      </c>
      <c r="C1843" s="8" t="s">
        <v>19</v>
      </c>
      <c r="D1843" s="10">
        <v>45747</v>
      </c>
      <c r="E1843" s="9">
        <v>10176</v>
      </c>
      <c r="F1843" s="2" t="str">
        <f>INDEX(Vendors!E:E,MATCH(Vendor_Analysis!C1843,Vendors!A:A,0))</f>
        <v xml:space="preserve">45 </v>
      </c>
      <c r="G1843" s="2">
        <v>45</v>
      </c>
      <c r="H1843" s="16">
        <f t="shared" si="28"/>
        <v>45792</v>
      </c>
      <c r="J1843" s="2"/>
    </row>
    <row r="1844" spans="1:10" x14ac:dyDescent="0.25">
      <c r="A1844" s="8" t="s">
        <v>2086</v>
      </c>
      <c r="B1844" s="8" t="s">
        <v>1631</v>
      </c>
      <c r="C1844" s="8" t="s">
        <v>91</v>
      </c>
      <c r="D1844" s="10">
        <v>45771</v>
      </c>
      <c r="E1844" s="9">
        <v>15050</v>
      </c>
      <c r="F1844" s="2" t="str">
        <f>INDEX(Vendors!E:E,MATCH(Vendor_Analysis!C1844,Vendors!A:A,0))</f>
        <v xml:space="preserve">60 </v>
      </c>
      <c r="G1844" s="2">
        <v>60</v>
      </c>
      <c r="H1844" s="16">
        <f t="shared" si="28"/>
        <v>45831</v>
      </c>
      <c r="J1844" s="2"/>
    </row>
    <row r="1845" spans="1:10" x14ac:dyDescent="0.25">
      <c r="A1845" s="8" t="s">
        <v>2087</v>
      </c>
      <c r="B1845" s="8" t="s">
        <v>1631</v>
      </c>
      <c r="C1845" s="8" t="s">
        <v>110</v>
      </c>
      <c r="D1845" s="10">
        <v>45794</v>
      </c>
      <c r="E1845" s="9">
        <v>11537</v>
      </c>
      <c r="F1845" s="2" t="str">
        <f>INDEX(Vendors!E:E,MATCH(Vendor_Analysis!C1845,Vendors!A:A,0))</f>
        <v xml:space="preserve">30 </v>
      </c>
      <c r="G1845" s="2">
        <v>30</v>
      </c>
      <c r="H1845" s="16">
        <f t="shared" si="28"/>
        <v>45824</v>
      </c>
      <c r="J1845" s="2"/>
    </row>
    <row r="1846" spans="1:10" x14ac:dyDescent="0.25">
      <c r="A1846" s="8" t="s">
        <v>2088</v>
      </c>
      <c r="B1846" s="8" t="s">
        <v>1631</v>
      </c>
      <c r="C1846" s="8" t="s">
        <v>91</v>
      </c>
      <c r="D1846" s="10">
        <v>45816</v>
      </c>
      <c r="E1846" s="9">
        <v>14623</v>
      </c>
      <c r="F1846" s="2" t="str">
        <f>INDEX(Vendors!E:E,MATCH(Vendor_Analysis!C1846,Vendors!A:A,0))</f>
        <v xml:space="preserve">60 </v>
      </c>
      <c r="G1846" s="2">
        <v>60</v>
      </c>
      <c r="H1846" s="16">
        <f t="shared" si="28"/>
        <v>45876</v>
      </c>
      <c r="J1846" s="2"/>
    </row>
    <row r="1847" spans="1:10" x14ac:dyDescent="0.25">
      <c r="A1847" s="8" t="s">
        <v>2089</v>
      </c>
      <c r="B1847" s="8" t="s">
        <v>1631</v>
      </c>
      <c r="C1847" s="8" t="s">
        <v>23</v>
      </c>
      <c r="D1847" s="10">
        <v>45832</v>
      </c>
      <c r="E1847" s="9">
        <v>15841</v>
      </c>
      <c r="F1847" s="2" t="str">
        <f>INDEX(Vendors!E:E,MATCH(Vendor_Analysis!C1847,Vendors!A:A,0))</f>
        <v xml:space="preserve"> 90</v>
      </c>
      <c r="G1847" s="2">
        <v>90</v>
      </c>
      <c r="H1847" s="16">
        <f t="shared" si="28"/>
        <v>45922</v>
      </c>
      <c r="J1847" s="2"/>
    </row>
    <row r="1848" spans="1:10" x14ac:dyDescent="0.25">
      <c r="A1848" s="8" t="s">
        <v>2090</v>
      </c>
      <c r="B1848" s="8" t="s">
        <v>1631</v>
      </c>
      <c r="C1848" s="8" t="s">
        <v>109</v>
      </c>
      <c r="D1848" s="10">
        <v>45841</v>
      </c>
      <c r="E1848" s="9">
        <v>14628</v>
      </c>
      <c r="F1848" s="2" t="str">
        <f>INDEX(Vendors!E:E,MATCH(Vendor_Analysis!C1848,Vendors!A:A,0))</f>
        <v xml:space="preserve">30 </v>
      </c>
      <c r="G1848" s="2">
        <v>30</v>
      </c>
      <c r="H1848" s="16">
        <f t="shared" si="28"/>
        <v>45871</v>
      </c>
      <c r="J1848" s="2"/>
    </row>
    <row r="1849" spans="1:10" x14ac:dyDescent="0.25">
      <c r="A1849" s="8" t="s">
        <v>2091</v>
      </c>
      <c r="B1849" s="8" t="s">
        <v>1631</v>
      </c>
      <c r="C1849" s="8" t="s">
        <v>108</v>
      </c>
      <c r="D1849" s="10">
        <v>45842</v>
      </c>
      <c r="E1849" s="9">
        <v>8325</v>
      </c>
      <c r="F1849" s="2" t="str">
        <f>INDEX(Vendors!E:E,MATCH(Vendor_Analysis!C1849,Vendors!A:A,0))</f>
        <v xml:space="preserve"> 90</v>
      </c>
      <c r="G1849" s="2">
        <v>90</v>
      </c>
      <c r="H1849" s="16">
        <f t="shared" si="28"/>
        <v>45932</v>
      </c>
      <c r="J1849" s="2"/>
    </row>
    <row r="1850" spans="1:10" x14ac:dyDescent="0.25">
      <c r="A1850" s="8" t="s">
        <v>2092</v>
      </c>
      <c r="B1850" s="8" t="s">
        <v>1631</v>
      </c>
      <c r="C1850" s="8" t="s">
        <v>25</v>
      </c>
      <c r="D1850" s="10">
        <v>45856</v>
      </c>
      <c r="E1850" s="9">
        <v>9174</v>
      </c>
      <c r="F1850" s="2" t="str">
        <f>INDEX(Vendors!E:E,MATCH(Vendor_Analysis!C1850,Vendors!A:A,0))</f>
        <v xml:space="preserve">30 </v>
      </c>
      <c r="G1850" s="2">
        <v>30</v>
      </c>
      <c r="H1850" s="16">
        <f t="shared" si="28"/>
        <v>45886</v>
      </c>
      <c r="J1850" s="2"/>
    </row>
    <row r="1851" spans="1:10" x14ac:dyDescent="0.25">
      <c r="A1851" s="8" t="s">
        <v>2093</v>
      </c>
      <c r="B1851" s="8" t="s">
        <v>1631</v>
      </c>
      <c r="C1851" s="8" t="s">
        <v>14</v>
      </c>
      <c r="D1851" s="10">
        <v>45867</v>
      </c>
      <c r="E1851" s="9">
        <v>14936</v>
      </c>
      <c r="F1851" s="2" t="str">
        <f>INDEX(Vendors!E:E,MATCH(Vendor_Analysis!C1851,Vendors!A:A,0))</f>
        <v xml:space="preserve"> 90</v>
      </c>
      <c r="G1851" s="2">
        <v>90</v>
      </c>
      <c r="H1851" s="16">
        <f t="shared" si="28"/>
        <v>45957</v>
      </c>
      <c r="J1851" s="2"/>
    </row>
    <row r="1852" spans="1:10" x14ac:dyDescent="0.25">
      <c r="A1852" s="8" t="s">
        <v>2094</v>
      </c>
      <c r="B1852" s="8" t="s">
        <v>1631</v>
      </c>
      <c r="C1852" s="8" t="s">
        <v>23</v>
      </c>
      <c r="D1852" s="10">
        <v>45879</v>
      </c>
      <c r="E1852" s="9">
        <v>8552</v>
      </c>
      <c r="F1852" s="2" t="str">
        <f>INDEX(Vendors!E:E,MATCH(Vendor_Analysis!C1852,Vendors!A:A,0))</f>
        <v xml:space="preserve"> 90</v>
      </c>
      <c r="G1852" s="2">
        <v>90</v>
      </c>
      <c r="H1852" s="16">
        <f t="shared" si="28"/>
        <v>45969</v>
      </c>
      <c r="J1852" s="2"/>
    </row>
    <row r="1853" spans="1:10" x14ac:dyDescent="0.25">
      <c r="A1853" s="8" t="s">
        <v>2095</v>
      </c>
      <c r="B1853" s="8" t="s">
        <v>1631</v>
      </c>
      <c r="C1853" s="8" t="s">
        <v>33</v>
      </c>
      <c r="D1853" s="10">
        <v>45895</v>
      </c>
      <c r="E1853" s="9">
        <v>6791</v>
      </c>
      <c r="F1853" s="2" t="str">
        <f>INDEX(Vendors!E:E,MATCH(Vendor_Analysis!C1853,Vendors!A:A,0))</f>
        <v xml:space="preserve">30 </v>
      </c>
      <c r="G1853" s="2">
        <v>30</v>
      </c>
      <c r="H1853" s="16">
        <f t="shared" si="28"/>
        <v>45925</v>
      </c>
      <c r="J1853" s="2"/>
    </row>
    <row r="1854" spans="1:10" x14ac:dyDescent="0.25">
      <c r="A1854" s="8" t="s">
        <v>1651</v>
      </c>
      <c r="B1854" s="8" t="s">
        <v>1652</v>
      </c>
      <c r="C1854" s="8" t="s">
        <v>14</v>
      </c>
      <c r="D1854" s="10">
        <v>45268</v>
      </c>
      <c r="E1854" s="9">
        <v>124584</v>
      </c>
      <c r="F1854" s="2" t="str">
        <f>INDEX(Vendors!E:E,MATCH(Vendor_Analysis!C1854,Vendors!A:A,0))</f>
        <v xml:space="preserve"> 90</v>
      </c>
      <c r="G1854" s="2">
        <v>90</v>
      </c>
      <c r="H1854" s="16">
        <f t="shared" si="28"/>
        <v>45358</v>
      </c>
      <c r="J1854" s="2"/>
    </row>
    <row r="1855" spans="1:10" x14ac:dyDescent="0.25">
      <c r="A1855" s="8" t="s">
        <v>1653</v>
      </c>
      <c r="B1855" s="8" t="s">
        <v>1652</v>
      </c>
      <c r="C1855" s="8" t="s">
        <v>35</v>
      </c>
      <c r="D1855" s="10">
        <v>45283</v>
      </c>
      <c r="E1855" s="9">
        <v>149974</v>
      </c>
      <c r="F1855" s="2" t="str">
        <f>INDEX(Vendors!E:E,MATCH(Vendor_Analysis!C1855,Vendors!A:A,0))</f>
        <v xml:space="preserve">60 </v>
      </c>
      <c r="G1855" s="2">
        <v>60</v>
      </c>
      <c r="H1855" s="16">
        <f t="shared" si="28"/>
        <v>45343</v>
      </c>
      <c r="J1855" s="2"/>
    </row>
    <row r="1856" spans="1:10" x14ac:dyDescent="0.25">
      <c r="A1856" s="8" t="s">
        <v>1654</v>
      </c>
      <c r="B1856" s="8" t="s">
        <v>1652</v>
      </c>
      <c r="C1856" s="8" t="s">
        <v>17</v>
      </c>
      <c r="D1856" s="10">
        <v>45302</v>
      </c>
      <c r="E1856" s="9">
        <v>67328</v>
      </c>
      <c r="F1856" s="2" t="str">
        <f>INDEX(Vendors!E:E,MATCH(Vendor_Analysis!C1856,Vendors!A:A,0))</f>
        <v xml:space="preserve">45 </v>
      </c>
      <c r="G1856" s="2">
        <v>45</v>
      </c>
      <c r="H1856" s="16">
        <f t="shared" si="28"/>
        <v>45347</v>
      </c>
      <c r="J1856" s="2"/>
    </row>
    <row r="1857" spans="1:10" x14ac:dyDescent="0.25">
      <c r="A1857" s="8" t="s">
        <v>1655</v>
      </c>
      <c r="B1857" s="8" t="s">
        <v>1652</v>
      </c>
      <c r="C1857" s="8" t="s">
        <v>6</v>
      </c>
      <c r="D1857" s="10">
        <v>45317</v>
      </c>
      <c r="E1857" s="9">
        <v>77329</v>
      </c>
      <c r="F1857" s="2" t="str">
        <f>INDEX(Vendors!E:E,MATCH(Vendor_Analysis!C1857,Vendors!A:A,0))</f>
        <v xml:space="preserve">60 </v>
      </c>
      <c r="G1857" s="2">
        <v>60</v>
      </c>
      <c r="H1857" s="16">
        <f t="shared" si="28"/>
        <v>45377</v>
      </c>
      <c r="J1857" s="2"/>
    </row>
    <row r="1858" spans="1:10" x14ac:dyDescent="0.25">
      <c r="A1858" s="8" t="s">
        <v>1656</v>
      </c>
      <c r="B1858" s="8" t="s">
        <v>1652</v>
      </c>
      <c r="C1858" s="8" t="s">
        <v>29</v>
      </c>
      <c r="D1858" s="10">
        <v>45321</v>
      </c>
      <c r="E1858" s="9">
        <v>92213</v>
      </c>
      <c r="F1858" s="2" t="str">
        <f>INDEX(Vendors!E:E,MATCH(Vendor_Analysis!C1858,Vendors!A:A,0))</f>
        <v xml:space="preserve">30 </v>
      </c>
      <c r="G1858" s="2">
        <v>30</v>
      </c>
      <c r="H1858" s="16">
        <f t="shared" si="28"/>
        <v>45351</v>
      </c>
      <c r="J1858" s="2"/>
    </row>
    <row r="1859" spans="1:10" x14ac:dyDescent="0.25">
      <c r="A1859" s="8" t="s">
        <v>1657</v>
      </c>
      <c r="B1859" s="8" t="s">
        <v>1652</v>
      </c>
      <c r="C1859" s="8" t="s">
        <v>50</v>
      </c>
      <c r="D1859" s="10">
        <v>45328</v>
      </c>
      <c r="E1859" s="9">
        <v>142012</v>
      </c>
      <c r="F1859" s="2" t="str">
        <f>INDEX(Vendors!E:E,MATCH(Vendor_Analysis!C1859,Vendors!A:A,0))</f>
        <v xml:space="preserve"> 90</v>
      </c>
      <c r="G1859" s="2">
        <v>90</v>
      </c>
      <c r="H1859" s="16">
        <f t="shared" ref="H1859:H1922" si="29">D1859+F1859</f>
        <v>45418</v>
      </c>
      <c r="J1859" s="2"/>
    </row>
    <row r="1860" spans="1:10" x14ac:dyDescent="0.25">
      <c r="A1860" s="8" t="s">
        <v>1658</v>
      </c>
      <c r="B1860" s="8" t="s">
        <v>1652</v>
      </c>
      <c r="C1860" s="8" t="s">
        <v>29</v>
      </c>
      <c r="D1860" s="10">
        <v>45350</v>
      </c>
      <c r="E1860" s="9">
        <v>160115</v>
      </c>
      <c r="F1860" s="2" t="str">
        <f>INDEX(Vendors!E:E,MATCH(Vendor_Analysis!C1860,Vendors!A:A,0))</f>
        <v xml:space="preserve">30 </v>
      </c>
      <c r="G1860" s="2">
        <v>30</v>
      </c>
      <c r="H1860" s="16">
        <f t="shared" si="29"/>
        <v>45380</v>
      </c>
      <c r="J1860" s="2"/>
    </row>
    <row r="1861" spans="1:10" x14ac:dyDescent="0.25">
      <c r="A1861" s="8" t="s">
        <v>1659</v>
      </c>
      <c r="B1861" s="8" t="s">
        <v>1652</v>
      </c>
      <c r="C1861" s="8" t="s">
        <v>50</v>
      </c>
      <c r="D1861" s="10">
        <v>45363</v>
      </c>
      <c r="E1861" s="9">
        <v>114214</v>
      </c>
      <c r="F1861" s="2" t="str">
        <f>INDEX(Vendors!E:E,MATCH(Vendor_Analysis!C1861,Vendors!A:A,0))</f>
        <v xml:space="preserve"> 90</v>
      </c>
      <c r="G1861" s="2">
        <v>90</v>
      </c>
      <c r="H1861" s="16">
        <f t="shared" si="29"/>
        <v>45453</v>
      </c>
      <c r="J1861" s="2"/>
    </row>
    <row r="1862" spans="1:10" x14ac:dyDescent="0.25">
      <c r="A1862" s="8" t="s">
        <v>1660</v>
      </c>
      <c r="B1862" s="8" t="s">
        <v>1652</v>
      </c>
      <c r="C1862" s="8" t="s">
        <v>44</v>
      </c>
      <c r="D1862" s="10">
        <v>45373</v>
      </c>
      <c r="E1862" s="9">
        <v>117054</v>
      </c>
      <c r="F1862" s="2" t="str">
        <f>INDEX(Vendors!E:E,MATCH(Vendor_Analysis!C1862,Vendors!A:A,0))</f>
        <v xml:space="preserve">45 </v>
      </c>
      <c r="G1862" s="2">
        <v>45</v>
      </c>
      <c r="H1862" s="16">
        <f t="shared" si="29"/>
        <v>45418</v>
      </c>
      <c r="J1862" s="2"/>
    </row>
    <row r="1863" spans="1:10" x14ac:dyDescent="0.25">
      <c r="A1863" s="8" t="s">
        <v>1661</v>
      </c>
      <c r="B1863" s="8" t="s">
        <v>1652</v>
      </c>
      <c r="C1863" s="8" t="s">
        <v>14</v>
      </c>
      <c r="D1863" s="10">
        <v>45396</v>
      </c>
      <c r="E1863" s="9">
        <v>79800</v>
      </c>
      <c r="F1863" s="2" t="str">
        <f>INDEX(Vendors!E:E,MATCH(Vendor_Analysis!C1863,Vendors!A:A,0))</f>
        <v xml:space="preserve"> 90</v>
      </c>
      <c r="G1863" s="2">
        <v>90</v>
      </c>
      <c r="H1863" s="16">
        <f t="shared" si="29"/>
        <v>45486</v>
      </c>
      <c r="J1863" s="2"/>
    </row>
    <row r="1864" spans="1:10" x14ac:dyDescent="0.25">
      <c r="A1864" s="8" t="s">
        <v>1662</v>
      </c>
      <c r="B1864" s="8" t="s">
        <v>1652</v>
      </c>
      <c r="C1864" s="8" t="s">
        <v>37</v>
      </c>
      <c r="D1864" s="10">
        <v>45411</v>
      </c>
      <c r="E1864" s="9">
        <v>59299</v>
      </c>
      <c r="F1864" s="2" t="str">
        <f>INDEX(Vendors!E:E,MATCH(Vendor_Analysis!C1864,Vendors!A:A,0))</f>
        <v xml:space="preserve">30 </v>
      </c>
      <c r="G1864" s="2">
        <v>30</v>
      </c>
      <c r="H1864" s="16">
        <f t="shared" si="29"/>
        <v>45441</v>
      </c>
      <c r="J1864" s="2"/>
    </row>
    <row r="1865" spans="1:10" x14ac:dyDescent="0.25">
      <c r="A1865" s="8" t="s">
        <v>1663</v>
      </c>
      <c r="B1865" s="8" t="s">
        <v>1652</v>
      </c>
      <c r="C1865" s="8" t="s">
        <v>25</v>
      </c>
      <c r="D1865" s="10">
        <v>45419</v>
      </c>
      <c r="E1865" s="9">
        <v>83418</v>
      </c>
      <c r="F1865" s="2" t="str">
        <f>INDEX(Vendors!E:E,MATCH(Vendor_Analysis!C1865,Vendors!A:A,0))</f>
        <v xml:space="preserve">30 </v>
      </c>
      <c r="G1865" s="2">
        <v>30</v>
      </c>
      <c r="H1865" s="16">
        <f t="shared" si="29"/>
        <v>45449</v>
      </c>
      <c r="J1865" s="2"/>
    </row>
    <row r="1866" spans="1:10" x14ac:dyDescent="0.25">
      <c r="A1866" s="8" t="s">
        <v>1664</v>
      </c>
      <c r="B1866" s="8" t="s">
        <v>1652</v>
      </c>
      <c r="C1866" s="8" t="s">
        <v>12</v>
      </c>
      <c r="D1866" s="10">
        <v>45433</v>
      </c>
      <c r="E1866" s="9">
        <v>64718</v>
      </c>
      <c r="F1866" s="2" t="str">
        <f>INDEX(Vendors!E:E,MATCH(Vendor_Analysis!C1866,Vendors!A:A,0))</f>
        <v xml:space="preserve">30 </v>
      </c>
      <c r="G1866" s="2">
        <v>30</v>
      </c>
      <c r="H1866" s="16">
        <f t="shared" si="29"/>
        <v>45463</v>
      </c>
      <c r="J1866" s="2"/>
    </row>
    <row r="1867" spans="1:10" x14ac:dyDescent="0.25">
      <c r="A1867" s="8" t="s">
        <v>1665</v>
      </c>
      <c r="B1867" s="8" t="s">
        <v>1652</v>
      </c>
      <c r="C1867" s="8" t="s">
        <v>91</v>
      </c>
      <c r="D1867" s="10">
        <v>45433</v>
      </c>
      <c r="E1867" s="9">
        <v>100963</v>
      </c>
      <c r="F1867" s="2" t="str">
        <f>INDEX(Vendors!E:E,MATCH(Vendor_Analysis!C1867,Vendors!A:A,0))</f>
        <v xml:space="preserve">60 </v>
      </c>
      <c r="G1867" s="2">
        <v>60</v>
      </c>
      <c r="H1867" s="16">
        <f t="shared" si="29"/>
        <v>45493</v>
      </c>
      <c r="J1867" s="2"/>
    </row>
    <row r="1868" spans="1:10" x14ac:dyDescent="0.25">
      <c r="A1868" s="8" t="s">
        <v>1666</v>
      </c>
      <c r="B1868" s="8" t="s">
        <v>1652</v>
      </c>
      <c r="C1868" s="8" t="s">
        <v>108</v>
      </c>
      <c r="D1868" s="10">
        <v>45441</v>
      </c>
      <c r="E1868" s="9">
        <v>107113</v>
      </c>
      <c r="F1868" s="2" t="str">
        <f>INDEX(Vendors!E:E,MATCH(Vendor_Analysis!C1868,Vendors!A:A,0))</f>
        <v xml:space="preserve"> 90</v>
      </c>
      <c r="G1868" s="2">
        <v>90</v>
      </c>
      <c r="H1868" s="16">
        <f t="shared" si="29"/>
        <v>45531</v>
      </c>
      <c r="J1868" s="2"/>
    </row>
    <row r="1869" spans="1:10" x14ac:dyDescent="0.25">
      <c r="A1869" s="8" t="s">
        <v>1667</v>
      </c>
      <c r="B1869" s="8" t="s">
        <v>1652</v>
      </c>
      <c r="C1869" s="8" t="s">
        <v>73</v>
      </c>
      <c r="D1869" s="10">
        <v>45446</v>
      </c>
      <c r="E1869" s="9">
        <v>145045</v>
      </c>
      <c r="F1869" s="2" t="str">
        <f>INDEX(Vendors!E:E,MATCH(Vendor_Analysis!C1869,Vendors!A:A,0))</f>
        <v xml:space="preserve">60 </v>
      </c>
      <c r="G1869" s="2">
        <v>60</v>
      </c>
      <c r="H1869" s="16">
        <f t="shared" si="29"/>
        <v>45506</v>
      </c>
      <c r="J1869" s="2"/>
    </row>
    <row r="1870" spans="1:10" x14ac:dyDescent="0.25">
      <c r="A1870" s="8" t="s">
        <v>1668</v>
      </c>
      <c r="B1870" s="8" t="s">
        <v>1652</v>
      </c>
      <c r="C1870" s="8" t="s">
        <v>73</v>
      </c>
      <c r="D1870" s="10">
        <v>45457</v>
      </c>
      <c r="E1870" s="9">
        <v>104557</v>
      </c>
      <c r="F1870" s="2" t="str">
        <f>INDEX(Vendors!E:E,MATCH(Vendor_Analysis!C1870,Vendors!A:A,0))</f>
        <v xml:space="preserve">60 </v>
      </c>
      <c r="G1870" s="2">
        <v>60</v>
      </c>
      <c r="H1870" s="16">
        <f t="shared" si="29"/>
        <v>45517</v>
      </c>
      <c r="J1870" s="2"/>
    </row>
    <row r="1871" spans="1:10" x14ac:dyDescent="0.25">
      <c r="A1871" s="8" t="s">
        <v>1669</v>
      </c>
      <c r="B1871" s="8" t="s">
        <v>1652</v>
      </c>
      <c r="C1871" s="8" t="s">
        <v>73</v>
      </c>
      <c r="D1871" s="10">
        <v>45469</v>
      </c>
      <c r="E1871" s="9">
        <v>107885</v>
      </c>
      <c r="F1871" s="2" t="str">
        <f>INDEX(Vendors!E:E,MATCH(Vendor_Analysis!C1871,Vendors!A:A,0))</f>
        <v xml:space="preserve">60 </v>
      </c>
      <c r="G1871" s="2">
        <v>60</v>
      </c>
      <c r="H1871" s="16">
        <f t="shared" si="29"/>
        <v>45529</v>
      </c>
      <c r="J1871" s="2"/>
    </row>
    <row r="1872" spans="1:10" x14ac:dyDescent="0.25">
      <c r="A1872" s="8" t="s">
        <v>1670</v>
      </c>
      <c r="B1872" s="8" t="s">
        <v>1652</v>
      </c>
      <c r="C1872" s="8" t="s">
        <v>8</v>
      </c>
      <c r="D1872" s="10">
        <v>45480</v>
      </c>
      <c r="E1872" s="9">
        <v>118279</v>
      </c>
      <c r="F1872" s="2" t="str">
        <f>INDEX(Vendors!E:E,MATCH(Vendor_Analysis!C1872,Vendors!A:A,0))</f>
        <v xml:space="preserve">60 </v>
      </c>
      <c r="G1872" s="2">
        <v>60</v>
      </c>
      <c r="H1872" s="16">
        <f t="shared" si="29"/>
        <v>45540</v>
      </c>
      <c r="J1872" s="2"/>
    </row>
    <row r="1873" spans="1:10" x14ac:dyDescent="0.25">
      <c r="A1873" s="8" t="s">
        <v>1671</v>
      </c>
      <c r="B1873" s="8" t="s">
        <v>1652</v>
      </c>
      <c r="C1873" s="8" t="s">
        <v>12</v>
      </c>
      <c r="D1873" s="10">
        <v>45485</v>
      </c>
      <c r="E1873" s="9">
        <v>93329</v>
      </c>
      <c r="F1873" s="2" t="str">
        <f>INDEX(Vendors!E:E,MATCH(Vendor_Analysis!C1873,Vendors!A:A,0))</f>
        <v xml:space="preserve">30 </v>
      </c>
      <c r="G1873" s="2">
        <v>30</v>
      </c>
      <c r="H1873" s="16">
        <f t="shared" si="29"/>
        <v>45515</v>
      </c>
      <c r="J1873" s="2"/>
    </row>
    <row r="1874" spans="1:10" x14ac:dyDescent="0.25">
      <c r="A1874" s="8" t="s">
        <v>1672</v>
      </c>
      <c r="B1874" s="8" t="s">
        <v>1652</v>
      </c>
      <c r="C1874" s="8" t="s">
        <v>25</v>
      </c>
      <c r="D1874" s="10">
        <v>45501</v>
      </c>
      <c r="E1874" s="9">
        <v>122512</v>
      </c>
      <c r="F1874" s="2" t="str">
        <f>INDEX(Vendors!E:E,MATCH(Vendor_Analysis!C1874,Vendors!A:A,0))</f>
        <v xml:space="preserve">30 </v>
      </c>
      <c r="G1874" s="2">
        <v>30</v>
      </c>
      <c r="H1874" s="16">
        <f t="shared" si="29"/>
        <v>45531</v>
      </c>
      <c r="J1874" s="2"/>
    </row>
    <row r="1875" spans="1:10" x14ac:dyDescent="0.25">
      <c r="A1875" s="8" t="s">
        <v>1673</v>
      </c>
      <c r="B1875" s="8" t="s">
        <v>1652</v>
      </c>
      <c r="C1875" s="8" t="s">
        <v>33</v>
      </c>
      <c r="D1875" s="10">
        <v>45521</v>
      </c>
      <c r="E1875" s="9">
        <v>94820</v>
      </c>
      <c r="F1875" s="2" t="str">
        <f>INDEX(Vendors!E:E,MATCH(Vendor_Analysis!C1875,Vendors!A:A,0))</f>
        <v xml:space="preserve">30 </v>
      </c>
      <c r="G1875" s="2">
        <v>30</v>
      </c>
      <c r="H1875" s="16">
        <f t="shared" si="29"/>
        <v>45551</v>
      </c>
      <c r="J1875" s="2"/>
    </row>
    <row r="1876" spans="1:10" x14ac:dyDescent="0.25">
      <c r="A1876" s="8" t="s">
        <v>1674</v>
      </c>
      <c r="B1876" s="8" t="s">
        <v>1652</v>
      </c>
      <c r="C1876" s="8" t="s">
        <v>25</v>
      </c>
      <c r="D1876" s="10">
        <v>45527</v>
      </c>
      <c r="E1876" s="9">
        <v>110509</v>
      </c>
      <c r="F1876" s="2" t="str">
        <f>INDEX(Vendors!E:E,MATCH(Vendor_Analysis!C1876,Vendors!A:A,0))</f>
        <v xml:space="preserve">30 </v>
      </c>
      <c r="G1876" s="2">
        <v>30</v>
      </c>
      <c r="H1876" s="16">
        <f t="shared" si="29"/>
        <v>45557</v>
      </c>
      <c r="J1876" s="2"/>
    </row>
    <row r="1877" spans="1:10" x14ac:dyDescent="0.25">
      <c r="A1877" s="8" t="s">
        <v>1675</v>
      </c>
      <c r="B1877" s="8" t="s">
        <v>1652</v>
      </c>
      <c r="C1877" s="8" t="s">
        <v>108</v>
      </c>
      <c r="D1877" s="10">
        <v>45531</v>
      </c>
      <c r="E1877" s="9">
        <v>136117</v>
      </c>
      <c r="F1877" s="2" t="str">
        <f>INDEX(Vendors!E:E,MATCH(Vendor_Analysis!C1877,Vendors!A:A,0))</f>
        <v xml:space="preserve"> 90</v>
      </c>
      <c r="G1877" s="2">
        <v>90</v>
      </c>
      <c r="H1877" s="16">
        <f t="shared" si="29"/>
        <v>45621</v>
      </c>
      <c r="J1877" s="2"/>
    </row>
    <row r="1878" spans="1:10" x14ac:dyDescent="0.25">
      <c r="A1878" s="8" t="s">
        <v>1676</v>
      </c>
      <c r="B1878" s="8" t="s">
        <v>1652</v>
      </c>
      <c r="C1878" s="8" t="s">
        <v>44</v>
      </c>
      <c r="D1878" s="10">
        <v>45538</v>
      </c>
      <c r="E1878" s="9">
        <v>111456</v>
      </c>
      <c r="F1878" s="2" t="str">
        <f>INDEX(Vendors!E:E,MATCH(Vendor_Analysis!C1878,Vendors!A:A,0))</f>
        <v xml:space="preserve">45 </v>
      </c>
      <c r="G1878" s="2">
        <v>45</v>
      </c>
      <c r="H1878" s="16">
        <f t="shared" si="29"/>
        <v>45583</v>
      </c>
      <c r="J1878" s="2"/>
    </row>
    <row r="1879" spans="1:10" x14ac:dyDescent="0.25">
      <c r="A1879" s="8" t="s">
        <v>1677</v>
      </c>
      <c r="B1879" s="8" t="s">
        <v>1652</v>
      </c>
      <c r="C1879" s="8" t="s">
        <v>35</v>
      </c>
      <c r="D1879" s="10">
        <v>45568</v>
      </c>
      <c r="E1879" s="9">
        <v>143483</v>
      </c>
      <c r="F1879" s="2" t="str">
        <f>INDEX(Vendors!E:E,MATCH(Vendor_Analysis!C1879,Vendors!A:A,0))</f>
        <v xml:space="preserve">60 </v>
      </c>
      <c r="G1879" s="2">
        <v>60</v>
      </c>
      <c r="H1879" s="16">
        <f t="shared" si="29"/>
        <v>45628</v>
      </c>
      <c r="J1879" s="2"/>
    </row>
    <row r="1880" spans="1:10" x14ac:dyDescent="0.25">
      <c r="A1880" s="8" t="s">
        <v>1678</v>
      </c>
      <c r="B1880" s="8" t="s">
        <v>1652</v>
      </c>
      <c r="C1880" s="8" t="s">
        <v>33</v>
      </c>
      <c r="D1880" s="10">
        <v>45575</v>
      </c>
      <c r="E1880" s="9">
        <v>109518</v>
      </c>
      <c r="F1880" s="2" t="str">
        <f>INDEX(Vendors!E:E,MATCH(Vendor_Analysis!C1880,Vendors!A:A,0))</f>
        <v xml:space="preserve">30 </v>
      </c>
      <c r="G1880" s="2">
        <v>30</v>
      </c>
      <c r="H1880" s="16">
        <f t="shared" si="29"/>
        <v>45605</v>
      </c>
      <c r="J1880" s="2"/>
    </row>
    <row r="1881" spans="1:10" x14ac:dyDescent="0.25">
      <c r="A1881" s="8" t="s">
        <v>1679</v>
      </c>
      <c r="B1881" s="8" t="s">
        <v>1652</v>
      </c>
      <c r="C1881" s="8" t="s">
        <v>6</v>
      </c>
      <c r="D1881" s="10">
        <v>45578</v>
      </c>
      <c r="E1881" s="9">
        <v>79662</v>
      </c>
      <c r="F1881" s="2" t="str">
        <f>INDEX(Vendors!E:E,MATCH(Vendor_Analysis!C1881,Vendors!A:A,0))</f>
        <v xml:space="preserve">60 </v>
      </c>
      <c r="G1881" s="2">
        <v>60</v>
      </c>
      <c r="H1881" s="16">
        <f t="shared" si="29"/>
        <v>45638</v>
      </c>
      <c r="J1881" s="2"/>
    </row>
    <row r="1882" spans="1:10" x14ac:dyDescent="0.25">
      <c r="A1882" s="8" t="s">
        <v>1680</v>
      </c>
      <c r="B1882" s="8" t="s">
        <v>1652</v>
      </c>
      <c r="C1882" s="8" t="s">
        <v>50</v>
      </c>
      <c r="D1882" s="10">
        <v>45583</v>
      </c>
      <c r="E1882" s="9">
        <v>94596</v>
      </c>
      <c r="F1882" s="2" t="str">
        <f>INDEX(Vendors!E:E,MATCH(Vendor_Analysis!C1882,Vendors!A:A,0))</f>
        <v xml:space="preserve"> 90</v>
      </c>
      <c r="G1882" s="2">
        <v>90</v>
      </c>
      <c r="H1882" s="16">
        <f t="shared" si="29"/>
        <v>45673</v>
      </c>
      <c r="J1882" s="2"/>
    </row>
    <row r="1883" spans="1:10" x14ac:dyDescent="0.25">
      <c r="A1883" s="8" t="s">
        <v>1681</v>
      </c>
      <c r="B1883" s="8" t="s">
        <v>1652</v>
      </c>
      <c r="C1883" s="8" t="s">
        <v>110</v>
      </c>
      <c r="D1883" s="10">
        <v>45586</v>
      </c>
      <c r="E1883" s="9">
        <v>129139</v>
      </c>
      <c r="F1883" s="2" t="str">
        <f>INDEX(Vendors!E:E,MATCH(Vendor_Analysis!C1883,Vendors!A:A,0))</f>
        <v xml:space="preserve">30 </v>
      </c>
      <c r="G1883" s="2">
        <v>30</v>
      </c>
      <c r="H1883" s="16">
        <f t="shared" si="29"/>
        <v>45616</v>
      </c>
      <c r="J1883" s="2"/>
    </row>
    <row r="1884" spans="1:10" x14ac:dyDescent="0.25">
      <c r="A1884" s="8" t="s">
        <v>1682</v>
      </c>
      <c r="B1884" s="8" t="s">
        <v>1652</v>
      </c>
      <c r="C1884" s="8" t="s">
        <v>48</v>
      </c>
      <c r="D1884" s="10">
        <v>45592</v>
      </c>
      <c r="E1884" s="9">
        <v>111159</v>
      </c>
      <c r="F1884" s="2" t="str">
        <f>INDEX(Vendors!E:E,MATCH(Vendor_Analysis!C1884,Vendors!A:A,0))</f>
        <v xml:space="preserve"> 90</v>
      </c>
      <c r="G1884" s="2">
        <v>90</v>
      </c>
      <c r="H1884" s="16">
        <f t="shared" si="29"/>
        <v>45682</v>
      </c>
      <c r="J1884" s="2"/>
    </row>
    <row r="1885" spans="1:10" x14ac:dyDescent="0.25">
      <c r="A1885" s="8" t="s">
        <v>1683</v>
      </c>
      <c r="B1885" s="8" t="s">
        <v>1652</v>
      </c>
      <c r="C1885" s="8" t="s">
        <v>21</v>
      </c>
      <c r="D1885" s="10">
        <v>45594</v>
      </c>
      <c r="E1885" s="9">
        <v>69423</v>
      </c>
      <c r="F1885" s="2" t="str">
        <f>INDEX(Vendors!E:E,MATCH(Vendor_Analysis!C1885,Vendors!A:A,0))</f>
        <v xml:space="preserve"> 90</v>
      </c>
      <c r="G1885" s="2">
        <v>90</v>
      </c>
      <c r="H1885" s="16">
        <f t="shared" si="29"/>
        <v>45684</v>
      </c>
      <c r="J1885" s="2"/>
    </row>
    <row r="1886" spans="1:10" x14ac:dyDescent="0.25">
      <c r="A1886" s="8" t="s">
        <v>1684</v>
      </c>
      <c r="B1886" s="8" t="s">
        <v>1685</v>
      </c>
      <c r="C1886" s="8" t="s">
        <v>71</v>
      </c>
      <c r="D1886" s="10">
        <v>45203</v>
      </c>
      <c r="E1886" s="9">
        <v>6435</v>
      </c>
      <c r="F1886" s="2" t="str">
        <f>INDEX(Vendors!E:E,MATCH(Vendor_Analysis!C1886,Vendors!A:A,0))</f>
        <v xml:space="preserve">45 </v>
      </c>
      <c r="G1886" s="2">
        <v>45</v>
      </c>
      <c r="H1886" s="16">
        <f t="shared" si="29"/>
        <v>45248</v>
      </c>
      <c r="J1886" s="2"/>
    </row>
    <row r="1887" spans="1:10" x14ac:dyDescent="0.25">
      <c r="A1887" s="8" t="s">
        <v>1686</v>
      </c>
      <c r="B1887" s="8" t="s">
        <v>1685</v>
      </c>
      <c r="C1887" s="8" t="s">
        <v>91</v>
      </c>
      <c r="D1887" s="10">
        <v>45231</v>
      </c>
      <c r="E1887" s="9">
        <v>8379</v>
      </c>
      <c r="F1887" s="2" t="str">
        <f>INDEX(Vendors!E:E,MATCH(Vendor_Analysis!C1887,Vendors!A:A,0))</f>
        <v xml:space="preserve">60 </v>
      </c>
      <c r="G1887" s="2">
        <v>60</v>
      </c>
      <c r="H1887" s="16">
        <f t="shared" si="29"/>
        <v>45291</v>
      </c>
      <c r="J1887" s="2"/>
    </row>
    <row r="1888" spans="1:10" x14ac:dyDescent="0.25">
      <c r="A1888" s="8" t="s">
        <v>1687</v>
      </c>
      <c r="B1888" s="8" t="s">
        <v>1685</v>
      </c>
      <c r="C1888" s="8" t="s">
        <v>10</v>
      </c>
      <c r="D1888" s="10">
        <v>45232</v>
      </c>
      <c r="E1888" s="9">
        <v>7038</v>
      </c>
      <c r="F1888" s="2" t="str">
        <f>INDEX(Vendors!E:E,MATCH(Vendor_Analysis!C1888,Vendors!A:A,0))</f>
        <v xml:space="preserve">60 </v>
      </c>
      <c r="G1888" s="2">
        <v>60</v>
      </c>
      <c r="H1888" s="16">
        <f t="shared" si="29"/>
        <v>45292</v>
      </c>
      <c r="J1888" s="2"/>
    </row>
    <row r="1889" spans="1:10" x14ac:dyDescent="0.25">
      <c r="A1889" s="8" t="s">
        <v>1688</v>
      </c>
      <c r="B1889" s="8" t="s">
        <v>1685</v>
      </c>
      <c r="C1889" s="8" t="s">
        <v>23</v>
      </c>
      <c r="D1889" s="10">
        <v>45234</v>
      </c>
      <c r="E1889" s="9">
        <v>10983</v>
      </c>
      <c r="F1889" s="2" t="str">
        <f>INDEX(Vendors!E:E,MATCH(Vendor_Analysis!C1889,Vendors!A:A,0))</f>
        <v xml:space="preserve"> 90</v>
      </c>
      <c r="G1889" s="2">
        <v>90</v>
      </c>
      <c r="H1889" s="16">
        <f t="shared" si="29"/>
        <v>45324</v>
      </c>
      <c r="J1889" s="2"/>
    </row>
    <row r="1890" spans="1:10" x14ac:dyDescent="0.25">
      <c r="A1890" s="8" t="s">
        <v>1689</v>
      </c>
      <c r="B1890" s="8" t="s">
        <v>1685</v>
      </c>
      <c r="C1890" s="8" t="s">
        <v>73</v>
      </c>
      <c r="D1890" s="10">
        <v>45236</v>
      </c>
      <c r="E1890" s="9">
        <v>7049</v>
      </c>
      <c r="F1890" s="2" t="str">
        <f>INDEX(Vendors!E:E,MATCH(Vendor_Analysis!C1890,Vendors!A:A,0))</f>
        <v xml:space="preserve">60 </v>
      </c>
      <c r="G1890" s="2">
        <v>60</v>
      </c>
      <c r="H1890" s="16">
        <f t="shared" si="29"/>
        <v>45296</v>
      </c>
      <c r="J1890" s="2"/>
    </row>
    <row r="1891" spans="1:10" x14ac:dyDescent="0.25">
      <c r="A1891" s="8" t="s">
        <v>1690</v>
      </c>
      <c r="B1891" s="8" t="s">
        <v>1685</v>
      </c>
      <c r="C1891" s="8" t="s">
        <v>10</v>
      </c>
      <c r="D1891" s="10">
        <v>45240</v>
      </c>
      <c r="E1891" s="9">
        <v>11238</v>
      </c>
      <c r="F1891" s="2" t="str">
        <f>INDEX(Vendors!E:E,MATCH(Vendor_Analysis!C1891,Vendors!A:A,0))</f>
        <v xml:space="preserve">60 </v>
      </c>
      <c r="G1891" s="2">
        <v>60</v>
      </c>
      <c r="H1891" s="16">
        <f t="shared" si="29"/>
        <v>45300</v>
      </c>
      <c r="J1891" s="2"/>
    </row>
    <row r="1892" spans="1:10" x14ac:dyDescent="0.25">
      <c r="A1892" s="8" t="s">
        <v>1691</v>
      </c>
      <c r="B1892" s="8" t="s">
        <v>1685</v>
      </c>
      <c r="C1892" s="8" t="s">
        <v>44</v>
      </c>
      <c r="D1892" s="10">
        <v>45265</v>
      </c>
      <c r="E1892" s="9">
        <v>7592</v>
      </c>
      <c r="F1892" s="2" t="str">
        <f>INDEX(Vendors!E:E,MATCH(Vendor_Analysis!C1892,Vendors!A:A,0))</f>
        <v xml:space="preserve">45 </v>
      </c>
      <c r="G1892" s="2">
        <v>45</v>
      </c>
      <c r="H1892" s="16">
        <f t="shared" si="29"/>
        <v>45310</v>
      </c>
      <c r="J1892" s="2"/>
    </row>
    <row r="1893" spans="1:10" x14ac:dyDescent="0.25">
      <c r="A1893" s="8" t="s">
        <v>1692</v>
      </c>
      <c r="B1893" s="8" t="s">
        <v>1685</v>
      </c>
      <c r="C1893" s="8" t="s">
        <v>37</v>
      </c>
      <c r="D1893" s="10">
        <v>45278</v>
      </c>
      <c r="E1893" s="9">
        <v>9276</v>
      </c>
      <c r="F1893" s="2" t="str">
        <f>INDEX(Vendors!E:E,MATCH(Vendor_Analysis!C1893,Vendors!A:A,0))</f>
        <v xml:space="preserve">30 </v>
      </c>
      <c r="G1893" s="2">
        <v>30</v>
      </c>
      <c r="H1893" s="16">
        <f t="shared" si="29"/>
        <v>45308</v>
      </c>
      <c r="J1893" s="2"/>
    </row>
    <row r="1894" spans="1:10" x14ac:dyDescent="0.25">
      <c r="A1894" s="8" t="s">
        <v>1693</v>
      </c>
      <c r="B1894" s="8" t="s">
        <v>1685</v>
      </c>
      <c r="C1894" s="8" t="s">
        <v>55</v>
      </c>
      <c r="D1894" s="10">
        <v>45295</v>
      </c>
      <c r="E1894" s="9">
        <v>13413</v>
      </c>
      <c r="F1894" s="2" t="str">
        <f>INDEX(Vendors!E:E,MATCH(Vendor_Analysis!C1894,Vendors!A:A,0))</f>
        <v xml:space="preserve">30 </v>
      </c>
      <c r="G1894" s="2">
        <v>30</v>
      </c>
      <c r="H1894" s="16">
        <f t="shared" si="29"/>
        <v>45325</v>
      </c>
      <c r="J1894" s="2"/>
    </row>
    <row r="1895" spans="1:10" x14ac:dyDescent="0.25">
      <c r="A1895" s="8" t="s">
        <v>1694</v>
      </c>
      <c r="B1895" s="8" t="s">
        <v>1685</v>
      </c>
      <c r="C1895" s="8" t="s">
        <v>73</v>
      </c>
      <c r="D1895" s="10">
        <v>45301</v>
      </c>
      <c r="E1895" s="9">
        <v>6544</v>
      </c>
      <c r="F1895" s="2" t="str">
        <f>INDEX(Vendors!E:E,MATCH(Vendor_Analysis!C1895,Vendors!A:A,0))</f>
        <v xml:space="preserve">60 </v>
      </c>
      <c r="G1895" s="2">
        <v>60</v>
      </c>
      <c r="H1895" s="16">
        <f t="shared" si="29"/>
        <v>45361</v>
      </c>
      <c r="J1895" s="2"/>
    </row>
    <row r="1896" spans="1:10" x14ac:dyDescent="0.25">
      <c r="A1896" s="8" t="s">
        <v>1695</v>
      </c>
      <c r="B1896" s="8" t="s">
        <v>1685</v>
      </c>
      <c r="C1896" s="8" t="s">
        <v>91</v>
      </c>
      <c r="D1896" s="10">
        <v>45306</v>
      </c>
      <c r="E1896" s="9">
        <v>16614</v>
      </c>
      <c r="F1896" s="2" t="str">
        <f>INDEX(Vendors!E:E,MATCH(Vendor_Analysis!C1896,Vendors!A:A,0))</f>
        <v xml:space="preserve">60 </v>
      </c>
      <c r="G1896" s="2">
        <v>60</v>
      </c>
      <c r="H1896" s="16">
        <f t="shared" si="29"/>
        <v>45366</v>
      </c>
      <c r="J1896" s="2"/>
    </row>
    <row r="1897" spans="1:10" x14ac:dyDescent="0.25">
      <c r="A1897" s="8" t="s">
        <v>1696</v>
      </c>
      <c r="B1897" s="8" t="s">
        <v>1685</v>
      </c>
      <c r="C1897" s="8" t="s">
        <v>27</v>
      </c>
      <c r="D1897" s="10">
        <v>45311</v>
      </c>
      <c r="E1897" s="9">
        <v>13759</v>
      </c>
      <c r="F1897" s="2" t="str">
        <f>INDEX(Vendors!E:E,MATCH(Vendor_Analysis!C1897,Vendors!A:A,0))</f>
        <v xml:space="preserve">45 </v>
      </c>
      <c r="G1897" s="2">
        <v>45</v>
      </c>
      <c r="H1897" s="16">
        <f t="shared" si="29"/>
        <v>45356</v>
      </c>
      <c r="J1897" s="2"/>
    </row>
    <row r="1898" spans="1:10" x14ac:dyDescent="0.25">
      <c r="A1898" s="8" t="s">
        <v>1697</v>
      </c>
      <c r="B1898" s="8" t="s">
        <v>1685</v>
      </c>
      <c r="C1898" s="8" t="s">
        <v>23</v>
      </c>
      <c r="D1898" s="10">
        <v>45316</v>
      </c>
      <c r="E1898" s="9">
        <v>11446</v>
      </c>
      <c r="F1898" s="2" t="str">
        <f>INDEX(Vendors!E:E,MATCH(Vendor_Analysis!C1898,Vendors!A:A,0))</f>
        <v xml:space="preserve"> 90</v>
      </c>
      <c r="G1898" s="2">
        <v>90</v>
      </c>
      <c r="H1898" s="16">
        <f t="shared" si="29"/>
        <v>45406</v>
      </c>
      <c r="J1898" s="2"/>
    </row>
    <row r="1899" spans="1:10" x14ac:dyDescent="0.25">
      <c r="A1899" s="8" t="s">
        <v>1698</v>
      </c>
      <c r="B1899" s="8" t="s">
        <v>1685</v>
      </c>
      <c r="C1899" s="8" t="s">
        <v>48</v>
      </c>
      <c r="D1899" s="10">
        <v>45345</v>
      </c>
      <c r="E1899" s="9">
        <v>13673</v>
      </c>
      <c r="F1899" s="2" t="str">
        <f>INDEX(Vendors!E:E,MATCH(Vendor_Analysis!C1899,Vendors!A:A,0))</f>
        <v xml:space="preserve"> 90</v>
      </c>
      <c r="G1899" s="2">
        <v>90</v>
      </c>
      <c r="H1899" s="16">
        <f t="shared" si="29"/>
        <v>45435</v>
      </c>
      <c r="J1899" s="2"/>
    </row>
    <row r="1900" spans="1:10" x14ac:dyDescent="0.25">
      <c r="A1900" s="8" t="s">
        <v>1699</v>
      </c>
      <c r="B1900" s="8" t="s">
        <v>1685</v>
      </c>
      <c r="C1900" s="8" t="s">
        <v>12</v>
      </c>
      <c r="D1900" s="10">
        <v>45354</v>
      </c>
      <c r="E1900" s="9">
        <v>11949</v>
      </c>
      <c r="F1900" s="2" t="str">
        <f>INDEX(Vendors!E:E,MATCH(Vendor_Analysis!C1900,Vendors!A:A,0))</f>
        <v xml:space="preserve">30 </v>
      </c>
      <c r="G1900" s="2">
        <v>30</v>
      </c>
      <c r="H1900" s="16">
        <f t="shared" si="29"/>
        <v>45384</v>
      </c>
      <c r="J1900" s="2"/>
    </row>
    <row r="1901" spans="1:10" x14ac:dyDescent="0.25">
      <c r="A1901" s="8" t="s">
        <v>1700</v>
      </c>
      <c r="B1901" s="8" t="s">
        <v>1685</v>
      </c>
      <c r="C1901" s="8" t="s">
        <v>17</v>
      </c>
      <c r="D1901" s="10">
        <v>45362</v>
      </c>
      <c r="E1901" s="9">
        <v>16477</v>
      </c>
      <c r="F1901" s="2" t="str">
        <f>INDEX(Vendors!E:E,MATCH(Vendor_Analysis!C1901,Vendors!A:A,0))</f>
        <v xml:space="preserve">45 </v>
      </c>
      <c r="G1901" s="2">
        <v>45</v>
      </c>
      <c r="H1901" s="16">
        <f t="shared" si="29"/>
        <v>45407</v>
      </c>
      <c r="J1901" s="2"/>
    </row>
    <row r="1902" spans="1:10" x14ac:dyDescent="0.25">
      <c r="A1902" s="8" t="s">
        <v>1701</v>
      </c>
      <c r="B1902" s="8" t="s">
        <v>1685</v>
      </c>
      <c r="C1902" s="8" t="s">
        <v>12</v>
      </c>
      <c r="D1902" s="10">
        <v>45366</v>
      </c>
      <c r="E1902" s="9">
        <v>8487</v>
      </c>
      <c r="F1902" s="2" t="str">
        <f>INDEX(Vendors!E:E,MATCH(Vendor_Analysis!C1902,Vendors!A:A,0))</f>
        <v xml:space="preserve">30 </v>
      </c>
      <c r="G1902" s="2">
        <v>30</v>
      </c>
      <c r="H1902" s="16">
        <f t="shared" si="29"/>
        <v>45396</v>
      </c>
      <c r="J1902" s="2"/>
    </row>
    <row r="1903" spans="1:10" x14ac:dyDescent="0.25">
      <c r="A1903" s="8" t="s">
        <v>1702</v>
      </c>
      <c r="B1903" s="8" t="s">
        <v>1685</v>
      </c>
      <c r="C1903" s="8" t="s">
        <v>10</v>
      </c>
      <c r="D1903" s="10">
        <v>45380</v>
      </c>
      <c r="E1903" s="9">
        <v>7595</v>
      </c>
      <c r="F1903" s="2" t="str">
        <f>INDEX(Vendors!E:E,MATCH(Vendor_Analysis!C1903,Vendors!A:A,0))</f>
        <v xml:space="preserve">60 </v>
      </c>
      <c r="G1903" s="2">
        <v>60</v>
      </c>
      <c r="H1903" s="16">
        <f t="shared" si="29"/>
        <v>45440</v>
      </c>
      <c r="J1903" s="2"/>
    </row>
    <row r="1904" spans="1:10" x14ac:dyDescent="0.25">
      <c r="A1904" s="8" t="s">
        <v>1703</v>
      </c>
      <c r="B1904" s="8" t="s">
        <v>1685</v>
      </c>
      <c r="C1904" s="8" t="s">
        <v>73</v>
      </c>
      <c r="D1904" s="10">
        <v>45385</v>
      </c>
      <c r="E1904" s="9">
        <v>15469</v>
      </c>
      <c r="F1904" s="2" t="str">
        <f>INDEX(Vendors!E:E,MATCH(Vendor_Analysis!C1904,Vendors!A:A,0))</f>
        <v xml:space="preserve">60 </v>
      </c>
      <c r="G1904" s="2">
        <v>60</v>
      </c>
      <c r="H1904" s="16">
        <f t="shared" si="29"/>
        <v>45445</v>
      </c>
      <c r="J1904" s="2"/>
    </row>
    <row r="1905" spans="1:10" x14ac:dyDescent="0.25">
      <c r="A1905" s="8" t="s">
        <v>1704</v>
      </c>
      <c r="B1905" s="8" t="s">
        <v>1685</v>
      </c>
      <c r="C1905" s="8" t="s">
        <v>37</v>
      </c>
      <c r="D1905" s="10">
        <v>45412</v>
      </c>
      <c r="E1905" s="9">
        <v>11918</v>
      </c>
      <c r="F1905" s="2" t="str">
        <f>INDEX(Vendors!E:E,MATCH(Vendor_Analysis!C1905,Vendors!A:A,0))</f>
        <v xml:space="preserve">30 </v>
      </c>
      <c r="G1905" s="2">
        <v>30</v>
      </c>
      <c r="H1905" s="16">
        <f t="shared" si="29"/>
        <v>45442</v>
      </c>
      <c r="J1905" s="2"/>
    </row>
    <row r="1906" spans="1:10" x14ac:dyDescent="0.25">
      <c r="A1906" s="8" t="s">
        <v>1705</v>
      </c>
      <c r="B1906" s="8" t="s">
        <v>1685</v>
      </c>
      <c r="C1906" s="8" t="s">
        <v>10</v>
      </c>
      <c r="D1906" s="10">
        <v>45413</v>
      </c>
      <c r="E1906" s="9">
        <v>11124</v>
      </c>
      <c r="F1906" s="2" t="str">
        <f>INDEX(Vendors!E:E,MATCH(Vendor_Analysis!C1906,Vendors!A:A,0))</f>
        <v xml:space="preserve">60 </v>
      </c>
      <c r="G1906" s="2">
        <v>60</v>
      </c>
      <c r="H1906" s="16">
        <f t="shared" si="29"/>
        <v>45473</v>
      </c>
      <c r="J1906" s="2"/>
    </row>
    <row r="1907" spans="1:10" x14ac:dyDescent="0.25">
      <c r="A1907" s="8" t="s">
        <v>1706</v>
      </c>
      <c r="B1907" s="8" t="s">
        <v>1685</v>
      </c>
      <c r="C1907" s="8" t="s">
        <v>50</v>
      </c>
      <c r="D1907" s="10">
        <v>45483</v>
      </c>
      <c r="E1907" s="9">
        <v>16900</v>
      </c>
      <c r="F1907" s="2" t="str">
        <f>INDEX(Vendors!E:E,MATCH(Vendor_Analysis!C1907,Vendors!A:A,0))</f>
        <v xml:space="preserve"> 90</v>
      </c>
      <c r="G1907" s="2">
        <v>90</v>
      </c>
      <c r="H1907" s="16">
        <f t="shared" si="29"/>
        <v>45573</v>
      </c>
      <c r="J1907" s="2"/>
    </row>
    <row r="1908" spans="1:10" x14ac:dyDescent="0.25">
      <c r="A1908" s="8" t="s">
        <v>1707</v>
      </c>
      <c r="B1908" s="8" t="s">
        <v>1685</v>
      </c>
      <c r="C1908" s="8" t="s">
        <v>27</v>
      </c>
      <c r="D1908" s="10">
        <v>45496</v>
      </c>
      <c r="E1908" s="9">
        <v>11713</v>
      </c>
      <c r="F1908" s="2" t="str">
        <f>INDEX(Vendors!E:E,MATCH(Vendor_Analysis!C1908,Vendors!A:A,0))</f>
        <v xml:space="preserve">45 </v>
      </c>
      <c r="G1908" s="2">
        <v>45</v>
      </c>
      <c r="H1908" s="16">
        <f t="shared" si="29"/>
        <v>45541</v>
      </c>
      <c r="J1908" s="2"/>
    </row>
    <row r="1909" spans="1:10" x14ac:dyDescent="0.25">
      <c r="A1909" s="8" t="s">
        <v>1708</v>
      </c>
      <c r="B1909" s="8" t="s">
        <v>1685</v>
      </c>
      <c r="C1909" s="8" t="s">
        <v>29</v>
      </c>
      <c r="D1909" s="10">
        <v>45514</v>
      </c>
      <c r="E1909" s="9">
        <v>12546</v>
      </c>
      <c r="F1909" s="2" t="str">
        <f>INDEX(Vendors!E:E,MATCH(Vendor_Analysis!C1909,Vendors!A:A,0))</f>
        <v xml:space="preserve">30 </v>
      </c>
      <c r="G1909" s="2">
        <v>30</v>
      </c>
      <c r="H1909" s="16">
        <f t="shared" si="29"/>
        <v>45544</v>
      </c>
      <c r="J1909" s="2"/>
    </row>
    <row r="1910" spans="1:10" x14ac:dyDescent="0.25">
      <c r="A1910" s="8" t="s">
        <v>1709</v>
      </c>
      <c r="B1910" s="8" t="s">
        <v>1685</v>
      </c>
      <c r="C1910" s="8" t="s">
        <v>44</v>
      </c>
      <c r="D1910" s="10">
        <v>45523</v>
      </c>
      <c r="E1910" s="9">
        <v>13300</v>
      </c>
      <c r="F1910" s="2" t="str">
        <f>INDEX(Vendors!E:E,MATCH(Vendor_Analysis!C1910,Vendors!A:A,0))</f>
        <v xml:space="preserve">45 </v>
      </c>
      <c r="G1910" s="2">
        <v>45</v>
      </c>
      <c r="H1910" s="16">
        <f t="shared" si="29"/>
        <v>45568</v>
      </c>
      <c r="J1910" s="2"/>
    </row>
    <row r="1911" spans="1:10" x14ac:dyDescent="0.25">
      <c r="A1911" s="8" t="s">
        <v>1710</v>
      </c>
      <c r="B1911" s="8" t="s">
        <v>1685</v>
      </c>
      <c r="C1911" s="8" t="s">
        <v>55</v>
      </c>
      <c r="D1911" s="10">
        <v>45524</v>
      </c>
      <c r="E1911" s="9">
        <v>15638</v>
      </c>
      <c r="F1911" s="2" t="str">
        <f>INDEX(Vendors!E:E,MATCH(Vendor_Analysis!C1911,Vendors!A:A,0))</f>
        <v xml:space="preserve">30 </v>
      </c>
      <c r="G1911" s="2">
        <v>30</v>
      </c>
      <c r="H1911" s="16">
        <f t="shared" si="29"/>
        <v>45554</v>
      </c>
      <c r="J1911" s="2"/>
    </row>
    <row r="1912" spans="1:10" x14ac:dyDescent="0.25">
      <c r="A1912" s="8" t="s">
        <v>1711</v>
      </c>
      <c r="B1912" s="8" t="s">
        <v>1685</v>
      </c>
      <c r="C1912" s="8" t="s">
        <v>12</v>
      </c>
      <c r="D1912" s="10">
        <v>45548</v>
      </c>
      <c r="E1912" s="9">
        <v>8370</v>
      </c>
      <c r="F1912" s="2" t="str">
        <f>INDEX(Vendors!E:E,MATCH(Vendor_Analysis!C1912,Vendors!A:A,0))</f>
        <v xml:space="preserve">30 </v>
      </c>
      <c r="G1912" s="2">
        <v>30</v>
      </c>
      <c r="H1912" s="16">
        <f t="shared" si="29"/>
        <v>45578</v>
      </c>
      <c r="J1912" s="2"/>
    </row>
    <row r="1913" spans="1:10" x14ac:dyDescent="0.25">
      <c r="A1913" s="8" t="s">
        <v>1712</v>
      </c>
      <c r="B1913" s="8" t="s">
        <v>1685</v>
      </c>
      <c r="C1913" s="8" t="s">
        <v>19</v>
      </c>
      <c r="D1913" s="10">
        <v>45557</v>
      </c>
      <c r="E1913" s="9">
        <v>6697</v>
      </c>
      <c r="F1913" s="2" t="str">
        <f>INDEX(Vendors!E:E,MATCH(Vendor_Analysis!C1913,Vendors!A:A,0))</f>
        <v xml:space="preserve">45 </v>
      </c>
      <c r="G1913" s="2">
        <v>45</v>
      </c>
      <c r="H1913" s="16">
        <f t="shared" si="29"/>
        <v>45602</v>
      </c>
      <c r="J1913" s="2"/>
    </row>
    <row r="1914" spans="1:10" x14ac:dyDescent="0.25">
      <c r="A1914" s="8" t="s">
        <v>1713</v>
      </c>
      <c r="B1914" s="8" t="s">
        <v>1685</v>
      </c>
      <c r="C1914" s="8" t="s">
        <v>35</v>
      </c>
      <c r="D1914" s="10">
        <v>45557</v>
      </c>
      <c r="E1914" s="9">
        <v>12086</v>
      </c>
      <c r="F1914" s="2" t="str">
        <f>INDEX(Vendors!E:E,MATCH(Vendor_Analysis!C1914,Vendors!A:A,0))</f>
        <v xml:space="preserve">60 </v>
      </c>
      <c r="G1914" s="2">
        <v>60</v>
      </c>
      <c r="H1914" s="16">
        <f t="shared" si="29"/>
        <v>45617</v>
      </c>
      <c r="J1914" s="2"/>
    </row>
    <row r="1915" spans="1:10" x14ac:dyDescent="0.25">
      <c r="A1915" s="8" t="s">
        <v>1714</v>
      </c>
      <c r="B1915" s="8" t="s">
        <v>1685</v>
      </c>
      <c r="C1915" s="8" t="s">
        <v>21</v>
      </c>
      <c r="D1915" s="10">
        <v>45567</v>
      </c>
      <c r="E1915" s="9">
        <v>12920</v>
      </c>
      <c r="F1915" s="2" t="str">
        <f>INDEX(Vendors!E:E,MATCH(Vendor_Analysis!C1915,Vendors!A:A,0))</f>
        <v xml:space="preserve"> 90</v>
      </c>
      <c r="G1915" s="2">
        <v>90</v>
      </c>
      <c r="H1915" s="16">
        <f t="shared" si="29"/>
        <v>45657</v>
      </c>
      <c r="J1915" s="2"/>
    </row>
    <row r="1916" spans="1:10" x14ac:dyDescent="0.25">
      <c r="A1916" s="8" t="s">
        <v>1715</v>
      </c>
      <c r="B1916" s="8" t="s">
        <v>1685</v>
      </c>
      <c r="C1916" s="8" t="s">
        <v>29</v>
      </c>
      <c r="D1916" s="10">
        <v>45578</v>
      </c>
      <c r="E1916" s="9">
        <v>7569</v>
      </c>
      <c r="F1916" s="2" t="str">
        <f>INDEX(Vendors!E:E,MATCH(Vendor_Analysis!C1916,Vendors!A:A,0))</f>
        <v xml:space="preserve">30 </v>
      </c>
      <c r="G1916" s="2">
        <v>30</v>
      </c>
      <c r="H1916" s="16">
        <f t="shared" si="29"/>
        <v>45608</v>
      </c>
      <c r="J1916" s="2"/>
    </row>
    <row r="1917" spans="1:10" x14ac:dyDescent="0.25">
      <c r="A1917" s="8" t="s">
        <v>1716</v>
      </c>
      <c r="B1917" s="8" t="s">
        <v>1685</v>
      </c>
      <c r="C1917" s="8" t="s">
        <v>8</v>
      </c>
      <c r="D1917" s="10">
        <v>45587</v>
      </c>
      <c r="E1917" s="9">
        <v>13723</v>
      </c>
      <c r="F1917" s="2" t="str">
        <f>INDEX(Vendors!E:E,MATCH(Vendor_Analysis!C1917,Vendors!A:A,0))</f>
        <v xml:space="preserve">60 </v>
      </c>
      <c r="G1917" s="2">
        <v>60</v>
      </c>
      <c r="H1917" s="16">
        <f t="shared" si="29"/>
        <v>45647</v>
      </c>
      <c r="J1917" s="2"/>
    </row>
    <row r="1918" spans="1:10" x14ac:dyDescent="0.25">
      <c r="A1918" s="8" t="s">
        <v>1717</v>
      </c>
      <c r="B1918" s="8" t="s">
        <v>1685</v>
      </c>
      <c r="C1918" s="8" t="s">
        <v>108</v>
      </c>
      <c r="D1918" s="10">
        <v>45597</v>
      </c>
      <c r="E1918" s="9">
        <v>14711</v>
      </c>
      <c r="F1918" s="2" t="str">
        <f>INDEX(Vendors!E:E,MATCH(Vendor_Analysis!C1918,Vendors!A:A,0))</f>
        <v xml:space="preserve"> 90</v>
      </c>
      <c r="G1918" s="2">
        <v>90</v>
      </c>
      <c r="H1918" s="16">
        <f t="shared" si="29"/>
        <v>45687</v>
      </c>
      <c r="J1918" s="2"/>
    </row>
    <row r="1919" spans="1:10" x14ac:dyDescent="0.25">
      <c r="A1919" s="8" t="s">
        <v>1718</v>
      </c>
      <c r="B1919" s="8" t="s">
        <v>1685</v>
      </c>
      <c r="C1919" s="8" t="s">
        <v>25</v>
      </c>
      <c r="D1919" s="10">
        <v>45604</v>
      </c>
      <c r="E1919" s="9">
        <v>10049</v>
      </c>
      <c r="F1919" s="2" t="str">
        <f>INDEX(Vendors!E:E,MATCH(Vendor_Analysis!C1919,Vendors!A:A,0))</f>
        <v xml:space="preserve">30 </v>
      </c>
      <c r="G1919" s="2">
        <v>30</v>
      </c>
      <c r="H1919" s="16">
        <f t="shared" si="29"/>
        <v>45634</v>
      </c>
      <c r="J1919" s="2"/>
    </row>
    <row r="1920" spans="1:10" x14ac:dyDescent="0.25">
      <c r="A1920" s="8" t="s">
        <v>1719</v>
      </c>
      <c r="B1920" s="8" t="s">
        <v>1685</v>
      </c>
      <c r="C1920" s="8" t="s">
        <v>23</v>
      </c>
      <c r="D1920" s="10">
        <v>45607</v>
      </c>
      <c r="E1920" s="9">
        <v>10146</v>
      </c>
      <c r="F1920" s="2" t="str">
        <f>INDEX(Vendors!E:E,MATCH(Vendor_Analysis!C1920,Vendors!A:A,0))</f>
        <v xml:space="preserve"> 90</v>
      </c>
      <c r="G1920" s="2">
        <v>90</v>
      </c>
      <c r="H1920" s="16">
        <f t="shared" si="29"/>
        <v>45697</v>
      </c>
      <c r="J1920" s="2"/>
    </row>
    <row r="1921" spans="1:10" x14ac:dyDescent="0.25">
      <c r="A1921" s="8" t="s">
        <v>1720</v>
      </c>
      <c r="B1921" s="8" t="s">
        <v>1685</v>
      </c>
      <c r="C1921" s="8" t="s">
        <v>48</v>
      </c>
      <c r="D1921" s="10">
        <v>45628</v>
      </c>
      <c r="E1921" s="9">
        <v>29862</v>
      </c>
      <c r="F1921" s="2" t="str">
        <f>INDEX(Vendors!E:E,MATCH(Vendor_Analysis!C1921,Vendors!A:A,0))</f>
        <v xml:space="preserve"> 90</v>
      </c>
      <c r="G1921" s="2">
        <v>90</v>
      </c>
      <c r="H1921" s="16">
        <f t="shared" si="29"/>
        <v>45718</v>
      </c>
      <c r="J1921" s="2"/>
    </row>
    <row r="1922" spans="1:10" x14ac:dyDescent="0.25">
      <c r="A1922" s="8" t="s">
        <v>1721</v>
      </c>
      <c r="B1922" s="8" t="s">
        <v>1685</v>
      </c>
      <c r="C1922" s="8" t="s">
        <v>50</v>
      </c>
      <c r="D1922" s="10">
        <v>45643</v>
      </c>
      <c r="E1922" s="9">
        <v>9817</v>
      </c>
      <c r="F1922" s="2" t="str">
        <f>INDEX(Vendors!E:E,MATCH(Vendor_Analysis!C1922,Vendors!A:A,0))</f>
        <v xml:space="preserve"> 90</v>
      </c>
      <c r="G1922" s="2">
        <v>90</v>
      </c>
      <c r="H1922" s="16">
        <f t="shared" si="29"/>
        <v>45733</v>
      </c>
      <c r="J1922" s="2"/>
    </row>
    <row r="1923" spans="1:10" x14ac:dyDescent="0.25">
      <c r="A1923" s="8" t="s">
        <v>1722</v>
      </c>
      <c r="B1923" s="8" t="s">
        <v>1685</v>
      </c>
      <c r="C1923" s="8" t="s">
        <v>8</v>
      </c>
      <c r="D1923" s="10">
        <v>45646</v>
      </c>
      <c r="E1923" s="9">
        <v>14445</v>
      </c>
      <c r="F1923" s="2" t="str">
        <f>INDEX(Vendors!E:E,MATCH(Vendor_Analysis!C1923,Vendors!A:A,0))</f>
        <v xml:space="preserve">60 </v>
      </c>
      <c r="G1923" s="2">
        <v>60</v>
      </c>
      <c r="H1923" s="16">
        <f t="shared" ref="H1923:H1935" si="30">D1923+F1923</f>
        <v>45706</v>
      </c>
      <c r="J1923" s="2"/>
    </row>
    <row r="1924" spans="1:10" x14ac:dyDescent="0.25">
      <c r="A1924" s="8" t="s">
        <v>1723</v>
      </c>
      <c r="B1924" s="8" t="s">
        <v>1685</v>
      </c>
      <c r="C1924" s="8" t="s">
        <v>12</v>
      </c>
      <c r="D1924" s="10">
        <v>45652</v>
      </c>
      <c r="E1924" s="9">
        <v>13544</v>
      </c>
      <c r="F1924" s="2" t="str">
        <f>INDEX(Vendors!E:E,MATCH(Vendor_Analysis!C1924,Vendors!A:A,0))</f>
        <v xml:space="preserve">30 </v>
      </c>
      <c r="G1924" s="2">
        <v>30</v>
      </c>
      <c r="H1924" s="16">
        <f t="shared" si="30"/>
        <v>45682</v>
      </c>
      <c r="J1924" s="2"/>
    </row>
    <row r="1925" spans="1:10" x14ac:dyDescent="0.25">
      <c r="A1925" s="8" t="s">
        <v>1724</v>
      </c>
      <c r="B1925" s="8" t="s">
        <v>1685</v>
      </c>
      <c r="C1925" s="8" t="s">
        <v>17</v>
      </c>
      <c r="D1925" s="10">
        <v>45665</v>
      </c>
      <c r="E1925" s="9">
        <v>6481</v>
      </c>
      <c r="F1925" s="2" t="str">
        <f>INDEX(Vendors!E:E,MATCH(Vendor_Analysis!C1925,Vendors!A:A,0))</f>
        <v xml:space="preserve">45 </v>
      </c>
      <c r="G1925" s="2">
        <v>45</v>
      </c>
      <c r="H1925" s="16">
        <f t="shared" si="30"/>
        <v>45710</v>
      </c>
      <c r="J1925" s="2"/>
    </row>
    <row r="1926" spans="1:10" x14ac:dyDescent="0.25">
      <c r="A1926" s="8" t="s">
        <v>1725</v>
      </c>
      <c r="B1926" s="8" t="s">
        <v>1685</v>
      </c>
      <c r="C1926" s="8" t="s">
        <v>50</v>
      </c>
      <c r="D1926" s="10">
        <v>45669</v>
      </c>
      <c r="E1926" s="9">
        <v>11580</v>
      </c>
      <c r="F1926" s="2" t="str">
        <f>INDEX(Vendors!E:E,MATCH(Vendor_Analysis!C1926,Vendors!A:A,0))</f>
        <v xml:space="preserve"> 90</v>
      </c>
      <c r="G1926" s="2">
        <v>90</v>
      </c>
      <c r="H1926" s="16">
        <f t="shared" si="30"/>
        <v>45759</v>
      </c>
      <c r="J1926" s="2"/>
    </row>
    <row r="1927" spans="1:10" x14ac:dyDescent="0.25">
      <c r="A1927" s="8" t="s">
        <v>1726</v>
      </c>
      <c r="B1927" s="8" t="s">
        <v>1685</v>
      </c>
      <c r="C1927" s="8" t="s">
        <v>12</v>
      </c>
      <c r="D1927" s="10">
        <v>45679</v>
      </c>
      <c r="E1927" s="9">
        <v>11921</v>
      </c>
      <c r="F1927" s="2" t="str">
        <f>INDEX(Vendors!E:E,MATCH(Vendor_Analysis!C1927,Vendors!A:A,0))</f>
        <v xml:space="preserve">30 </v>
      </c>
      <c r="G1927" s="2">
        <v>30</v>
      </c>
      <c r="H1927" s="16">
        <f t="shared" si="30"/>
        <v>45709</v>
      </c>
      <c r="J1927" s="2"/>
    </row>
    <row r="1928" spans="1:10" x14ac:dyDescent="0.25">
      <c r="A1928" s="8" t="s">
        <v>1727</v>
      </c>
      <c r="B1928" s="8" t="s">
        <v>1685</v>
      </c>
      <c r="C1928" s="8" t="s">
        <v>91</v>
      </c>
      <c r="D1928" s="10">
        <v>45688</v>
      </c>
      <c r="E1928" s="9">
        <v>10180</v>
      </c>
      <c r="F1928" s="2" t="str">
        <f>INDEX(Vendors!E:E,MATCH(Vendor_Analysis!C1928,Vendors!A:A,0))</f>
        <v xml:space="preserve">60 </v>
      </c>
      <c r="G1928" s="2">
        <v>60</v>
      </c>
      <c r="H1928" s="16">
        <f t="shared" si="30"/>
        <v>45748</v>
      </c>
      <c r="J1928" s="2"/>
    </row>
    <row r="1929" spans="1:10" x14ac:dyDescent="0.25">
      <c r="A1929" s="8" t="s">
        <v>1728</v>
      </c>
      <c r="B1929" s="8" t="s">
        <v>1685</v>
      </c>
      <c r="C1929" s="8" t="s">
        <v>19</v>
      </c>
      <c r="D1929" s="10">
        <v>45689</v>
      </c>
      <c r="E1929" s="9">
        <v>7191</v>
      </c>
      <c r="F1929" s="2" t="str">
        <f>INDEX(Vendors!E:E,MATCH(Vendor_Analysis!C1929,Vendors!A:A,0))</f>
        <v xml:space="preserve">45 </v>
      </c>
      <c r="G1929" s="2">
        <v>45</v>
      </c>
      <c r="H1929" s="16">
        <f t="shared" si="30"/>
        <v>45734</v>
      </c>
      <c r="J1929" s="2"/>
    </row>
    <row r="1930" spans="1:10" x14ac:dyDescent="0.25">
      <c r="A1930" s="8" t="s">
        <v>1729</v>
      </c>
      <c r="B1930" s="8" t="s">
        <v>1685</v>
      </c>
      <c r="C1930" s="8" t="s">
        <v>48</v>
      </c>
      <c r="D1930" s="10">
        <v>45695</v>
      </c>
      <c r="E1930" s="9">
        <v>11711</v>
      </c>
      <c r="F1930" s="2" t="str">
        <f>INDEX(Vendors!E:E,MATCH(Vendor_Analysis!C1930,Vendors!A:A,0))</f>
        <v xml:space="preserve"> 90</v>
      </c>
      <c r="G1930" s="2">
        <v>90</v>
      </c>
      <c r="H1930" s="16">
        <f t="shared" si="30"/>
        <v>45785</v>
      </c>
      <c r="J1930" s="2"/>
    </row>
    <row r="1931" spans="1:10" x14ac:dyDescent="0.25">
      <c r="A1931" s="8" t="s">
        <v>1730</v>
      </c>
      <c r="B1931" s="8" t="s">
        <v>1685</v>
      </c>
      <c r="C1931" s="8" t="s">
        <v>37</v>
      </c>
      <c r="D1931" s="10">
        <v>45695</v>
      </c>
      <c r="E1931" s="9">
        <v>5651</v>
      </c>
      <c r="F1931" s="2" t="str">
        <f>INDEX(Vendors!E:E,MATCH(Vendor_Analysis!C1931,Vendors!A:A,0))</f>
        <v xml:space="preserve">30 </v>
      </c>
      <c r="G1931" s="2">
        <v>30</v>
      </c>
      <c r="H1931" s="16">
        <f t="shared" si="30"/>
        <v>45725</v>
      </c>
      <c r="J1931" s="2"/>
    </row>
    <row r="1932" spans="1:10" x14ac:dyDescent="0.25">
      <c r="A1932" s="8" t="s">
        <v>1731</v>
      </c>
      <c r="B1932" s="8" t="s">
        <v>1685</v>
      </c>
      <c r="C1932" s="8" t="s">
        <v>37</v>
      </c>
      <c r="D1932" s="10">
        <v>45701</v>
      </c>
      <c r="E1932" s="9">
        <v>5406</v>
      </c>
      <c r="F1932" s="2" t="str">
        <f>INDEX(Vendors!E:E,MATCH(Vendor_Analysis!C1932,Vendors!A:A,0))</f>
        <v xml:space="preserve">30 </v>
      </c>
      <c r="G1932" s="2">
        <v>30</v>
      </c>
      <c r="H1932" s="16">
        <f t="shared" si="30"/>
        <v>45731</v>
      </c>
      <c r="J1932" s="2"/>
    </row>
    <row r="1933" spans="1:10" x14ac:dyDescent="0.25">
      <c r="A1933" s="8" t="s">
        <v>1732</v>
      </c>
      <c r="B1933" s="8" t="s">
        <v>1685</v>
      </c>
      <c r="C1933" s="8" t="s">
        <v>14</v>
      </c>
      <c r="D1933" s="10">
        <v>45747</v>
      </c>
      <c r="E1933" s="9">
        <v>12425</v>
      </c>
      <c r="F1933" s="2" t="str">
        <f>INDEX(Vendors!E:E,MATCH(Vendor_Analysis!C1933,Vendors!A:A,0))</f>
        <v xml:space="preserve"> 90</v>
      </c>
      <c r="G1933" s="2">
        <v>90</v>
      </c>
      <c r="H1933" s="16">
        <f t="shared" si="30"/>
        <v>45837</v>
      </c>
      <c r="J1933" s="2"/>
    </row>
    <row r="1934" spans="1:10" x14ac:dyDescent="0.25">
      <c r="A1934" s="8" t="s">
        <v>1733</v>
      </c>
      <c r="B1934" s="8" t="s">
        <v>1685</v>
      </c>
      <c r="C1934" s="8" t="s">
        <v>23</v>
      </c>
      <c r="D1934" s="10">
        <v>45748</v>
      </c>
      <c r="E1934" s="9">
        <v>8877</v>
      </c>
      <c r="F1934" s="2" t="str">
        <f>INDEX(Vendors!E:E,MATCH(Vendor_Analysis!C1934,Vendors!A:A,0))</f>
        <v xml:space="preserve"> 90</v>
      </c>
      <c r="G1934" s="2">
        <v>90</v>
      </c>
      <c r="H1934" s="16">
        <f t="shared" si="30"/>
        <v>45838</v>
      </c>
      <c r="J1934" s="2"/>
    </row>
    <row r="1935" spans="1:10" x14ac:dyDescent="0.25">
      <c r="A1935" s="8" t="s">
        <v>1734</v>
      </c>
      <c r="B1935" s="8" t="s">
        <v>1685</v>
      </c>
      <c r="C1935" s="8" t="s">
        <v>19</v>
      </c>
      <c r="D1935" s="10">
        <v>45760</v>
      </c>
      <c r="E1935" s="9">
        <v>8961</v>
      </c>
      <c r="F1935" s="2" t="str">
        <f>INDEX(Vendors!E:E,MATCH(Vendor_Analysis!C1935,Vendors!A:A,0))</f>
        <v xml:space="preserve">45 </v>
      </c>
      <c r="G1935" s="2">
        <v>45</v>
      </c>
      <c r="H1935" s="16">
        <f t="shared" si="30"/>
        <v>45805</v>
      </c>
      <c r="J1935" s="2"/>
    </row>
  </sheetData>
  <autoFilter ref="A1:H1935" xr:uid="{EAAA6594-8F90-284D-BAE8-461917AAB9F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DB0E3-6924-504F-85C9-52017EB0562E}">
  <dimension ref="A1:X47"/>
  <sheetViews>
    <sheetView tabSelected="1" topLeftCell="L1" workbookViewId="0">
      <selection activeCell="P4" sqref="P4"/>
    </sheetView>
  </sheetViews>
  <sheetFormatPr baseColWidth="10" defaultRowHeight="19" x14ac:dyDescent="0.25"/>
  <cols>
    <col min="1" max="1" width="12.33203125" style="2" customWidth="1"/>
    <col min="2" max="2" width="27.6640625" style="2" customWidth="1"/>
    <col min="3" max="3" width="16" style="2" customWidth="1"/>
    <col min="4" max="4" width="10.83203125" style="17"/>
    <col min="5" max="5" width="19.33203125" style="2" customWidth="1"/>
    <col min="6" max="6" width="18" style="17" customWidth="1"/>
    <col min="7" max="7" width="18.6640625" style="2" customWidth="1"/>
    <col min="8" max="8" width="23.5" style="2" customWidth="1"/>
    <col min="9" max="9" width="21.1640625" style="17" customWidth="1"/>
    <col min="10" max="10" width="31.83203125" style="2" customWidth="1"/>
    <col min="11" max="11" width="24.33203125" style="2" customWidth="1"/>
    <col min="12" max="12" width="32.83203125" style="2" customWidth="1"/>
    <col min="13" max="13" width="22.83203125" style="2" customWidth="1"/>
    <col min="14" max="14" width="28.5" style="17" customWidth="1"/>
    <col min="15" max="15" width="25.5" style="2" customWidth="1"/>
    <col min="16" max="16" width="19.83203125" style="17" customWidth="1"/>
    <col min="17" max="17" width="29.33203125" style="2" customWidth="1"/>
    <col min="18" max="18" width="33.33203125" style="17" customWidth="1"/>
    <col min="19" max="19" width="24.83203125" style="2" customWidth="1"/>
    <col min="20" max="20" width="24.83203125" style="22" customWidth="1"/>
    <col min="21" max="21" width="27.83203125" style="2" customWidth="1"/>
    <col min="22" max="22" width="21.1640625" style="22" customWidth="1"/>
    <col min="23" max="23" width="21.83203125" style="2" customWidth="1"/>
    <col min="24" max="24" width="20.33203125" style="2" customWidth="1"/>
    <col min="25" max="16384" width="10.83203125" style="2"/>
  </cols>
  <sheetData>
    <row r="1" spans="1:24" x14ac:dyDescent="0.25">
      <c r="A1" s="32" t="s">
        <v>2252</v>
      </c>
      <c r="B1" s="33"/>
      <c r="C1" s="33"/>
      <c r="D1" s="34"/>
      <c r="E1" s="32" t="s">
        <v>2254</v>
      </c>
      <c r="F1" s="34"/>
      <c r="G1" s="32" t="s">
        <v>2259</v>
      </c>
      <c r="H1" s="33"/>
      <c r="I1" s="34"/>
      <c r="J1" s="32" t="s">
        <v>2263</v>
      </c>
      <c r="K1" s="33"/>
      <c r="L1" s="33"/>
      <c r="M1" s="33"/>
      <c r="N1" s="34"/>
      <c r="O1" s="32" t="s">
        <v>2265</v>
      </c>
      <c r="P1" s="34"/>
      <c r="Q1" s="32" t="s">
        <v>2268</v>
      </c>
      <c r="R1" s="33"/>
      <c r="S1" s="32" t="s">
        <v>2271</v>
      </c>
      <c r="T1" s="33"/>
      <c r="U1" s="33"/>
      <c r="V1" s="33"/>
      <c r="W1" s="33"/>
      <c r="X1" s="33"/>
    </row>
    <row r="2" spans="1:24" s="19" customFormat="1" x14ac:dyDescent="0.25">
      <c r="A2" s="19" t="s">
        <v>1</v>
      </c>
      <c r="B2" s="19" t="s">
        <v>1735</v>
      </c>
      <c r="C2" s="19" t="s">
        <v>1740</v>
      </c>
      <c r="D2" s="20" t="s">
        <v>2251</v>
      </c>
      <c r="E2" s="19" t="s">
        <v>2253</v>
      </c>
      <c r="F2" s="20" t="s">
        <v>2255</v>
      </c>
      <c r="G2" s="19" t="s">
        <v>2256</v>
      </c>
      <c r="H2" s="19" t="s">
        <v>2257</v>
      </c>
      <c r="I2" s="20" t="s">
        <v>2258</v>
      </c>
      <c r="J2" s="19" t="s">
        <v>2260</v>
      </c>
      <c r="K2" s="19" t="s">
        <v>2261</v>
      </c>
      <c r="L2" s="19" t="s">
        <v>2273</v>
      </c>
      <c r="M2" s="19" t="s">
        <v>2274</v>
      </c>
      <c r="N2" s="20" t="s">
        <v>2262</v>
      </c>
      <c r="O2" s="19" t="s">
        <v>2264</v>
      </c>
      <c r="P2" s="20" t="s">
        <v>2250</v>
      </c>
      <c r="Q2" s="19" t="s">
        <v>2266</v>
      </c>
      <c r="R2" s="20" t="s">
        <v>2267</v>
      </c>
      <c r="S2" s="19" t="s">
        <v>2269</v>
      </c>
      <c r="T2" s="21" t="s">
        <v>2272</v>
      </c>
      <c r="U2" s="19" t="s">
        <v>2275</v>
      </c>
      <c r="V2" s="21" t="s">
        <v>2272</v>
      </c>
      <c r="W2" s="19" t="s">
        <v>2270</v>
      </c>
      <c r="X2" s="19" t="s">
        <v>2272</v>
      </c>
    </row>
    <row r="3" spans="1:24" x14ac:dyDescent="0.25">
      <c r="A3" s="8" t="s">
        <v>5</v>
      </c>
      <c r="B3" s="2" t="str">
        <f>Capex_Budgets!B2</f>
        <v>Infra - PRJ0001</v>
      </c>
      <c r="C3" s="2" t="str">
        <f>Capex_Budgets!G2</f>
        <v>Storage</v>
      </c>
      <c r="D3" s="17" t="str">
        <f>Capex_Budgets!C2</f>
        <v>DPT001</v>
      </c>
      <c r="E3" s="11">
        <f>Capex_Budgets!D2</f>
        <v>5543627</v>
      </c>
      <c r="F3" s="18">
        <f>INDEX(Capex_Budgets!E:E,MATCH(Scenario_Modelling!A3,Capex_Budgets!A:A))</f>
        <v>45139</v>
      </c>
      <c r="G3" s="11">
        <f>SUMIF(Capex_Actuals!B:B,Scenario_Modelling!A3,Capex_Actuals!E:E)</f>
        <v>4840905</v>
      </c>
      <c r="H3" s="11">
        <f>E3-G3</f>
        <v>702722</v>
      </c>
      <c r="I3" s="18" cm="1">
        <f t="array" ref="I3">MIN(IF(Capex_Actuals!B:B=Scenario_Modelling!A3,Capex_Actuals!D:D))</f>
        <v>45179</v>
      </c>
      <c r="J3" s="23">
        <v>-0.5</v>
      </c>
      <c r="K3" s="2">
        <v>2</v>
      </c>
      <c r="L3" s="11">
        <f>IF(H3&gt;=0, H3*(1+J3), H3*(1-J3))</f>
        <v>351361</v>
      </c>
      <c r="M3" s="11">
        <f>G3+L3</f>
        <v>5192266</v>
      </c>
      <c r="N3" s="18">
        <f>EDATE(I3,K3)</f>
        <v>45240</v>
      </c>
      <c r="O3" s="24">
        <f>AVERAGEIFS(Vendor_Analysis!G:G,Vendor_Analysis!B:B,Scenario_Modelling!A3)</f>
        <v>55.75</v>
      </c>
      <c r="P3" s="18">
        <f>N3+O3</f>
        <v>45295.75</v>
      </c>
      <c r="Q3" s="14">
        <f>P3</f>
        <v>45295.75</v>
      </c>
      <c r="R3" s="25">
        <f>L3</f>
        <v>351361</v>
      </c>
      <c r="S3" s="11">
        <f>E3-G3</f>
        <v>702722</v>
      </c>
      <c r="T3" s="26">
        <f>S3/E3</f>
        <v>0.12676213605280442</v>
      </c>
      <c r="U3" s="11">
        <f>M3-E3</f>
        <v>-351361</v>
      </c>
      <c r="V3" s="26">
        <f>U3/E3</f>
        <v>-6.3381068026402212E-2</v>
      </c>
      <c r="W3" s="11">
        <f>M3-G3</f>
        <v>351361</v>
      </c>
      <c r="X3" s="15">
        <f>W3/G3</f>
        <v>7.2581676360102085E-2</v>
      </c>
    </row>
    <row r="4" spans="1:24" x14ac:dyDescent="0.25">
      <c r="A4" s="8" t="s">
        <v>87</v>
      </c>
      <c r="B4" s="2" t="str">
        <f>Capex_Budgets!B3</f>
        <v>Infra - PRJ0002</v>
      </c>
      <c r="C4" s="2" t="str">
        <f>Capex_Budgets!G3</f>
        <v>ProprietaryHardware</v>
      </c>
      <c r="D4" s="17" t="str">
        <f>Capex_Budgets!C3</f>
        <v>DPT004</v>
      </c>
      <c r="E4" s="11">
        <f>Capex_Budgets!D3</f>
        <v>6018833</v>
      </c>
      <c r="F4" s="18">
        <f>INDEX(Capex_Budgets!E:E,MATCH(Scenario_Modelling!A4,Capex_Budgets!A:A))</f>
        <v>45372</v>
      </c>
      <c r="G4" s="11">
        <f>SUMIF(Capex_Actuals!B:B,Scenario_Modelling!A4,Capex_Actuals!E:E)</f>
        <v>5053310</v>
      </c>
      <c r="H4" s="11">
        <f t="shared" ref="H4:H47" si="0">E4-G4</f>
        <v>965523</v>
      </c>
      <c r="I4" s="18" cm="1">
        <f t="array" ref="I4">MIN(IF(Capex_Actuals!B:B=Scenario_Modelling!A4,Capex_Actuals!D:D))</f>
        <v>45379</v>
      </c>
      <c r="J4" s="23">
        <v>0.25</v>
      </c>
      <c r="K4" s="2">
        <v>2</v>
      </c>
      <c r="L4" s="11">
        <f t="shared" ref="L4:L47" si="1">IF(H4&gt;=0, H4*(1+J4), H4*(1-J4))</f>
        <v>1206903.75</v>
      </c>
      <c r="M4" s="11">
        <f t="shared" ref="M4:M47" si="2">G4+L4</f>
        <v>6260213.75</v>
      </c>
      <c r="N4" s="18">
        <f t="shared" ref="N4:N47" si="3">EDATE(I4,K4)</f>
        <v>45440</v>
      </c>
      <c r="O4" s="24">
        <f>AVERAGEIFS(Vendor_Analysis!G:G,Vendor_Analysis!B:B,Scenario_Modelling!A4)</f>
        <v>51</v>
      </c>
      <c r="P4" s="18">
        <f t="shared" ref="P4:P47" si="4">N4+O4</f>
        <v>45491</v>
      </c>
      <c r="Q4" s="14">
        <f t="shared" ref="Q4:Q47" si="5">P4</f>
        <v>45491</v>
      </c>
      <c r="R4" s="25">
        <f t="shared" ref="R4:R47" si="6">L4</f>
        <v>1206903.75</v>
      </c>
      <c r="S4" s="11">
        <f t="shared" ref="S4:S47" si="7">E4-G4</f>
        <v>965523</v>
      </c>
      <c r="T4" s="26">
        <f t="shared" ref="T4:T47" si="8">S4/E4</f>
        <v>0.16041697784271469</v>
      </c>
      <c r="U4" s="11">
        <f t="shared" ref="U4:U47" si="9">M4-E4</f>
        <v>241380.75</v>
      </c>
      <c r="V4" s="26">
        <f t="shared" ref="V4:V47" si="10">U4/E4</f>
        <v>4.0104244460678673E-2</v>
      </c>
      <c r="W4" s="11">
        <f t="shared" ref="W4:W47" si="11">M4-G4</f>
        <v>1206903.75</v>
      </c>
      <c r="X4" s="15">
        <f t="shared" ref="X4:X47" si="12">W4/G4</f>
        <v>0.23883429870718401</v>
      </c>
    </row>
    <row r="5" spans="1:24" x14ac:dyDescent="0.25">
      <c r="A5" s="8" t="s">
        <v>112</v>
      </c>
      <c r="B5" s="2" t="str">
        <f>Capex_Budgets!B4</f>
        <v>R&amp;D - PRJ0003</v>
      </c>
      <c r="C5" s="2" t="str">
        <f>Capex_Budgets!G4</f>
        <v>Compute</v>
      </c>
      <c r="D5" s="17" t="str">
        <f>Capex_Budgets!C4</f>
        <v>DPT001</v>
      </c>
      <c r="E5" s="11">
        <f>Capex_Budgets!D4</f>
        <v>6171576</v>
      </c>
      <c r="F5" s="18">
        <f>INDEX(Capex_Budgets!E:E,MATCH(Scenario_Modelling!A5,Capex_Budgets!A:A))</f>
        <v>45190</v>
      </c>
      <c r="G5" s="11">
        <f>SUMIF(Capex_Actuals!B:B,Scenario_Modelling!A5,Capex_Actuals!E:E)</f>
        <v>7051753</v>
      </c>
      <c r="H5" s="11">
        <f t="shared" si="0"/>
        <v>-880177</v>
      </c>
      <c r="I5" s="18" cm="1">
        <f t="array" ref="I5">MIN(IF(Capex_Actuals!B:B=Scenario_Modelling!A5,Capex_Actuals!D:D))</f>
        <v>45190</v>
      </c>
      <c r="J5" s="23">
        <v>0.25</v>
      </c>
      <c r="K5" s="2">
        <v>2</v>
      </c>
      <c r="L5" s="11">
        <f t="shared" si="1"/>
        <v>-660132.75</v>
      </c>
      <c r="M5" s="11">
        <f t="shared" si="2"/>
        <v>6391620.25</v>
      </c>
      <c r="N5" s="18">
        <f t="shared" si="3"/>
        <v>45251</v>
      </c>
      <c r="O5" s="24">
        <f>AVERAGEIFS(Vendor_Analysis!G:G,Vendor_Analysis!B:B,Scenario_Modelling!A5)</f>
        <v>60</v>
      </c>
      <c r="P5" s="18">
        <f t="shared" si="4"/>
        <v>45311</v>
      </c>
      <c r="Q5" s="14">
        <f t="shared" si="5"/>
        <v>45311</v>
      </c>
      <c r="R5" s="25">
        <f t="shared" si="6"/>
        <v>-660132.75</v>
      </c>
      <c r="S5" s="11">
        <f t="shared" si="7"/>
        <v>-880177</v>
      </c>
      <c r="T5" s="26">
        <f t="shared" si="8"/>
        <v>-0.14261786616578975</v>
      </c>
      <c r="U5" s="11">
        <f t="shared" si="9"/>
        <v>220044.25</v>
      </c>
      <c r="V5" s="26">
        <f t="shared" si="10"/>
        <v>3.5654466541447438E-2</v>
      </c>
      <c r="W5" s="11">
        <f t="shared" si="11"/>
        <v>-660132.75</v>
      </c>
      <c r="X5" s="15">
        <f t="shared" si="12"/>
        <v>-9.3612574064916909E-2</v>
      </c>
    </row>
    <row r="6" spans="1:24" x14ac:dyDescent="0.25">
      <c r="A6" s="8" t="s">
        <v>148</v>
      </c>
      <c r="B6" s="2" t="str">
        <f>Capex_Budgets!B5</f>
        <v>R&amp;D - PRJ0004</v>
      </c>
      <c r="C6" s="2" t="str">
        <f>Capex_Budgets!G5</f>
        <v>DataCenter</v>
      </c>
      <c r="D6" s="17" t="str">
        <f>Capex_Budgets!C5</f>
        <v>DPT003</v>
      </c>
      <c r="E6" s="11">
        <f>Capex_Budgets!D5</f>
        <v>444469</v>
      </c>
      <c r="F6" s="18">
        <f>INDEX(Capex_Budgets!E:E,MATCH(Scenario_Modelling!A6,Capex_Budgets!A:A))</f>
        <v>45232</v>
      </c>
      <c r="G6" s="11">
        <f>SUMIF(Capex_Actuals!B:B,Scenario_Modelling!A6,Capex_Actuals!E:E)</f>
        <v>526108</v>
      </c>
      <c r="H6" s="11">
        <f t="shared" si="0"/>
        <v>-81639</v>
      </c>
      <c r="I6" s="18" cm="1">
        <f t="array" ref="I6">MIN(IF(Capex_Actuals!B:B=Scenario_Modelling!A6,Capex_Actuals!D:D))</f>
        <v>45237</v>
      </c>
      <c r="J6" s="23">
        <v>0.25</v>
      </c>
      <c r="K6" s="2">
        <v>2</v>
      </c>
      <c r="L6" s="11">
        <f t="shared" si="1"/>
        <v>-61229.25</v>
      </c>
      <c r="M6" s="11">
        <f t="shared" si="2"/>
        <v>464878.75</v>
      </c>
      <c r="N6" s="18">
        <f t="shared" si="3"/>
        <v>45298</v>
      </c>
      <c r="O6" s="24">
        <f>AVERAGEIFS(Vendor_Analysis!G:G,Vendor_Analysis!B:B,Scenario_Modelling!A6)</f>
        <v>54.807692307692307</v>
      </c>
      <c r="P6" s="18">
        <f t="shared" si="4"/>
        <v>45352.807692307695</v>
      </c>
      <c r="Q6" s="14">
        <f t="shared" si="5"/>
        <v>45352.807692307695</v>
      </c>
      <c r="R6" s="25">
        <f t="shared" si="6"/>
        <v>-61229.25</v>
      </c>
      <c r="S6" s="11">
        <f t="shared" si="7"/>
        <v>-81639</v>
      </c>
      <c r="T6" s="26">
        <f t="shared" si="8"/>
        <v>-0.18367760181249987</v>
      </c>
      <c r="U6" s="11">
        <f t="shared" si="9"/>
        <v>20409.75</v>
      </c>
      <c r="V6" s="26">
        <f t="shared" si="10"/>
        <v>4.5919400453124967E-2</v>
      </c>
      <c r="W6" s="11">
        <f t="shared" si="11"/>
        <v>-61229.25</v>
      </c>
      <c r="X6" s="15">
        <f t="shared" si="12"/>
        <v>-0.11638152242505341</v>
      </c>
    </row>
    <row r="7" spans="1:24" x14ac:dyDescent="0.25">
      <c r="A7" s="8" t="s">
        <v>201</v>
      </c>
      <c r="B7" s="2" t="str">
        <f>Capex_Budgets!B6</f>
        <v>Infra - PRJ0005</v>
      </c>
      <c r="C7" s="2" t="str">
        <f>Capex_Budgets!G6</f>
        <v>ProprietaryHardware</v>
      </c>
      <c r="D7" s="17" t="str">
        <f>Capex_Budgets!C6</f>
        <v>DPT001</v>
      </c>
      <c r="E7" s="11">
        <f>Capex_Budgets!D6</f>
        <v>8956949</v>
      </c>
      <c r="F7" s="18">
        <f>INDEX(Capex_Budgets!E:E,MATCH(Scenario_Modelling!A7,Capex_Budgets!A:A))</f>
        <v>45192</v>
      </c>
      <c r="G7" s="11">
        <f>SUMIF(Capex_Actuals!B:B,Scenario_Modelling!A7,Capex_Actuals!E:E)</f>
        <v>9029209</v>
      </c>
      <c r="H7" s="11">
        <f t="shared" si="0"/>
        <v>-72260</v>
      </c>
      <c r="I7" s="18" cm="1">
        <f t="array" ref="I7">MIN(IF(Capex_Actuals!B:B=Scenario_Modelling!A7,Capex_Actuals!D:D))</f>
        <v>45212</v>
      </c>
      <c r="J7" s="23">
        <v>0.25</v>
      </c>
      <c r="K7" s="2">
        <v>2</v>
      </c>
      <c r="L7" s="11">
        <f t="shared" si="1"/>
        <v>-54195</v>
      </c>
      <c r="M7" s="11">
        <f t="shared" si="2"/>
        <v>8975014</v>
      </c>
      <c r="N7" s="18">
        <f t="shared" si="3"/>
        <v>45273</v>
      </c>
      <c r="O7" s="24">
        <f>AVERAGEIFS(Vendor_Analysis!G:G,Vendor_Analysis!B:B,Scenario_Modelling!A7)</f>
        <v>52</v>
      </c>
      <c r="P7" s="18">
        <f t="shared" si="4"/>
        <v>45325</v>
      </c>
      <c r="Q7" s="14">
        <f t="shared" si="5"/>
        <v>45325</v>
      </c>
      <c r="R7" s="25">
        <f t="shared" si="6"/>
        <v>-54195</v>
      </c>
      <c r="S7" s="11">
        <f t="shared" si="7"/>
        <v>-72260</v>
      </c>
      <c r="T7" s="26">
        <f t="shared" si="8"/>
        <v>-8.067479227580731E-3</v>
      </c>
      <c r="U7" s="11">
        <f t="shared" si="9"/>
        <v>18065</v>
      </c>
      <c r="V7" s="26">
        <f t="shared" si="10"/>
        <v>2.0168698068951827E-3</v>
      </c>
      <c r="W7" s="11">
        <f t="shared" si="11"/>
        <v>-54195</v>
      </c>
      <c r="X7" s="15">
        <f t="shared" si="12"/>
        <v>-6.0021869025293356E-3</v>
      </c>
    </row>
    <row r="8" spans="1:24" x14ac:dyDescent="0.25">
      <c r="A8" s="8" t="s">
        <v>247</v>
      </c>
      <c r="B8" s="2" t="str">
        <f>Capex_Budgets!B7</f>
        <v>Platform - PRJ0006</v>
      </c>
      <c r="C8" s="2" t="str">
        <f>Capex_Budgets!G7</f>
        <v>ProprietaryHardware</v>
      </c>
      <c r="D8" s="17" t="str">
        <f>Capex_Budgets!C7</f>
        <v>DPT002</v>
      </c>
      <c r="E8" s="11">
        <f>Capex_Budgets!D7</f>
        <v>3812561</v>
      </c>
      <c r="F8" s="18">
        <f>INDEX(Capex_Budgets!E:E,MATCH(Scenario_Modelling!A8,Capex_Budgets!A:A))</f>
        <v>45139</v>
      </c>
      <c r="G8" s="11">
        <f>SUMIF(Capex_Actuals!B:B,Scenario_Modelling!A8,Capex_Actuals!E:E)</f>
        <v>4536117</v>
      </c>
      <c r="H8" s="11">
        <f t="shared" si="0"/>
        <v>-723556</v>
      </c>
      <c r="I8" s="18" cm="1">
        <f t="array" ref="I8">MIN(IF(Capex_Actuals!B:B=Scenario_Modelling!A8,Capex_Actuals!D:D))</f>
        <v>45141</v>
      </c>
      <c r="J8" s="23">
        <v>0.25</v>
      </c>
      <c r="K8" s="2">
        <v>2</v>
      </c>
      <c r="L8" s="11">
        <f t="shared" si="1"/>
        <v>-542667</v>
      </c>
      <c r="M8" s="11">
        <f t="shared" si="2"/>
        <v>3993450</v>
      </c>
      <c r="N8" s="18">
        <f t="shared" si="3"/>
        <v>45202</v>
      </c>
      <c r="O8" s="24">
        <f>AVERAGEIFS(Vendor_Analysis!G:G,Vendor_Analysis!B:B,Scenario_Modelling!A8)</f>
        <v>54.5</v>
      </c>
      <c r="P8" s="18">
        <f t="shared" si="4"/>
        <v>45256.5</v>
      </c>
      <c r="Q8" s="14">
        <f t="shared" si="5"/>
        <v>45256.5</v>
      </c>
      <c r="R8" s="25">
        <f t="shared" si="6"/>
        <v>-542667</v>
      </c>
      <c r="S8" s="11">
        <f t="shared" si="7"/>
        <v>-723556</v>
      </c>
      <c r="T8" s="26">
        <f t="shared" si="8"/>
        <v>-0.18978214381356784</v>
      </c>
      <c r="U8" s="11">
        <f t="shared" si="9"/>
        <v>180889</v>
      </c>
      <c r="V8" s="26">
        <f t="shared" si="10"/>
        <v>4.744553595339196E-2</v>
      </c>
      <c r="W8" s="11">
        <f t="shared" si="11"/>
        <v>-542667</v>
      </c>
      <c r="X8" s="15">
        <f t="shared" si="12"/>
        <v>-0.11963249625175013</v>
      </c>
    </row>
    <row r="9" spans="1:24" x14ac:dyDescent="0.25">
      <c r="A9" s="8" t="s">
        <v>308</v>
      </c>
      <c r="B9" s="2" t="str">
        <f>Capex_Budgets!B8</f>
        <v>Platform - PRJ0007</v>
      </c>
      <c r="C9" s="2" t="str">
        <f>Capex_Budgets!G8</f>
        <v>ProprietaryHardware</v>
      </c>
      <c r="D9" s="17" t="str">
        <f>Capex_Budgets!C8</f>
        <v>DPT003</v>
      </c>
      <c r="E9" s="11">
        <f>Capex_Budgets!D8</f>
        <v>3308526</v>
      </c>
      <c r="F9" s="18">
        <f>INDEX(Capex_Budgets!E:E,MATCH(Scenario_Modelling!A9,Capex_Budgets!A:A))</f>
        <v>45236</v>
      </c>
      <c r="G9" s="11">
        <f>SUMIF(Capex_Actuals!B:B,Scenario_Modelling!A9,Capex_Actuals!E:E)</f>
        <v>2983438</v>
      </c>
      <c r="H9" s="11">
        <f t="shared" si="0"/>
        <v>325088</v>
      </c>
      <c r="I9" s="18" cm="1">
        <f t="array" ref="I9">MIN(IF(Capex_Actuals!B:B=Scenario_Modelling!A9,Capex_Actuals!D:D))</f>
        <v>45237</v>
      </c>
      <c r="J9" s="23">
        <v>0.25</v>
      </c>
      <c r="K9" s="2">
        <v>2</v>
      </c>
      <c r="L9" s="11">
        <f t="shared" si="1"/>
        <v>406360</v>
      </c>
      <c r="M9" s="11">
        <f t="shared" si="2"/>
        <v>3389798</v>
      </c>
      <c r="N9" s="18">
        <f t="shared" si="3"/>
        <v>45298</v>
      </c>
      <c r="O9" s="24">
        <f>AVERAGEIFS(Vendor_Analysis!G:G,Vendor_Analysis!B:B,Scenario_Modelling!A9)</f>
        <v>52.78846153846154</v>
      </c>
      <c r="P9" s="18">
        <f t="shared" si="4"/>
        <v>45350.788461538461</v>
      </c>
      <c r="Q9" s="14">
        <f t="shared" si="5"/>
        <v>45350.788461538461</v>
      </c>
      <c r="R9" s="25">
        <f t="shared" si="6"/>
        <v>406360</v>
      </c>
      <c r="S9" s="11">
        <f t="shared" si="7"/>
        <v>325088</v>
      </c>
      <c r="T9" s="26">
        <f t="shared" si="8"/>
        <v>9.8257653105945059E-2</v>
      </c>
      <c r="U9" s="11">
        <f t="shared" si="9"/>
        <v>81272</v>
      </c>
      <c r="V9" s="26">
        <f t="shared" si="10"/>
        <v>2.4564413276486265E-2</v>
      </c>
      <c r="W9" s="11">
        <f t="shared" si="11"/>
        <v>406360</v>
      </c>
      <c r="X9" s="15">
        <f t="shared" si="12"/>
        <v>0.13620527726736739</v>
      </c>
    </row>
    <row r="10" spans="1:24" x14ac:dyDescent="0.25">
      <c r="A10" s="8" t="s">
        <v>361</v>
      </c>
      <c r="B10" s="2" t="str">
        <f>Capex_Budgets!B9</f>
        <v>Platform - PRJ0008</v>
      </c>
      <c r="C10" s="2" t="str">
        <f>Capex_Budgets!G9</f>
        <v>Hardware</v>
      </c>
      <c r="D10" s="17" t="str">
        <f>Capex_Budgets!C9</f>
        <v>DPT001</v>
      </c>
      <c r="E10" s="11">
        <f>Capex_Budgets!D9</f>
        <v>8079602</v>
      </c>
      <c r="F10" s="18">
        <f>INDEX(Capex_Budgets!E:E,MATCH(Scenario_Modelling!A10,Capex_Budgets!A:A))</f>
        <v>45139</v>
      </c>
      <c r="G10" s="11">
        <f>SUMIF(Capex_Actuals!B:B,Scenario_Modelling!A10,Capex_Actuals!E:E)</f>
        <v>8818141</v>
      </c>
      <c r="H10" s="11">
        <f t="shared" si="0"/>
        <v>-738539</v>
      </c>
      <c r="I10" s="18" cm="1">
        <f t="array" ref="I10">MIN(IF(Capex_Actuals!B:B=Scenario_Modelling!A10,Capex_Actuals!D:D))</f>
        <v>45141</v>
      </c>
      <c r="J10" s="23">
        <v>0.25</v>
      </c>
      <c r="K10" s="2">
        <v>2</v>
      </c>
      <c r="L10" s="11">
        <f t="shared" si="1"/>
        <v>-553904.25</v>
      </c>
      <c r="M10" s="11">
        <f t="shared" si="2"/>
        <v>8264236.75</v>
      </c>
      <c r="N10" s="18">
        <f t="shared" si="3"/>
        <v>45202</v>
      </c>
      <c r="O10" s="24">
        <f>AVERAGEIFS(Vendor_Analysis!G:G,Vendor_Analysis!B:B,Scenario_Modelling!A10)</f>
        <v>61.5</v>
      </c>
      <c r="P10" s="18">
        <f t="shared" si="4"/>
        <v>45263.5</v>
      </c>
      <c r="Q10" s="14">
        <f t="shared" si="5"/>
        <v>45263.5</v>
      </c>
      <c r="R10" s="25">
        <f t="shared" si="6"/>
        <v>-553904.25</v>
      </c>
      <c r="S10" s="11">
        <f t="shared" si="7"/>
        <v>-738539</v>
      </c>
      <c r="T10" s="26">
        <f t="shared" si="8"/>
        <v>-9.1407844099251429E-2</v>
      </c>
      <c r="U10" s="11">
        <f t="shared" si="9"/>
        <v>184634.75</v>
      </c>
      <c r="V10" s="26">
        <f t="shared" si="10"/>
        <v>2.2851961024812857E-2</v>
      </c>
      <c r="W10" s="11">
        <f t="shared" si="11"/>
        <v>-553904.25</v>
      </c>
      <c r="X10" s="15">
        <f t="shared" si="12"/>
        <v>-6.2814174779015214E-2</v>
      </c>
    </row>
    <row r="11" spans="1:24" x14ac:dyDescent="0.25">
      <c r="A11" s="8" t="s">
        <v>397</v>
      </c>
      <c r="B11" s="2" t="str">
        <f>Capex_Budgets!B10</f>
        <v>R&amp;D - PRJ0009</v>
      </c>
      <c r="C11" s="2" t="str">
        <f>Capex_Budgets!G10</f>
        <v>Compute</v>
      </c>
      <c r="D11" s="17" t="str">
        <f>Capex_Budgets!C10</f>
        <v>DPT005</v>
      </c>
      <c r="E11" s="11">
        <f>Capex_Budgets!D10</f>
        <v>7006978</v>
      </c>
      <c r="F11" s="18">
        <f>INDEX(Capex_Budgets!E:E,MATCH(Scenario_Modelling!A11,Capex_Budgets!A:A))</f>
        <v>45462</v>
      </c>
      <c r="G11" s="11">
        <f>SUMIF(Capex_Actuals!B:B,Scenario_Modelling!A11,Capex_Actuals!E:E)</f>
        <v>7061476</v>
      </c>
      <c r="H11" s="11">
        <f t="shared" si="0"/>
        <v>-54498</v>
      </c>
      <c r="I11" s="18" cm="1">
        <f t="array" ref="I11">MIN(IF(Capex_Actuals!B:B=Scenario_Modelling!A11,Capex_Actuals!D:D))</f>
        <v>45464</v>
      </c>
      <c r="J11" s="23">
        <v>0.25</v>
      </c>
      <c r="K11" s="2">
        <v>2</v>
      </c>
      <c r="L11" s="11">
        <f t="shared" si="1"/>
        <v>-40873.5</v>
      </c>
      <c r="M11" s="11">
        <f t="shared" si="2"/>
        <v>7020602.5</v>
      </c>
      <c r="N11" s="18">
        <f t="shared" si="3"/>
        <v>45525</v>
      </c>
      <c r="O11" s="24">
        <f>AVERAGEIFS(Vendor_Analysis!G:G,Vendor_Analysis!B:B,Scenario_Modelling!A11)</f>
        <v>50.25</v>
      </c>
      <c r="P11" s="18">
        <f t="shared" si="4"/>
        <v>45575.25</v>
      </c>
      <c r="Q11" s="14">
        <f t="shared" si="5"/>
        <v>45575.25</v>
      </c>
      <c r="R11" s="25">
        <f t="shared" si="6"/>
        <v>-40873.5</v>
      </c>
      <c r="S11" s="11">
        <f t="shared" si="7"/>
        <v>-54498</v>
      </c>
      <c r="T11" s="26">
        <f t="shared" si="8"/>
        <v>-7.7776753402108581E-3</v>
      </c>
      <c r="U11" s="11">
        <f t="shared" si="9"/>
        <v>13624.5</v>
      </c>
      <c r="V11" s="26">
        <f t="shared" si="10"/>
        <v>1.9444188350527145E-3</v>
      </c>
      <c r="W11" s="11">
        <f t="shared" si="11"/>
        <v>-40873.5</v>
      </c>
      <c r="X11" s="15">
        <f t="shared" si="12"/>
        <v>-5.7882374732987837E-3</v>
      </c>
    </row>
    <row r="12" spans="1:24" x14ac:dyDescent="0.25">
      <c r="A12" s="8" t="s">
        <v>418</v>
      </c>
      <c r="B12" s="2" t="str">
        <f>Capex_Budgets!B11</f>
        <v>Platform - PRJ0010</v>
      </c>
      <c r="C12" s="2" t="str">
        <f>Capex_Budgets!G11</f>
        <v>Compute</v>
      </c>
      <c r="D12" s="17" t="str">
        <f>Capex_Budgets!C11</f>
        <v>DPT003</v>
      </c>
      <c r="E12" s="11">
        <f>Capex_Budgets!D11</f>
        <v>7629267</v>
      </c>
      <c r="F12" s="18">
        <f>INDEX(Capex_Budgets!E:E,MATCH(Scenario_Modelling!A12,Capex_Budgets!A:A))</f>
        <v>45355</v>
      </c>
      <c r="G12" s="11">
        <f>SUMIF(Capex_Actuals!B:B,Scenario_Modelling!A12,Capex_Actuals!E:E)</f>
        <v>8164037</v>
      </c>
      <c r="H12" s="11">
        <f t="shared" si="0"/>
        <v>-534770</v>
      </c>
      <c r="I12" s="18" cm="1">
        <f t="array" ref="I12">MIN(IF(Capex_Actuals!B:B=Scenario_Modelling!A12,Capex_Actuals!D:D))</f>
        <v>45374</v>
      </c>
      <c r="J12" s="23">
        <v>0.25</v>
      </c>
      <c r="K12" s="2">
        <v>2</v>
      </c>
      <c r="L12" s="11">
        <f t="shared" si="1"/>
        <v>-401077.5</v>
      </c>
      <c r="M12" s="11">
        <f t="shared" si="2"/>
        <v>7762959.5</v>
      </c>
      <c r="N12" s="18">
        <f t="shared" si="3"/>
        <v>45435</v>
      </c>
      <c r="O12" s="24">
        <f>AVERAGEIFS(Vendor_Analysis!G:G,Vendor_Analysis!B:B,Scenario_Modelling!A12)</f>
        <v>56.590909090909093</v>
      </c>
      <c r="P12" s="18">
        <f t="shared" si="4"/>
        <v>45491.590909090912</v>
      </c>
      <c r="Q12" s="14">
        <f t="shared" si="5"/>
        <v>45491.590909090912</v>
      </c>
      <c r="R12" s="25">
        <f t="shared" si="6"/>
        <v>-401077.5</v>
      </c>
      <c r="S12" s="11">
        <f t="shared" si="7"/>
        <v>-534770</v>
      </c>
      <c r="T12" s="26">
        <f t="shared" si="8"/>
        <v>-7.0094545124715121E-2</v>
      </c>
      <c r="U12" s="11">
        <f t="shared" si="9"/>
        <v>133692.5</v>
      </c>
      <c r="V12" s="26">
        <f t="shared" si="10"/>
        <v>1.752363628117878E-2</v>
      </c>
      <c r="W12" s="11">
        <f t="shared" si="11"/>
        <v>-401077.5</v>
      </c>
      <c r="X12" s="15">
        <f t="shared" si="12"/>
        <v>-4.9127349618822161E-2</v>
      </c>
    </row>
    <row r="13" spans="1:24" x14ac:dyDescent="0.25">
      <c r="A13" s="8" t="s">
        <v>441</v>
      </c>
      <c r="B13" s="2" t="str">
        <f>Capex_Budgets!B12</f>
        <v>Hybrid Clients - PRJ0011</v>
      </c>
      <c r="C13" s="2" t="str">
        <f>Capex_Budgets!G12</f>
        <v>R&amp;D</v>
      </c>
      <c r="D13" s="17" t="str">
        <f>Capex_Budgets!C12</f>
        <v>DPT003</v>
      </c>
      <c r="E13" s="11">
        <f>Capex_Budgets!D12</f>
        <v>2712927</v>
      </c>
      <c r="F13" s="18">
        <f>INDEX(Capex_Budgets!E:E,MATCH(Scenario_Modelling!A13,Capex_Budgets!A:A))</f>
        <v>45139</v>
      </c>
      <c r="G13" s="11">
        <f>SUMIF(Capex_Actuals!B:B,Scenario_Modelling!A13,Capex_Actuals!E:E)</f>
        <v>3478205</v>
      </c>
      <c r="H13" s="11">
        <f t="shared" si="0"/>
        <v>-765278</v>
      </c>
      <c r="I13" s="18" cm="1">
        <f t="array" ref="I13">MIN(IF(Capex_Actuals!B:B=Scenario_Modelling!A13,Capex_Actuals!D:D))</f>
        <v>45155</v>
      </c>
      <c r="J13" s="23">
        <v>0.25</v>
      </c>
      <c r="K13" s="2">
        <v>2</v>
      </c>
      <c r="L13" s="11">
        <f t="shared" si="1"/>
        <v>-573958.5</v>
      </c>
      <c r="M13" s="11">
        <f t="shared" si="2"/>
        <v>2904246.5</v>
      </c>
      <c r="N13" s="18">
        <f t="shared" si="3"/>
        <v>45216</v>
      </c>
      <c r="O13" s="24">
        <f>AVERAGEIFS(Vendor_Analysis!G:G,Vendor_Analysis!B:B,Scenario_Modelling!A13)</f>
        <v>62.75</v>
      </c>
      <c r="P13" s="18">
        <f t="shared" si="4"/>
        <v>45278.75</v>
      </c>
      <c r="Q13" s="14">
        <f t="shared" si="5"/>
        <v>45278.75</v>
      </c>
      <c r="R13" s="25">
        <f t="shared" si="6"/>
        <v>-573958.5</v>
      </c>
      <c r="S13" s="11">
        <f t="shared" si="7"/>
        <v>-765278</v>
      </c>
      <c r="T13" s="26">
        <f t="shared" si="8"/>
        <v>-0.28208573249482938</v>
      </c>
      <c r="U13" s="11">
        <f t="shared" si="9"/>
        <v>191319.5</v>
      </c>
      <c r="V13" s="26">
        <f t="shared" si="10"/>
        <v>7.0521433123707344E-2</v>
      </c>
      <c r="W13" s="11">
        <f t="shared" si="11"/>
        <v>-573958.5</v>
      </c>
      <c r="X13" s="15">
        <f t="shared" si="12"/>
        <v>-0.16501571931499151</v>
      </c>
    </row>
    <row r="14" spans="1:24" x14ac:dyDescent="0.25">
      <c r="A14" s="8" t="s">
        <v>502</v>
      </c>
      <c r="B14" s="2" t="str">
        <f>Capex_Budgets!B13</f>
        <v>Platform - PRJ0012</v>
      </c>
      <c r="C14" s="2" t="str">
        <f>Capex_Budgets!G13</f>
        <v>Hardware</v>
      </c>
      <c r="D14" s="17" t="str">
        <f>Capex_Budgets!C13</f>
        <v>DPT003</v>
      </c>
      <c r="E14" s="11">
        <f>Capex_Budgets!D13</f>
        <v>5466843</v>
      </c>
      <c r="F14" s="18">
        <f>INDEX(Capex_Budgets!E:E,MATCH(Scenario_Modelling!A14,Capex_Budgets!A:A))</f>
        <v>45274</v>
      </c>
      <c r="G14" s="11">
        <f>SUMIF(Capex_Actuals!B:B,Scenario_Modelling!A14,Capex_Actuals!E:E)</f>
        <v>5899923</v>
      </c>
      <c r="H14" s="11">
        <f t="shared" si="0"/>
        <v>-433080</v>
      </c>
      <c r="I14" s="18" cm="1">
        <f t="array" ref="I14">MIN(IF(Capex_Actuals!B:B=Scenario_Modelling!A14,Capex_Actuals!D:D))</f>
        <v>45289</v>
      </c>
      <c r="J14" s="23">
        <v>0.25</v>
      </c>
      <c r="K14" s="2">
        <v>2</v>
      </c>
      <c r="L14" s="11">
        <f t="shared" si="1"/>
        <v>-324810</v>
      </c>
      <c r="M14" s="11">
        <f t="shared" si="2"/>
        <v>5575113</v>
      </c>
      <c r="N14" s="18">
        <f t="shared" si="3"/>
        <v>45351</v>
      </c>
      <c r="O14" s="24">
        <f>AVERAGEIFS(Vendor_Analysis!G:G,Vendor_Analysis!B:B,Scenario_Modelling!A14)</f>
        <v>47.222222222222221</v>
      </c>
      <c r="P14" s="18">
        <f t="shared" si="4"/>
        <v>45398.222222222219</v>
      </c>
      <c r="Q14" s="14">
        <f t="shared" si="5"/>
        <v>45398.222222222219</v>
      </c>
      <c r="R14" s="25">
        <f t="shared" si="6"/>
        <v>-324810</v>
      </c>
      <c r="S14" s="11">
        <f t="shared" si="7"/>
        <v>-433080</v>
      </c>
      <c r="T14" s="26">
        <f t="shared" si="8"/>
        <v>-7.9219395910948967E-2</v>
      </c>
      <c r="U14" s="11">
        <f t="shared" si="9"/>
        <v>108270</v>
      </c>
      <c r="V14" s="26">
        <f t="shared" si="10"/>
        <v>1.9804848977737242E-2</v>
      </c>
      <c r="W14" s="11">
        <f t="shared" si="11"/>
        <v>-324810</v>
      </c>
      <c r="X14" s="15">
        <f t="shared" si="12"/>
        <v>-5.5053260864590947E-2</v>
      </c>
    </row>
    <row r="15" spans="1:24" x14ac:dyDescent="0.25">
      <c r="A15" s="8" t="s">
        <v>530</v>
      </c>
      <c r="B15" s="2" t="str">
        <f>Capex_Budgets!B14</f>
        <v>Hybrid Clients - PRJ0013</v>
      </c>
      <c r="C15" s="2" t="str">
        <f>Capex_Budgets!G14</f>
        <v>ProprietaryHardware</v>
      </c>
      <c r="D15" s="17" t="str">
        <f>Capex_Budgets!C14</f>
        <v>DPT006</v>
      </c>
      <c r="E15" s="11">
        <f>Capex_Budgets!D14</f>
        <v>5621110</v>
      </c>
      <c r="F15" s="18">
        <f>INDEX(Capex_Budgets!E:E,MATCH(Scenario_Modelling!A15,Capex_Budgets!A:A))</f>
        <v>45139</v>
      </c>
      <c r="G15" s="11">
        <f>SUMIF(Capex_Actuals!B:B,Scenario_Modelling!A15,Capex_Actuals!E:E)</f>
        <v>5488644</v>
      </c>
      <c r="H15" s="11">
        <f t="shared" si="0"/>
        <v>132466</v>
      </c>
      <c r="I15" s="18" cm="1">
        <f t="array" ref="I15">MIN(IF(Capex_Actuals!B:B=Scenario_Modelling!A15,Capex_Actuals!D:D))</f>
        <v>45146</v>
      </c>
      <c r="J15" s="23">
        <v>0.25</v>
      </c>
      <c r="K15" s="2">
        <v>2</v>
      </c>
      <c r="L15" s="11">
        <f t="shared" si="1"/>
        <v>165582.5</v>
      </c>
      <c r="M15" s="11">
        <f t="shared" si="2"/>
        <v>5654226.5</v>
      </c>
      <c r="N15" s="18">
        <f t="shared" si="3"/>
        <v>45207</v>
      </c>
      <c r="O15" s="24">
        <f>AVERAGEIFS(Vendor_Analysis!G:G,Vendor_Analysis!B:B,Scenario_Modelling!A15)</f>
        <v>54.75</v>
      </c>
      <c r="P15" s="18">
        <f t="shared" si="4"/>
        <v>45261.75</v>
      </c>
      <c r="Q15" s="14">
        <f t="shared" si="5"/>
        <v>45261.75</v>
      </c>
      <c r="R15" s="25">
        <f t="shared" si="6"/>
        <v>165582.5</v>
      </c>
      <c r="S15" s="11">
        <f t="shared" si="7"/>
        <v>132466</v>
      </c>
      <c r="T15" s="26">
        <f t="shared" si="8"/>
        <v>2.3565808176676847E-2</v>
      </c>
      <c r="U15" s="11">
        <f t="shared" si="9"/>
        <v>33116.5</v>
      </c>
      <c r="V15" s="26">
        <f t="shared" si="10"/>
        <v>5.8914520441692118E-3</v>
      </c>
      <c r="W15" s="11">
        <f t="shared" si="11"/>
        <v>165582.5</v>
      </c>
      <c r="X15" s="15">
        <f t="shared" si="12"/>
        <v>3.0168198192486159E-2</v>
      </c>
    </row>
    <row r="16" spans="1:24" x14ac:dyDescent="0.25">
      <c r="A16" s="8" t="s">
        <v>591</v>
      </c>
      <c r="B16" s="2" t="str">
        <f>Capex_Budgets!B15</f>
        <v>Hybrid Clients - PRJ0014</v>
      </c>
      <c r="C16" s="2" t="str">
        <f>Capex_Budgets!G15</f>
        <v>Compute</v>
      </c>
      <c r="D16" s="17" t="str">
        <f>Capex_Budgets!C15</f>
        <v>DPT003</v>
      </c>
      <c r="E16" s="11">
        <f>Capex_Budgets!D15</f>
        <v>9844619</v>
      </c>
      <c r="F16" s="18">
        <f>INDEX(Capex_Budgets!E:E,MATCH(Scenario_Modelling!A16,Capex_Budgets!A:A))</f>
        <v>45195</v>
      </c>
      <c r="G16" s="11">
        <f>SUMIF(Capex_Actuals!B:B,Scenario_Modelling!A16,Capex_Actuals!E:E)</f>
        <v>9309823</v>
      </c>
      <c r="H16" s="11">
        <f t="shared" si="0"/>
        <v>534796</v>
      </c>
      <c r="I16" s="18" cm="1">
        <f t="array" ref="I16">MIN(IF(Capex_Actuals!B:B=Scenario_Modelling!A16,Capex_Actuals!D:D))</f>
        <v>45237</v>
      </c>
      <c r="J16" s="23">
        <v>0.25</v>
      </c>
      <c r="K16" s="2">
        <v>2</v>
      </c>
      <c r="L16" s="11">
        <f t="shared" si="1"/>
        <v>668495</v>
      </c>
      <c r="M16" s="11">
        <f t="shared" si="2"/>
        <v>9978318</v>
      </c>
      <c r="N16" s="18">
        <f t="shared" si="3"/>
        <v>45298</v>
      </c>
      <c r="O16" s="24">
        <f>AVERAGEIFS(Vendor_Analysis!G:G,Vendor_Analysis!B:B,Scenario_Modelling!A16)</f>
        <v>58.333333333333336</v>
      </c>
      <c r="P16" s="18">
        <f t="shared" si="4"/>
        <v>45356.333333333336</v>
      </c>
      <c r="Q16" s="14">
        <f t="shared" si="5"/>
        <v>45356.333333333336</v>
      </c>
      <c r="R16" s="25">
        <f t="shared" si="6"/>
        <v>668495</v>
      </c>
      <c r="S16" s="11">
        <f t="shared" si="7"/>
        <v>534796</v>
      </c>
      <c r="T16" s="26">
        <f t="shared" si="8"/>
        <v>5.4323686879096084E-2</v>
      </c>
      <c r="U16" s="11">
        <f t="shared" si="9"/>
        <v>133699</v>
      </c>
      <c r="V16" s="26">
        <f t="shared" si="10"/>
        <v>1.3580921719774021E-2</v>
      </c>
      <c r="W16" s="11">
        <f t="shared" si="11"/>
        <v>668495</v>
      </c>
      <c r="X16" s="15">
        <f t="shared" si="12"/>
        <v>7.1805339371113719E-2</v>
      </c>
    </row>
    <row r="17" spans="1:24" x14ac:dyDescent="0.25">
      <c r="A17" s="8" t="s">
        <v>637</v>
      </c>
      <c r="B17" s="2" t="str">
        <f>Capex_Budgets!B16</f>
        <v>Platform - PRJ0015</v>
      </c>
      <c r="C17" s="2" t="str">
        <f>Capex_Budgets!G16</f>
        <v>Compute</v>
      </c>
      <c r="D17" s="17" t="str">
        <f>Capex_Budgets!C16</f>
        <v>DPT002</v>
      </c>
      <c r="E17" s="11">
        <f>Capex_Budgets!D16</f>
        <v>695235</v>
      </c>
      <c r="F17" s="18">
        <f>INDEX(Capex_Budgets!E:E,MATCH(Scenario_Modelling!A17,Capex_Budgets!A:A))</f>
        <v>45187</v>
      </c>
      <c r="G17" s="11">
        <f>SUMIF(Capex_Actuals!B:B,Scenario_Modelling!A17,Capex_Actuals!E:E)</f>
        <v>826381</v>
      </c>
      <c r="H17" s="11">
        <f t="shared" si="0"/>
        <v>-131146</v>
      </c>
      <c r="I17" s="18" cm="1">
        <f t="array" ref="I17">MIN(IF(Capex_Actuals!B:B=Scenario_Modelling!A17,Capex_Actuals!D:D))</f>
        <v>45191</v>
      </c>
      <c r="J17" s="23">
        <v>0.25</v>
      </c>
      <c r="K17" s="2">
        <v>2</v>
      </c>
      <c r="L17" s="11">
        <f t="shared" si="1"/>
        <v>-98359.5</v>
      </c>
      <c r="M17" s="11">
        <f t="shared" si="2"/>
        <v>728021.5</v>
      </c>
      <c r="N17" s="18">
        <f t="shared" si="3"/>
        <v>45252</v>
      </c>
      <c r="O17" s="24">
        <f>AVERAGEIFS(Vendor_Analysis!G:G,Vendor_Analysis!B:B,Scenario_Modelling!A17)</f>
        <v>62.727272727272727</v>
      </c>
      <c r="P17" s="18">
        <f t="shared" si="4"/>
        <v>45314.727272727272</v>
      </c>
      <c r="Q17" s="14">
        <f t="shared" si="5"/>
        <v>45314.727272727272</v>
      </c>
      <c r="R17" s="25">
        <f t="shared" si="6"/>
        <v>-98359.5</v>
      </c>
      <c r="S17" s="11">
        <f t="shared" si="7"/>
        <v>-131146</v>
      </c>
      <c r="T17" s="26">
        <f t="shared" si="8"/>
        <v>-0.18863549734981697</v>
      </c>
      <c r="U17" s="11">
        <f t="shared" si="9"/>
        <v>32786.5</v>
      </c>
      <c r="V17" s="26">
        <f t="shared" si="10"/>
        <v>4.7158874337454242E-2</v>
      </c>
      <c r="W17" s="11">
        <f t="shared" si="11"/>
        <v>-98359.5</v>
      </c>
      <c r="X17" s="15">
        <f t="shared" si="12"/>
        <v>-0.11902439673709826</v>
      </c>
    </row>
    <row r="18" spans="1:24" x14ac:dyDescent="0.25">
      <c r="A18" s="8" t="s">
        <v>660</v>
      </c>
      <c r="B18" s="2" t="str">
        <f>Capex_Budgets!B17</f>
        <v>Infra - PRJ0016</v>
      </c>
      <c r="C18" s="2" t="str">
        <f>Capex_Budgets!G17</f>
        <v>ProprietaryHardware</v>
      </c>
      <c r="D18" s="17" t="str">
        <f>Capex_Budgets!C17</f>
        <v>DPT006</v>
      </c>
      <c r="E18" s="11">
        <f>Capex_Budgets!D17</f>
        <v>2515006</v>
      </c>
      <c r="F18" s="18">
        <f>INDEX(Capex_Budgets!E:E,MATCH(Scenario_Modelling!A18,Capex_Budgets!A:A))</f>
        <v>45139</v>
      </c>
      <c r="G18" s="11">
        <f>SUMIF(Capex_Actuals!B:B,Scenario_Modelling!A18,Capex_Actuals!E:E)</f>
        <v>2954026</v>
      </c>
      <c r="H18" s="11">
        <f t="shared" si="0"/>
        <v>-439020</v>
      </c>
      <c r="I18" s="18" cm="1">
        <f t="array" ref="I18">MIN(IF(Capex_Actuals!B:B=Scenario_Modelling!A18,Capex_Actuals!D:D))</f>
        <v>45140</v>
      </c>
      <c r="J18" s="23">
        <v>0.25</v>
      </c>
      <c r="K18" s="2">
        <v>2</v>
      </c>
      <c r="L18" s="11">
        <f t="shared" si="1"/>
        <v>-329265</v>
      </c>
      <c r="M18" s="11">
        <f t="shared" si="2"/>
        <v>2624761</v>
      </c>
      <c r="N18" s="18">
        <f t="shared" si="3"/>
        <v>45201</v>
      </c>
      <c r="O18" s="24">
        <f>AVERAGEIFS(Vendor_Analysis!G:G,Vendor_Analysis!B:B,Scenario_Modelling!A18)</f>
        <v>53.5</v>
      </c>
      <c r="P18" s="18">
        <f t="shared" si="4"/>
        <v>45254.5</v>
      </c>
      <c r="Q18" s="14">
        <f t="shared" si="5"/>
        <v>45254.5</v>
      </c>
      <c r="R18" s="25">
        <f t="shared" si="6"/>
        <v>-329265</v>
      </c>
      <c r="S18" s="11">
        <f t="shared" si="7"/>
        <v>-439020</v>
      </c>
      <c r="T18" s="26">
        <f t="shared" si="8"/>
        <v>-0.17456021973705033</v>
      </c>
      <c r="U18" s="11">
        <f t="shared" si="9"/>
        <v>109755</v>
      </c>
      <c r="V18" s="26">
        <f t="shared" si="10"/>
        <v>4.3640054934262582E-2</v>
      </c>
      <c r="W18" s="11">
        <f t="shared" si="11"/>
        <v>-329265</v>
      </c>
      <c r="X18" s="15">
        <f t="shared" si="12"/>
        <v>-0.11146313539555847</v>
      </c>
    </row>
    <row r="19" spans="1:24" x14ac:dyDescent="0.25">
      <c r="A19" s="8" t="s">
        <v>686</v>
      </c>
      <c r="B19" s="2" t="str">
        <f>Capex_Budgets!B18</f>
        <v>R&amp;D - PRJ0017</v>
      </c>
      <c r="C19" s="2" t="str">
        <f>Capex_Budgets!G18</f>
        <v>ProprietaryHardware</v>
      </c>
      <c r="D19" s="17" t="str">
        <f>Capex_Budgets!C18</f>
        <v>DPT004</v>
      </c>
      <c r="E19" s="11">
        <f>Capex_Budgets!D18</f>
        <v>1608197</v>
      </c>
      <c r="F19" s="18">
        <f>INDEX(Capex_Budgets!E:E,MATCH(Scenario_Modelling!A19,Capex_Budgets!A:A))</f>
        <v>45236</v>
      </c>
      <c r="G19" s="11">
        <f>SUMIF(Capex_Actuals!B:B,Scenario_Modelling!A19,Capex_Actuals!E:E)</f>
        <v>1721406</v>
      </c>
      <c r="H19" s="11">
        <f t="shared" si="0"/>
        <v>-113209</v>
      </c>
      <c r="I19" s="18" cm="1">
        <f t="array" ref="I19">MIN(IF(Capex_Actuals!B:B=Scenario_Modelling!A19,Capex_Actuals!D:D))</f>
        <v>45252</v>
      </c>
      <c r="J19" s="23">
        <v>0.25</v>
      </c>
      <c r="K19" s="2">
        <v>2</v>
      </c>
      <c r="L19" s="11">
        <f t="shared" si="1"/>
        <v>-84906.75</v>
      </c>
      <c r="M19" s="11">
        <f t="shared" si="2"/>
        <v>1636499.25</v>
      </c>
      <c r="N19" s="18">
        <f t="shared" si="3"/>
        <v>45313</v>
      </c>
      <c r="O19" s="24">
        <f>AVERAGEIFS(Vendor_Analysis!G:G,Vendor_Analysis!B:B,Scenario_Modelling!A19)</f>
        <v>50.425531914893618</v>
      </c>
      <c r="P19" s="18">
        <f t="shared" si="4"/>
        <v>45363.425531914894</v>
      </c>
      <c r="Q19" s="14">
        <f t="shared" si="5"/>
        <v>45363.425531914894</v>
      </c>
      <c r="R19" s="25">
        <f t="shared" si="6"/>
        <v>-84906.75</v>
      </c>
      <c r="S19" s="11">
        <f t="shared" si="7"/>
        <v>-113209</v>
      </c>
      <c r="T19" s="26">
        <f t="shared" si="8"/>
        <v>-7.0394982704233375E-2</v>
      </c>
      <c r="U19" s="11">
        <f t="shared" si="9"/>
        <v>28302.25</v>
      </c>
      <c r="V19" s="26">
        <f t="shared" si="10"/>
        <v>1.7598745676058344E-2</v>
      </c>
      <c r="W19" s="11">
        <f t="shared" si="11"/>
        <v>-84906.75</v>
      </c>
      <c r="X19" s="15">
        <f t="shared" si="12"/>
        <v>-4.9324069975357356E-2</v>
      </c>
    </row>
    <row r="20" spans="1:24" x14ac:dyDescent="0.25">
      <c r="A20" s="8" t="s">
        <v>734</v>
      </c>
      <c r="B20" s="2" t="str">
        <f>Capex_Budgets!B19</f>
        <v>Infra - PRJ0018</v>
      </c>
      <c r="C20" s="2" t="str">
        <f>Capex_Budgets!G19</f>
        <v>Storage</v>
      </c>
      <c r="D20" s="17" t="str">
        <f>Capex_Budgets!C19</f>
        <v>DPT005</v>
      </c>
      <c r="E20" s="11">
        <f>Capex_Budgets!D19</f>
        <v>2220951</v>
      </c>
      <c r="F20" s="18">
        <f>INDEX(Capex_Budgets!E:E,MATCH(Scenario_Modelling!A20,Capex_Budgets!A:A))</f>
        <v>45194</v>
      </c>
      <c r="G20" s="11">
        <f>SUMIF(Capex_Actuals!B:B,Scenario_Modelling!A20,Capex_Actuals!E:E)</f>
        <v>2545565</v>
      </c>
      <c r="H20" s="11">
        <f t="shared" si="0"/>
        <v>-324614</v>
      </c>
      <c r="I20" s="18" cm="1">
        <f t="array" ref="I20">MIN(IF(Capex_Actuals!B:B=Scenario_Modelling!A20,Capex_Actuals!D:D))</f>
        <v>45220</v>
      </c>
      <c r="J20" s="23">
        <v>0.25</v>
      </c>
      <c r="K20" s="2">
        <v>2</v>
      </c>
      <c r="L20" s="11">
        <f t="shared" si="1"/>
        <v>-243460.5</v>
      </c>
      <c r="M20" s="11">
        <f t="shared" si="2"/>
        <v>2302104.5</v>
      </c>
      <c r="N20" s="18">
        <f t="shared" si="3"/>
        <v>45281</v>
      </c>
      <c r="O20" s="24">
        <f>AVERAGEIFS(Vendor_Analysis!G:G,Vendor_Analysis!B:B,Scenario_Modelling!A20)</f>
        <v>52.5</v>
      </c>
      <c r="P20" s="18">
        <f t="shared" si="4"/>
        <v>45333.5</v>
      </c>
      <c r="Q20" s="14">
        <f t="shared" si="5"/>
        <v>45333.5</v>
      </c>
      <c r="R20" s="25">
        <f t="shared" si="6"/>
        <v>-243460.5</v>
      </c>
      <c r="S20" s="11">
        <f t="shared" si="7"/>
        <v>-324614</v>
      </c>
      <c r="T20" s="26">
        <f t="shared" si="8"/>
        <v>-0.14615991077695997</v>
      </c>
      <c r="U20" s="11">
        <f t="shared" si="9"/>
        <v>81153.5</v>
      </c>
      <c r="V20" s="26">
        <f t="shared" si="10"/>
        <v>3.6539977694239993E-2</v>
      </c>
      <c r="W20" s="11">
        <f t="shared" si="11"/>
        <v>-243460.5</v>
      </c>
      <c r="X20" s="15">
        <f t="shared" si="12"/>
        <v>-9.5641046290312753E-2</v>
      </c>
    </row>
    <row r="21" spans="1:24" x14ac:dyDescent="0.25">
      <c r="A21" s="8" t="s">
        <v>795</v>
      </c>
      <c r="B21" s="2" t="str">
        <f>Capex_Budgets!B20</f>
        <v>Infra - PRJ0019</v>
      </c>
      <c r="C21" s="2" t="str">
        <f>Capex_Budgets!G20</f>
        <v>Storage</v>
      </c>
      <c r="D21" s="17" t="str">
        <f>Capex_Budgets!C20</f>
        <v>DPT005</v>
      </c>
      <c r="E21" s="11">
        <f>Capex_Budgets!D20</f>
        <v>3933711</v>
      </c>
      <c r="F21" s="18">
        <f>INDEX(Capex_Budgets!E:E,MATCH(Scenario_Modelling!A21,Capex_Budgets!A:A))</f>
        <v>45139</v>
      </c>
      <c r="G21" s="11">
        <f>SUMIF(Capex_Actuals!B:B,Scenario_Modelling!A21,Capex_Actuals!E:E)</f>
        <v>4478221</v>
      </c>
      <c r="H21" s="11">
        <f t="shared" si="0"/>
        <v>-544510</v>
      </c>
      <c r="I21" s="18" cm="1">
        <f t="array" ref="I21">MIN(IF(Capex_Actuals!B:B=Scenario_Modelling!A21,Capex_Actuals!D:D))</f>
        <v>45185</v>
      </c>
      <c r="J21" s="23">
        <v>0.25</v>
      </c>
      <c r="K21" s="2">
        <v>2</v>
      </c>
      <c r="L21" s="11">
        <f t="shared" si="1"/>
        <v>-408382.5</v>
      </c>
      <c r="M21" s="11">
        <f t="shared" si="2"/>
        <v>4069838.5</v>
      </c>
      <c r="N21" s="18">
        <f t="shared" si="3"/>
        <v>45246</v>
      </c>
      <c r="O21" s="24">
        <f>AVERAGEIFS(Vendor_Analysis!G:G,Vendor_Analysis!B:B,Scenario_Modelling!A21)</f>
        <v>52.5</v>
      </c>
      <c r="P21" s="18">
        <f t="shared" si="4"/>
        <v>45298.5</v>
      </c>
      <c r="Q21" s="14">
        <f t="shared" si="5"/>
        <v>45298.5</v>
      </c>
      <c r="R21" s="25">
        <f t="shared" si="6"/>
        <v>-408382.5</v>
      </c>
      <c r="S21" s="11">
        <f t="shared" si="7"/>
        <v>-544510</v>
      </c>
      <c r="T21" s="26">
        <f t="shared" si="8"/>
        <v>-0.13842145495690963</v>
      </c>
      <c r="U21" s="11">
        <f t="shared" si="9"/>
        <v>136127.5</v>
      </c>
      <c r="V21" s="26">
        <f t="shared" si="10"/>
        <v>3.4605363739227409E-2</v>
      </c>
      <c r="W21" s="11">
        <f t="shared" si="11"/>
        <v>-408382.5</v>
      </c>
      <c r="X21" s="15">
        <f t="shared" si="12"/>
        <v>-9.1193020621358353E-2</v>
      </c>
    </row>
    <row r="22" spans="1:24" x14ac:dyDescent="0.25">
      <c r="A22" s="8" t="s">
        <v>813</v>
      </c>
      <c r="B22" s="2" t="str">
        <f>Capex_Budgets!B21</f>
        <v>Hybrid Clients - PRJ0020</v>
      </c>
      <c r="C22" s="2" t="str">
        <f>Capex_Budgets!G21</f>
        <v>DataCenter</v>
      </c>
      <c r="D22" s="17" t="str">
        <f>Capex_Budgets!C21</f>
        <v>DPT003</v>
      </c>
      <c r="E22" s="11">
        <f>Capex_Budgets!D21</f>
        <v>3044226</v>
      </c>
      <c r="F22" s="18">
        <f>INDEX(Capex_Budgets!E:E,MATCH(Scenario_Modelling!A22,Capex_Budgets!A:A))</f>
        <v>45361</v>
      </c>
      <c r="G22" s="11">
        <f>SUMIF(Capex_Actuals!B:B,Scenario_Modelling!A22,Capex_Actuals!E:E)</f>
        <v>3402218</v>
      </c>
      <c r="H22" s="11">
        <f t="shared" si="0"/>
        <v>-357992</v>
      </c>
      <c r="I22" s="18" cm="1">
        <f t="array" ref="I22">MIN(IF(Capex_Actuals!B:B=Scenario_Modelling!A22,Capex_Actuals!D:D))</f>
        <v>45417</v>
      </c>
      <c r="J22" s="23">
        <v>0.25</v>
      </c>
      <c r="K22" s="2">
        <v>2</v>
      </c>
      <c r="L22" s="11">
        <f t="shared" si="1"/>
        <v>-268494</v>
      </c>
      <c r="M22" s="11">
        <f t="shared" si="2"/>
        <v>3133724</v>
      </c>
      <c r="N22" s="18">
        <f t="shared" si="3"/>
        <v>45478</v>
      </c>
      <c r="O22" s="24">
        <f>AVERAGEIFS(Vendor_Analysis!G:G,Vendor_Analysis!B:B,Scenario_Modelling!A22)</f>
        <v>53.625</v>
      </c>
      <c r="P22" s="18">
        <f t="shared" si="4"/>
        <v>45531.625</v>
      </c>
      <c r="Q22" s="14">
        <f t="shared" si="5"/>
        <v>45531.625</v>
      </c>
      <c r="R22" s="25">
        <f t="shared" si="6"/>
        <v>-268494</v>
      </c>
      <c r="S22" s="11">
        <f t="shared" si="7"/>
        <v>-357992</v>
      </c>
      <c r="T22" s="26">
        <f t="shared" si="8"/>
        <v>-0.11759705094168435</v>
      </c>
      <c r="U22" s="11">
        <f t="shared" si="9"/>
        <v>89498</v>
      </c>
      <c r="V22" s="26">
        <f t="shared" si="10"/>
        <v>2.9399262735421088E-2</v>
      </c>
      <c r="W22" s="11">
        <f t="shared" si="11"/>
        <v>-268494</v>
      </c>
      <c r="X22" s="15">
        <f t="shared" si="12"/>
        <v>-7.8917341569529051E-2</v>
      </c>
    </row>
    <row r="23" spans="1:24" x14ac:dyDescent="0.25">
      <c r="A23" s="8" t="s">
        <v>839</v>
      </c>
      <c r="B23" s="2" t="str">
        <f>Capex_Budgets!B22</f>
        <v>Infra - PRJ0021</v>
      </c>
      <c r="C23" s="2" t="str">
        <f>Capex_Budgets!G22</f>
        <v>DataCenter</v>
      </c>
      <c r="D23" s="17" t="str">
        <f>Capex_Budgets!C22</f>
        <v>DPT006</v>
      </c>
      <c r="E23" s="11">
        <f>Capex_Budgets!D22</f>
        <v>3218062</v>
      </c>
      <c r="F23" s="18">
        <f>INDEX(Capex_Budgets!E:E,MATCH(Scenario_Modelling!A23,Capex_Budgets!A:A))</f>
        <v>45408</v>
      </c>
      <c r="G23" s="11">
        <f>SUMIF(Capex_Actuals!B:B,Scenario_Modelling!A23,Capex_Actuals!E:E)</f>
        <v>3898654</v>
      </c>
      <c r="H23" s="11">
        <f t="shared" si="0"/>
        <v>-680592</v>
      </c>
      <c r="I23" s="18" cm="1">
        <f t="array" ref="I23">MIN(IF(Capex_Actuals!B:B=Scenario_Modelling!A23,Capex_Actuals!D:D))</f>
        <v>45420</v>
      </c>
      <c r="J23" s="23">
        <v>0.25</v>
      </c>
      <c r="K23" s="2">
        <v>2</v>
      </c>
      <c r="L23" s="11">
        <f t="shared" si="1"/>
        <v>-510444</v>
      </c>
      <c r="M23" s="11">
        <f t="shared" si="2"/>
        <v>3388210</v>
      </c>
      <c r="N23" s="18">
        <f t="shared" si="3"/>
        <v>45481</v>
      </c>
      <c r="O23" s="24">
        <f>AVERAGEIFS(Vendor_Analysis!G:G,Vendor_Analysis!B:B,Scenario_Modelling!A23)</f>
        <v>50.294117647058826</v>
      </c>
      <c r="P23" s="18">
        <f t="shared" si="4"/>
        <v>45531.294117647056</v>
      </c>
      <c r="Q23" s="14">
        <f t="shared" si="5"/>
        <v>45531.294117647056</v>
      </c>
      <c r="R23" s="25">
        <f t="shared" si="6"/>
        <v>-510444</v>
      </c>
      <c r="S23" s="11">
        <f t="shared" si="7"/>
        <v>-680592</v>
      </c>
      <c r="T23" s="26">
        <f t="shared" si="8"/>
        <v>-0.21149126399677817</v>
      </c>
      <c r="U23" s="11">
        <f t="shared" si="9"/>
        <v>170148</v>
      </c>
      <c r="V23" s="26">
        <f t="shared" si="10"/>
        <v>5.2872815999194543E-2</v>
      </c>
      <c r="W23" s="11">
        <f t="shared" si="11"/>
        <v>-510444</v>
      </c>
      <c r="X23" s="15">
        <f t="shared" si="12"/>
        <v>-0.13092826395981794</v>
      </c>
    </row>
    <row r="24" spans="1:24" x14ac:dyDescent="0.25">
      <c r="A24" s="8" t="s">
        <v>857</v>
      </c>
      <c r="B24" s="2" t="str">
        <f>Capex_Budgets!B23</f>
        <v>Platform - PRJ0022</v>
      </c>
      <c r="C24" s="2" t="str">
        <f>Capex_Budgets!G23</f>
        <v>DataCenter</v>
      </c>
      <c r="D24" s="17" t="str">
        <f>Capex_Budgets!C23</f>
        <v>DPT003</v>
      </c>
      <c r="E24" s="11">
        <f>Capex_Budgets!D23</f>
        <v>6769283</v>
      </c>
      <c r="F24" s="18">
        <f>INDEX(Capex_Budgets!E:E,MATCH(Scenario_Modelling!A24,Capex_Budgets!A:A))</f>
        <v>45139</v>
      </c>
      <c r="G24" s="11">
        <f>SUMIF(Capex_Actuals!B:B,Scenario_Modelling!A24,Capex_Actuals!E:E)</f>
        <v>7694680</v>
      </c>
      <c r="H24" s="11">
        <f t="shared" si="0"/>
        <v>-925397</v>
      </c>
      <c r="I24" s="18" cm="1">
        <f t="array" ref="I24">MIN(IF(Capex_Actuals!B:B=Scenario_Modelling!A24,Capex_Actuals!D:D))</f>
        <v>45148</v>
      </c>
      <c r="J24" s="23">
        <v>0.25</v>
      </c>
      <c r="K24" s="2">
        <v>2</v>
      </c>
      <c r="L24" s="11">
        <f t="shared" si="1"/>
        <v>-694047.75</v>
      </c>
      <c r="M24" s="11">
        <f t="shared" si="2"/>
        <v>7000632.25</v>
      </c>
      <c r="N24" s="18">
        <f t="shared" si="3"/>
        <v>45209</v>
      </c>
      <c r="O24" s="24">
        <f>AVERAGEIFS(Vendor_Analysis!G:G,Vendor_Analysis!B:B,Scenario_Modelling!A24)</f>
        <v>56.75</v>
      </c>
      <c r="P24" s="18">
        <f t="shared" si="4"/>
        <v>45265.75</v>
      </c>
      <c r="Q24" s="14">
        <f t="shared" si="5"/>
        <v>45265.75</v>
      </c>
      <c r="R24" s="25">
        <f t="shared" si="6"/>
        <v>-694047.75</v>
      </c>
      <c r="S24" s="11">
        <f t="shared" si="7"/>
        <v>-925397</v>
      </c>
      <c r="T24" s="26">
        <f t="shared" si="8"/>
        <v>-0.13670532019417714</v>
      </c>
      <c r="U24" s="11">
        <f t="shared" si="9"/>
        <v>231349.25</v>
      </c>
      <c r="V24" s="26">
        <f t="shared" si="10"/>
        <v>3.4176330048544284E-2</v>
      </c>
      <c r="W24" s="11">
        <f t="shared" si="11"/>
        <v>-694047.75</v>
      </c>
      <c r="X24" s="15">
        <f t="shared" si="12"/>
        <v>-9.0198390316426416E-2</v>
      </c>
    </row>
    <row r="25" spans="1:24" x14ac:dyDescent="0.25">
      <c r="A25" s="8" t="s">
        <v>918</v>
      </c>
      <c r="B25" s="2" t="str">
        <f>Capex_Budgets!B24</f>
        <v>Infra - PRJ0023</v>
      </c>
      <c r="C25" s="2" t="str">
        <f>Capex_Budgets!G24</f>
        <v>Storage</v>
      </c>
      <c r="D25" s="17" t="str">
        <f>Capex_Budgets!C24</f>
        <v>DPT001</v>
      </c>
      <c r="E25" s="11">
        <f>Capex_Budgets!D24</f>
        <v>8447132</v>
      </c>
      <c r="F25" s="18">
        <f>INDEX(Capex_Budgets!E:E,MATCH(Scenario_Modelling!A25,Capex_Budgets!A:A))</f>
        <v>45334</v>
      </c>
      <c r="G25" s="11">
        <f>SUMIF(Capex_Actuals!B:B,Scenario_Modelling!A25,Capex_Actuals!E:E)</f>
        <v>9084240</v>
      </c>
      <c r="H25" s="11">
        <f t="shared" si="0"/>
        <v>-637108</v>
      </c>
      <c r="I25" s="18" cm="1">
        <f t="array" ref="I25">MIN(IF(Capex_Actuals!B:B=Scenario_Modelling!A25,Capex_Actuals!D:D))</f>
        <v>45337</v>
      </c>
      <c r="J25" s="23">
        <v>0.25</v>
      </c>
      <c r="K25" s="2">
        <v>2</v>
      </c>
      <c r="L25" s="11">
        <f t="shared" si="1"/>
        <v>-477831</v>
      </c>
      <c r="M25" s="11">
        <f t="shared" si="2"/>
        <v>8606409</v>
      </c>
      <c r="N25" s="18">
        <f t="shared" si="3"/>
        <v>45397</v>
      </c>
      <c r="O25" s="24">
        <f>AVERAGEIFS(Vendor_Analysis!G:G,Vendor_Analysis!B:B,Scenario_Modelling!A25)</f>
        <v>59</v>
      </c>
      <c r="P25" s="18">
        <f t="shared" si="4"/>
        <v>45456</v>
      </c>
      <c r="Q25" s="14">
        <f t="shared" si="5"/>
        <v>45456</v>
      </c>
      <c r="R25" s="25">
        <f t="shared" si="6"/>
        <v>-477831</v>
      </c>
      <c r="S25" s="11">
        <f t="shared" si="7"/>
        <v>-637108</v>
      </c>
      <c r="T25" s="26">
        <f t="shared" si="8"/>
        <v>-7.5422995639229981E-2</v>
      </c>
      <c r="U25" s="11">
        <f t="shared" si="9"/>
        <v>159277</v>
      </c>
      <c r="V25" s="26">
        <f t="shared" si="10"/>
        <v>1.8855748909807495E-2</v>
      </c>
      <c r="W25" s="11">
        <f t="shared" si="11"/>
        <v>-477831</v>
      </c>
      <c r="X25" s="15">
        <f t="shared" si="12"/>
        <v>-5.2599997358061874E-2</v>
      </c>
    </row>
    <row r="26" spans="1:24" x14ac:dyDescent="0.25">
      <c r="A26" s="8" t="s">
        <v>964</v>
      </c>
      <c r="B26" s="2" t="str">
        <f>Capex_Budgets!B25</f>
        <v>Infra - PRJ0024</v>
      </c>
      <c r="C26" s="2" t="str">
        <f>Capex_Budgets!G25</f>
        <v>ProprietaryHardware</v>
      </c>
      <c r="D26" s="17" t="str">
        <f>Capex_Budgets!C25</f>
        <v>DPT006</v>
      </c>
      <c r="E26" s="11">
        <f>Capex_Budgets!D25</f>
        <v>656287</v>
      </c>
      <c r="F26" s="18">
        <f>INDEX(Capex_Budgets!E:E,MATCH(Scenario_Modelling!A26,Capex_Budgets!A:A))</f>
        <v>45139</v>
      </c>
      <c r="G26" s="11">
        <f>SUMIF(Capex_Actuals!B:B,Scenario_Modelling!A26,Capex_Actuals!E:E)</f>
        <v>744814</v>
      </c>
      <c r="H26" s="11">
        <f t="shared" si="0"/>
        <v>-88527</v>
      </c>
      <c r="I26" s="18" cm="1">
        <f t="array" ref="I26">MIN(IF(Capex_Actuals!B:B=Scenario_Modelling!A26,Capex_Actuals!D:D))</f>
        <v>45154</v>
      </c>
      <c r="J26" s="23">
        <v>0.25</v>
      </c>
      <c r="K26" s="2">
        <v>2</v>
      </c>
      <c r="L26" s="11">
        <f t="shared" si="1"/>
        <v>-66395.25</v>
      </c>
      <c r="M26" s="11">
        <f t="shared" si="2"/>
        <v>678418.75</v>
      </c>
      <c r="N26" s="18">
        <f t="shared" si="3"/>
        <v>45215</v>
      </c>
      <c r="O26" s="24">
        <f>AVERAGEIFS(Vendor_Analysis!G:G,Vendor_Analysis!B:B,Scenario_Modelling!A26)</f>
        <v>56</v>
      </c>
      <c r="P26" s="18">
        <f t="shared" si="4"/>
        <v>45271</v>
      </c>
      <c r="Q26" s="14">
        <f t="shared" si="5"/>
        <v>45271</v>
      </c>
      <c r="R26" s="25">
        <f t="shared" si="6"/>
        <v>-66395.25</v>
      </c>
      <c r="S26" s="11">
        <f t="shared" si="7"/>
        <v>-88527</v>
      </c>
      <c r="T26" s="26">
        <f t="shared" si="8"/>
        <v>-0.13489068044925467</v>
      </c>
      <c r="U26" s="11">
        <f t="shared" si="9"/>
        <v>22131.75</v>
      </c>
      <c r="V26" s="26">
        <f t="shared" si="10"/>
        <v>3.3722670112313669E-2</v>
      </c>
      <c r="W26" s="11">
        <f t="shared" si="11"/>
        <v>-66395.25</v>
      </c>
      <c r="X26" s="15">
        <f t="shared" si="12"/>
        <v>-8.914339687492448E-2</v>
      </c>
    </row>
    <row r="27" spans="1:24" x14ac:dyDescent="0.25">
      <c r="A27" s="8" t="s">
        <v>1025</v>
      </c>
      <c r="B27" s="2" t="str">
        <f>Capex_Budgets!B26</f>
        <v>R&amp;D - PRJ0025</v>
      </c>
      <c r="C27" s="2" t="str">
        <f>Capex_Budgets!G26</f>
        <v>DataCenter</v>
      </c>
      <c r="D27" s="17" t="str">
        <f>Capex_Budgets!C26</f>
        <v>DPT002</v>
      </c>
      <c r="E27" s="11">
        <f>Capex_Budgets!D26</f>
        <v>1750457</v>
      </c>
      <c r="F27" s="18">
        <f>INDEX(Capex_Budgets!E:E,MATCH(Scenario_Modelling!A27,Capex_Budgets!A:A))</f>
        <v>45614</v>
      </c>
      <c r="G27" s="11">
        <f>SUMIF(Capex_Actuals!B:B,Scenario_Modelling!A27,Capex_Actuals!E:E)</f>
        <v>1874747</v>
      </c>
      <c r="H27" s="11">
        <f t="shared" si="0"/>
        <v>-124290</v>
      </c>
      <c r="I27" s="18" cm="1">
        <f t="array" ref="I27">MIN(IF(Capex_Actuals!B:B=Scenario_Modelling!A27,Capex_Actuals!D:D))</f>
        <v>45622</v>
      </c>
      <c r="J27" s="23">
        <v>0.25</v>
      </c>
      <c r="K27" s="2">
        <v>2</v>
      </c>
      <c r="L27" s="11">
        <f t="shared" si="1"/>
        <v>-93217.5</v>
      </c>
      <c r="M27" s="11">
        <f t="shared" si="2"/>
        <v>1781529.5</v>
      </c>
      <c r="N27" s="18">
        <f t="shared" si="3"/>
        <v>45683</v>
      </c>
      <c r="O27" s="24">
        <f>AVERAGEIFS(Vendor_Analysis!G:G,Vendor_Analysis!B:B,Scenario_Modelling!A27)</f>
        <v>51</v>
      </c>
      <c r="P27" s="18">
        <f t="shared" si="4"/>
        <v>45734</v>
      </c>
      <c r="Q27" s="14">
        <f t="shared" si="5"/>
        <v>45734</v>
      </c>
      <c r="R27" s="25">
        <f t="shared" si="6"/>
        <v>-93217.5</v>
      </c>
      <c r="S27" s="11">
        <f t="shared" si="7"/>
        <v>-124290</v>
      </c>
      <c r="T27" s="26">
        <f t="shared" si="8"/>
        <v>-7.100431487320169E-2</v>
      </c>
      <c r="U27" s="11">
        <f t="shared" si="9"/>
        <v>31072.5</v>
      </c>
      <c r="V27" s="26">
        <f t="shared" si="10"/>
        <v>1.7751078718300423E-2</v>
      </c>
      <c r="W27" s="11">
        <f t="shared" si="11"/>
        <v>-93217.5</v>
      </c>
      <c r="X27" s="15">
        <f t="shared" si="12"/>
        <v>-4.9722709250901588E-2</v>
      </c>
    </row>
    <row r="28" spans="1:24" x14ac:dyDescent="0.25">
      <c r="A28" s="8" t="s">
        <v>1051</v>
      </c>
      <c r="B28" s="2" t="str">
        <f>Capex_Budgets!B27</f>
        <v>Infra - PRJ0026</v>
      </c>
      <c r="C28" s="2" t="str">
        <f>Capex_Budgets!G27</f>
        <v>Compute</v>
      </c>
      <c r="D28" s="17" t="str">
        <f>Capex_Budgets!C27</f>
        <v>DPT004</v>
      </c>
      <c r="E28" s="11">
        <f>Capex_Budgets!D27</f>
        <v>5402033</v>
      </c>
      <c r="F28" s="18">
        <f>INDEX(Capex_Budgets!E:E,MATCH(Scenario_Modelling!A28,Capex_Budgets!A:A))</f>
        <v>45168</v>
      </c>
      <c r="G28" s="11">
        <f>SUMIF(Capex_Actuals!B:B,Scenario_Modelling!A28,Capex_Actuals!E:E)</f>
        <v>6683077</v>
      </c>
      <c r="H28" s="11">
        <f t="shared" si="0"/>
        <v>-1281044</v>
      </c>
      <c r="I28" s="18" cm="1">
        <f t="array" ref="I28">MIN(IF(Capex_Actuals!B:B=Scenario_Modelling!A28,Capex_Actuals!D:D))</f>
        <v>45172</v>
      </c>
      <c r="J28" s="23">
        <v>0.27</v>
      </c>
      <c r="K28" s="2">
        <v>2</v>
      </c>
      <c r="L28" s="11">
        <f t="shared" si="1"/>
        <v>-935162.12</v>
      </c>
      <c r="M28" s="11">
        <f t="shared" si="2"/>
        <v>5747914.8799999999</v>
      </c>
      <c r="N28" s="18">
        <f t="shared" si="3"/>
        <v>45233</v>
      </c>
      <c r="O28" s="24">
        <f>AVERAGEIFS(Vendor_Analysis!G:G,Vendor_Analysis!B:B,Scenario_Modelling!A28)</f>
        <v>56.142857142857146</v>
      </c>
      <c r="P28" s="18">
        <f t="shared" si="4"/>
        <v>45289.142857142855</v>
      </c>
      <c r="Q28" s="14">
        <f t="shared" si="5"/>
        <v>45289.142857142855</v>
      </c>
      <c r="R28" s="25">
        <f t="shared" si="6"/>
        <v>-935162.12</v>
      </c>
      <c r="S28" s="11">
        <f t="shared" si="7"/>
        <v>-1281044</v>
      </c>
      <c r="T28" s="26">
        <f t="shared" si="8"/>
        <v>-0.23714109114105744</v>
      </c>
      <c r="U28" s="11">
        <f t="shared" si="9"/>
        <v>345881.87999999989</v>
      </c>
      <c r="V28" s="26">
        <f t="shared" si="10"/>
        <v>6.4028094608085492E-2</v>
      </c>
      <c r="W28" s="11">
        <f t="shared" si="11"/>
        <v>-935162.12000000011</v>
      </c>
      <c r="X28" s="15">
        <f t="shared" si="12"/>
        <v>-0.13992987361959172</v>
      </c>
    </row>
    <row r="29" spans="1:24" x14ac:dyDescent="0.25">
      <c r="A29" s="8" t="s">
        <v>1087</v>
      </c>
      <c r="B29" s="2" t="str">
        <f>Capex_Budgets!B28</f>
        <v>Platform - PRJ0027</v>
      </c>
      <c r="C29" s="2" t="str">
        <f>Capex_Budgets!G28</f>
        <v>Storage</v>
      </c>
      <c r="D29" s="17" t="str">
        <f>Capex_Budgets!C28</f>
        <v>DPT003</v>
      </c>
      <c r="E29" s="11">
        <f>Capex_Budgets!D28</f>
        <v>2933309</v>
      </c>
      <c r="F29" s="18">
        <f>INDEX(Capex_Budgets!E:E,MATCH(Scenario_Modelling!A29,Capex_Budgets!A:A))</f>
        <v>45636</v>
      </c>
      <c r="G29" s="11">
        <f>SUMIF(Capex_Actuals!B:B,Scenario_Modelling!A29,Capex_Actuals!E:E)</f>
        <v>3120038</v>
      </c>
      <c r="H29" s="11">
        <f t="shared" si="0"/>
        <v>-186729</v>
      </c>
      <c r="I29" s="18" cm="1">
        <f t="array" ref="I29">MIN(IF(Capex_Actuals!B:B=Scenario_Modelling!A29,Capex_Actuals!D:D))</f>
        <v>45657</v>
      </c>
      <c r="J29" s="23">
        <v>0.25</v>
      </c>
      <c r="K29" s="2">
        <v>2</v>
      </c>
      <c r="L29" s="11">
        <f t="shared" si="1"/>
        <v>-140046.75</v>
      </c>
      <c r="M29" s="11">
        <f t="shared" si="2"/>
        <v>2979991.25</v>
      </c>
      <c r="N29" s="18">
        <f t="shared" si="3"/>
        <v>45716</v>
      </c>
      <c r="O29" s="24">
        <f>AVERAGEIFS(Vendor_Analysis!G:G,Vendor_Analysis!B:B,Scenario_Modelling!A29)</f>
        <v>54.545454545454547</v>
      </c>
      <c r="P29" s="18">
        <f t="shared" si="4"/>
        <v>45770.545454545456</v>
      </c>
      <c r="Q29" s="14">
        <f t="shared" si="5"/>
        <v>45770.545454545456</v>
      </c>
      <c r="R29" s="25">
        <f t="shared" si="6"/>
        <v>-140046.75</v>
      </c>
      <c r="S29" s="11">
        <f t="shared" si="7"/>
        <v>-186729</v>
      </c>
      <c r="T29" s="26">
        <f t="shared" si="8"/>
        <v>-6.3658141709584642E-2</v>
      </c>
      <c r="U29" s="11">
        <f t="shared" si="9"/>
        <v>46682.25</v>
      </c>
      <c r="V29" s="26">
        <f t="shared" si="10"/>
        <v>1.5914535427396161E-2</v>
      </c>
      <c r="W29" s="11">
        <f t="shared" si="11"/>
        <v>-140046.75</v>
      </c>
      <c r="X29" s="15">
        <f t="shared" si="12"/>
        <v>-4.4886232154864779E-2</v>
      </c>
    </row>
    <row r="30" spans="1:24" x14ac:dyDescent="0.25">
      <c r="A30" s="8" t="s">
        <v>1110</v>
      </c>
      <c r="B30" s="2" t="str">
        <f>Capex_Budgets!B29</f>
        <v>Platform - PRJ0028</v>
      </c>
      <c r="C30" s="2" t="str">
        <f>Capex_Budgets!G29</f>
        <v>DataCenter</v>
      </c>
      <c r="D30" s="17" t="str">
        <f>Capex_Budgets!C29</f>
        <v>DPT005</v>
      </c>
      <c r="E30" s="11">
        <f>Capex_Budgets!D29</f>
        <v>2107892</v>
      </c>
      <c r="F30" s="18">
        <f>INDEX(Capex_Budgets!E:E,MATCH(Scenario_Modelling!A30,Capex_Budgets!A:A))</f>
        <v>45476</v>
      </c>
      <c r="G30" s="11">
        <f>SUMIF(Capex_Actuals!B:B,Scenario_Modelling!A30,Capex_Actuals!E:E)</f>
        <v>2622041</v>
      </c>
      <c r="H30" s="11">
        <f t="shared" si="0"/>
        <v>-514149</v>
      </c>
      <c r="I30" s="18" cm="1">
        <f t="array" ref="I30">MIN(IF(Capex_Actuals!B:B=Scenario_Modelling!A30,Capex_Actuals!D:D))</f>
        <v>45515</v>
      </c>
      <c r="J30" s="23">
        <v>0.25</v>
      </c>
      <c r="K30" s="2">
        <v>2</v>
      </c>
      <c r="L30" s="11">
        <f t="shared" si="1"/>
        <v>-385611.75</v>
      </c>
      <c r="M30" s="11">
        <f t="shared" si="2"/>
        <v>2236429.25</v>
      </c>
      <c r="N30" s="18">
        <f t="shared" si="3"/>
        <v>45576</v>
      </c>
      <c r="O30" s="24">
        <f>AVERAGEIFS(Vendor_Analysis!G:G,Vendor_Analysis!B:B,Scenario_Modelling!A30)</f>
        <v>51.666666666666664</v>
      </c>
      <c r="P30" s="18">
        <f t="shared" si="4"/>
        <v>45627.666666666664</v>
      </c>
      <c r="Q30" s="14">
        <f t="shared" si="5"/>
        <v>45627.666666666664</v>
      </c>
      <c r="R30" s="25">
        <f t="shared" si="6"/>
        <v>-385611.75</v>
      </c>
      <c r="S30" s="11">
        <f t="shared" si="7"/>
        <v>-514149</v>
      </c>
      <c r="T30" s="26">
        <f t="shared" si="8"/>
        <v>-0.24391619684499966</v>
      </c>
      <c r="U30" s="11">
        <f t="shared" si="9"/>
        <v>128537.25</v>
      </c>
      <c r="V30" s="26">
        <f t="shared" si="10"/>
        <v>6.0979049211249914E-2</v>
      </c>
      <c r="W30" s="11">
        <f t="shared" si="11"/>
        <v>-385611.75</v>
      </c>
      <c r="X30" s="15">
        <f t="shared" si="12"/>
        <v>-0.14706549211091666</v>
      </c>
    </row>
    <row r="31" spans="1:24" x14ac:dyDescent="0.25">
      <c r="A31" s="8" t="s">
        <v>1133</v>
      </c>
      <c r="B31" s="2" t="str">
        <f>Capex_Budgets!B30</f>
        <v>Platform - PRJ0029</v>
      </c>
      <c r="C31" s="2" t="str">
        <f>Capex_Budgets!G30</f>
        <v>Compute</v>
      </c>
      <c r="D31" s="17" t="str">
        <f>Capex_Budgets!C30</f>
        <v>DPT003</v>
      </c>
      <c r="E31" s="11">
        <f>Capex_Budgets!D30</f>
        <v>2432795</v>
      </c>
      <c r="F31" s="18">
        <f>INDEX(Capex_Budgets!E:E,MATCH(Scenario_Modelling!A31,Capex_Budgets!A:A))</f>
        <v>45409</v>
      </c>
      <c r="G31" s="11">
        <f>SUMIF(Capex_Actuals!B:B,Scenario_Modelling!A31,Capex_Actuals!E:E)</f>
        <v>2735849</v>
      </c>
      <c r="H31" s="11">
        <f t="shared" si="0"/>
        <v>-303054</v>
      </c>
      <c r="I31" s="18" cm="1">
        <f t="array" ref="I31">MIN(IF(Capex_Actuals!B:B=Scenario_Modelling!A31,Capex_Actuals!D:D))</f>
        <v>45427</v>
      </c>
      <c r="J31" s="23">
        <v>0.25</v>
      </c>
      <c r="K31" s="2">
        <v>2</v>
      </c>
      <c r="L31" s="11">
        <f t="shared" si="1"/>
        <v>-227290.5</v>
      </c>
      <c r="M31" s="11">
        <f t="shared" si="2"/>
        <v>2508558.5</v>
      </c>
      <c r="N31" s="18">
        <f t="shared" si="3"/>
        <v>45488</v>
      </c>
      <c r="O31" s="24">
        <f>AVERAGEIFS(Vendor_Analysis!G:G,Vendor_Analysis!B:B,Scenario_Modelling!A31)</f>
        <v>62.837837837837839</v>
      </c>
      <c r="P31" s="18">
        <f t="shared" si="4"/>
        <v>45550.83783783784</v>
      </c>
      <c r="Q31" s="14">
        <f t="shared" si="5"/>
        <v>45550.83783783784</v>
      </c>
      <c r="R31" s="25">
        <f t="shared" si="6"/>
        <v>-227290.5</v>
      </c>
      <c r="S31" s="11">
        <f t="shared" si="7"/>
        <v>-303054</v>
      </c>
      <c r="T31" s="26">
        <f t="shared" si="8"/>
        <v>-0.12457029877157755</v>
      </c>
      <c r="U31" s="11">
        <f t="shared" si="9"/>
        <v>75763.5</v>
      </c>
      <c r="V31" s="26">
        <f t="shared" si="10"/>
        <v>3.1142574692894387E-2</v>
      </c>
      <c r="W31" s="11">
        <f t="shared" si="11"/>
        <v>-227290.5</v>
      </c>
      <c r="X31" s="15">
        <f t="shared" si="12"/>
        <v>-8.3078598270591691E-2</v>
      </c>
    </row>
    <row r="32" spans="1:24" x14ac:dyDescent="0.25">
      <c r="A32" s="8" t="s">
        <v>1171</v>
      </c>
      <c r="B32" s="2" t="str">
        <f>Capex_Budgets!B31</f>
        <v>R&amp;D - PRJ0030</v>
      </c>
      <c r="C32" s="2" t="str">
        <f>Capex_Budgets!G31</f>
        <v>DataCenter</v>
      </c>
      <c r="D32" s="17" t="str">
        <f>Capex_Budgets!C31</f>
        <v>DPT004</v>
      </c>
      <c r="E32" s="11">
        <f>Capex_Budgets!D31</f>
        <v>2648151</v>
      </c>
      <c r="F32" s="18">
        <f>INDEX(Capex_Budgets!E:E,MATCH(Scenario_Modelling!A32,Capex_Budgets!A:A))</f>
        <v>45187</v>
      </c>
      <c r="G32" s="11">
        <f>SUMIF(Capex_Actuals!B:B,Scenario_Modelling!A32,Capex_Actuals!E:E)</f>
        <v>3172142</v>
      </c>
      <c r="H32" s="11">
        <f t="shared" si="0"/>
        <v>-523991</v>
      </c>
      <c r="I32" s="18" cm="1">
        <f t="array" ref="I32">MIN(IF(Capex_Actuals!B:B=Scenario_Modelling!A32,Capex_Actuals!D:D))</f>
        <v>45251</v>
      </c>
      <c r="J32" s="23">
        <v>0.25</v>
      </c>
      <c r="K32" s="2">
        <v>2</v>
      </c>
      <c r="L32" s="11">
        <f t="shared" si="1"/>
        <v>-392993.25</v>
      </c>
      <c r="M32" s="11">
        <f t="shared" si="2"/>
        <v>2779148.75</v>
      </c>
      <c r="N32" s="18">
        <f t="shared" si="3"/>
        <v>45312</v>
      </c>
      <c r="O32" s="24">
        <f>AVERAGEIFS(Vendor_Analysis!G:G,Vendor_Analysis!B:B,Scenario_Modelling!A32)</f>
        <v>53.5</v>
      </c>
      <c r="P32" s="18">
        <f t="shared" si="4"/>
        <v>45365.5</v>
      </c>
      <c r="Q32" s="14">
        <f t="shared" si="5"/>
        <v>45365.5</v>
      </c>
      <c r="R32" s="25">
        <f t="shared" si="6"/>
        <v>-392993.25</v>
      </c>
      <c r="S32" s="11">
        <f t="shared" si="7"/>
        <v>-523991</v>
      </c>
      <c r="T32" s="26">
        <f t="shared" si="8"/>
        <v>-0.19787051418140431</v>
      </c>
      <c r="U32" s="11">
        <f t="shared" si="9"/>
        <v>130997.75</v>
      </c>
      <c r="V32" s="26">
        <f t="shared" si="10"/>
        <v>4.9467628545351076E-2</v>
      </c>
      <c r="W32" s="11">
        <f t="shared" si="11"/>
        <v>-392993.25</v>
      </c>
      <c r="X32" s="15">
        <f t="shared" si="12"/>
        <v>-0.12388892111387195</v>
      </c>
    </row>
    <row r="33" spans="1:24" x14ac:dyDescent="0.25">
      <c r="A33" s="8" t="s">
        <v>1232</v>
      </c>
      <c r="B33" s="2" t="str">
        <f>Capex_Budgets!B32</f>
        <v>Hybrid Clients - PRJ0031</v>
      </c>
      <c r="C33" s="2" t="str">
        <f>Capex_Budgets!G32</f>
        <v>Networking</v>
      </c>
      <c r="D33" s="17" t="str">
        <f>Capex_Budgets!C32</f>
        <v>DPT004</v>
      </c>
      <c r="E33" s="11">
        <f>Capex_Budgets!D32</f>
        <v>7804491</v>
      </c>
      <c r="F33" s="18">
        <f>INDEX(Capex_Budgets!E:E,MATCH(Scenario_Modelling!A33,Capex_Budgets!A:A))</f>
        <v>45310</v>
      </c>
      <c r="G33" s="11">
        <f>SUMIF(Capex_Actuals!B:B,Scenario_Modelling!A33,Capex_Actuals!E:E)</f>
        <v>8671977</v>
      </c>
      <c r="H33" s="11">
        <f t="shared" si="0"/>
        <v>-867486</v>
      </c>
      <c r="I33" s="18" cm="1">
        <f t="array" ref="I33">MIN(IF(Capex_Actuals!B:B=Scenario_Modelling!A33,Capex_Actuals!D:D))</f>
        <v>45310</v>
      </c>
      <c r="J33" s="23">
        <v>0.25</v>
      </c>
      <c r="K33" s="2">
        <v>2</v>
      </c>
      <c r="L33" s="11">
        <f t="shared" si="1"/>
        <v>-650614.5</v>
      </c>
      <c r="M33" s="11">
        <f t="shared" si="2"/>
        <v>8021362.5</v>
      </c>
      <c r="N33" s="18">
        <f t="shared" si="3"/>
        <v>45370</v>
      </c>
      <c r="O33" s="24">
        <f>AVERAGEIFS(Vendor_Analysis!G:G,Vendor_Analysis!B:B,Scenario_Modelling!A33)</f>
        <v>58.404255319148938</v>
      </c>
      <c r="P33" s="18">
        <f t="shared" si="4"/>
        <v>45428.404255319147</v>
      </c>
      <c r="Q33" s="14">
        <f t="shared" si="5"/>
        <v>45428.404255319147</v>
      </c>
      <c r="R33" s="25">
        <f t="shared" si="6"/>
        <v>-650614.5</v>
      </c>
      <c r="S33" s="11">
        <f t="shared" si="7"/>
        <v>-867486</v>
      </c>
      <c r="T33" s="26">
        <f t="shared" si="8"/>
        <v>-0.11115215585487893</v>
      </c>
      <c r="U33" s="11">
        <f t="shared" si="9"/>
        <v>216871.5</v>
      </c>
      <c r="V33" s="26">
        <f t="shared" si="10"/>
        <v>2.7788038963719734E-2</v>
      </c>
      <c r="W33" s="11">
        <f t="shared" si="11"/>
        <v>-650614.5</v>
      </c>
      <c r="X33" s="15">
        <f t="shared" si="12"/>
        <v>-7.5024933760779122E-2</v>
      </c>
    </row>
    <row r="34" spans="1:24" x14ac:dyDescent="0.25">
      <c r="A34" s="8" t="s">
        <v>1280</v>
      </c>
      <c r="B34" s="2" t="str">
        <f>Capex_Budgets!B33</f>
        <v>Platform - PRJ0032</v>
      </c>
      <c r="C34" s="2" t="str">
        <f>Capex_Budgets!G33</f>
        <v>ProprietaryHardware</v>
      </c>
      <c r="D34" s="17" t="str">
        <f>Capex_Budgets!C33</f>
        <v>DPT002</v>
      </c>
      <c r="E34" s="11">
        <f>Capex_Budgets!D33</f>
        <v>1179308</v>
      </c>
      <c r="F34" s="18">
        <f>INDEX(Capex_Budgets!E:E,MATCH(Scenario_Modelling!A34,Capex_Budgets!A:A))</f>
        <v>45196</v>
      </c>
      <c r="G34" s="11">
        <f>SUMIF(Capex_Actuals!B:B,Scenario_Modelling!A34,Capex_Actuals!E:E)</f>
        <v>1277729</v>
      </c>
      <c r="H34" s="11">
        <f t="shared" si="0"/>
        <v>-98421</v>
      </c>
      <c r="I34" s="18" cm="1">
        <f t="array" ref="I34">MIN(IF(Capex_Actuals!B:B=Scenario_Modelling!A34,Capex_Actuals!D:D))</f>
        <v>45197</v>
      </c>
      <c r="J34" s="23">
        <v>0.25</v>
      </c>
      <c r="K34" s="2">
        <v>2</v>
      </c>
      <c r="L34" s="11">
        <f t="shared" si="1"/>
        <v>-73815.75</v>
      </c>
      <c r="M34" s="11">
        <f t="shared" si="2"/>
        <v>1203913.25</v>
      </c>
      <c r="N34" s="18">
        <f t="shared" si="3"/>
        <v>45258</v>
      </c>
      <c r="O34" s="24">
        <f>AVERAGEIFS(Vendor_Analysis!G:G,Vendor_Analysis!B:B,Scenario_Modelling!A34)</f>
        <v>52.10526315789474</v>
      </c>
      <c r="P34" s="18">
        <f t="shared" si="4"/>
        <v>45310.105263157893</v>
      </c>
      <c r="Q34" s="14">
        <f t="shared" si="5"/>
        <v>45310.105263157893</v>
      </c>
      <c r="R34" s="25">
        <f t="shared" si="6"/>
        <v>-73815.75</v>
      </c>
      <c r="S34" s="11">
        <f t="shared" si="7"/>
        <v>-98421</v>
      </c>
      <c r="T34" s="26">
        <f t="shared" si="8"/>
        <v>-8.3456569445810591E-2</v>
      </c>
      <c r="U34" s="11">
        <f t="shared" si="9"/>
        <v>24605.25</v>
      </c>
      <c r="V34" s="26">
        <f t="shared" si="10"/>
        <v>2.0864142361452648E-2</v>
      </c>
      <c r="W34" s="11">
        <f t="shared" si="11"/>
        <v>-73815.75</v>
      </c>
      <c r="X34" s="15">
        <f t="shared" si="12"/>
        <v>-5.7771053173247225E-2</v>
      </c>
    </row>
    <row r="35" spans="1:24" x14ac:dyDescent="0.25">
      <c r="A35" s="8" t="s">
        <v>1338</v>
      </c>
      <c r="B35" s="2" t="str">
        <f>Capex_Budgets!B34</f>
        <v>Infra - PRJ0033</v>
      </c>
      <c r="C35" s="2" t="str">
        <f>Capex_Budgets!G34</f>
        <v>ProprietaryHardware</v>
      </c>
      <c r="D35" s="17" t="str">
        <f>Capex_Budgets!C34</f>
        <v>DPT001</v>
      </c>
      <c r="E35" s="11">
        <f>Capex_Budgets!D34</f>
        <v>6700396</v>
      </c>
      <c r="F35" s="18">
        <f>INDEX(Capex_Budgets!E:E,MATCH(Scenario_Modelling!A35,Capex_Budgets!A:A))</f>
        <v>45171</v>
      </c>
      <c r="G35" s="11">
        <f>SUMIF(Capex_Actuals!B:B,Scenario_Modelling!A35,Capex_Actuals!E:E)</f>
        <v>7316606</v>
      </c>
      <c r="H35" s="11">
        <f t="shared" si="0"/>
        <v>-616210</v>
      </c>
      <c r="I35" s="18" cm="1">
        <f t="array" ref="I35">MIN(IF(Capex_Actuals!B:B=Scenario_Modelling!A35,Capex_Actuals!D:D))</f>
        <v>45177</v>
      </c>
      <c r="J35" s="23">
        <v>0.25</v>
      </c>
      <c r="K35" s="2">
        <v>2</v>
      </c>
      <c r="L35" s="11">
        <f t="shared" si="1"/>
        <v>-462157.5</v>
      </c>
      <c r="M35" s="11">
        <f t="shared" si="2"/>
        <v>6854448.5</v>
      </c>
      <c r="N35" s="18">
        <f t="shared" si="3"/>
        <v>45238</v>
      </c>
      <c r="O35" s="24">
        <f>AVERAGEIFS(Vendor_Analysis!G:G,Vendor_Analysis!B:B,Scenario_Modelling!A35)</f>
        <v>50.142857142857146</v>
      </c>
      <c r="P35" s="18">
        <f t="shared" si="4"/>
        <v>45288.142857142855</v>
      </c>
      <c r="Q35" s="14">
        <f t="shared" si="5"/>
        <v>45288.142857142855</v>
      </c>
      <c r="R35" s="25">
        <f t="shared" si="6"/>
        <v>-462157.5</v>
      </c>
      <c r="S35" s="11">
        <f t="shared" si="7"/>
        <v>-616210</v>
      </c>
      <c r="T35" s="26">
        <f t="shared" si="8"/>
        <v>-9.1966206176470763E-2</v>
      </c>
      <c r="U35" s="11">
        <f t="shared" si="9"/>
        <v>154052.5</v>
      </c>
      <c r="V35" s="26">
        <f t="shared" si="10"/>
        <v>2.2991551544117691E-2</v>
      </c>
      <c r="W35" s="11">
        <f t="shared" si="11"/>
        <v>-462157.5</v>
      </c>
      <c r="X35" s="15">
        <f t="shared" si="12"/>
        <v>-6.3165557910320719E-2</v>
      </c>
    </row>
    <row r="36" spans="1:24" x14ac:dyDescent="0.25">
      <c r="A36" s="8" t="s">
        <v>1374</v>
      </c>
      <c r="B36" s="2" t="str">
        <f>Capex_Budgets!B35</f>
        <v>Platform - PRJ0034</v>
      </c>
      <c r="C36" s="2" t="str">
        <f>Capex_Budgets!G35</f>
        <v>DataCenter</v>
      </c>
      <c r="D36" s="17" t="str">
        <f>Capex_Budgets!C35</f>
        <v>DPT001</v>
      </c>
      <c r="E36" s="11">
        <f>Capex_Budgets!D35</f>
        <v>4467277</v>
      </c>
      <c r="F36" s="18">
        <f>INDEX(Capex_Budgets!E:E,MATCH(Scenario_Modelling!A36,Capex_Budgets!A:A))</f>
        <v>45156</v>
      </c>
      <c r="G36" s="11">
        <f>SUMIF(Capex_Actuals!B:B,Scenario_Modelling!A36,Capex_Actuals!E:E)</f>
        <v>5440825</v>
      </c>
      <c r="H36" s="11">
        <f t="shared" si="0"/>
        <v>-973548</v>
      </c>
      <c r="I36" s="18" cm="1">
        <f t="array" ref="I36">MIN(IF(Capex_Actuals!B:B=Scenario_Modelling!A36,Capex_Actuals!D:D))</f>
        <v>45158</v>
      </c>
      <c r="J36" s="23">
        <v>0.25</v>
      </c>
      <c r="K36" s="2">
        <v>2</v>
      </c>
      <c r="L36" s="11">
        <f t="shared" si="1"/>
        <v>-730161</v>
      </c>
      <c r="M36" s="11">
        <f t="shared" si="2"/>
        <v>4710664</v>
      </c>
      <c r="N36" s="18">
        <f t="shared" si="3"/>
        <v>45219</v>
      </c>
      <c r="O36" s="24">
        <f>AVERAGEIFS(Vendor_Analysis!G:G,Vendor_Analysis!B:B,Scenario_Modelling!A36)</f>
        <v>53.5</v>
      </c>
      <c r="P36" s="18">
        <f t="shared" si="4"/>
        <v>45272.5</v>
      </c>
      <c r="Q36" s="14">
        <f t="shared" si="5"/>
        <v>45272.5</v>
      </c>
      <c r="R36" s="25">
        <f t="shared" si="6"/>
        <v>-730161</v>
      </c>
      <c r="S36" s="11">
        <f t="shared" si="7"/>
        <v>-973548</v>
      </c>
      <c r="T36" s="26">
        <f t="shared" si="8"/>
        <v>-0.21792872929079615</v>
      </c>
      <c r="U36" s="11">
        <f t="shared" si="9"/>
        <v>243387</v>
      </c>
      <c r="V36" s="26">
        <f t="shared" si="10"/>
        <v>5.4482182322699038E-2</v>
      </c>
      <c r="W36" s="11">
        <f t="shared" si="11"/>
        <v>-730161</v>
      </c>
      <c r="X36" s="15">
        <f t="shared" si="12"/>
        <v>-0.13420041997307394</v>
      </c>
    </row>
    <row r="37" spans="1:24" x14ac:dyDescent="0.25">
      <c r="A37" s="8" t="s">
        <v>1397</v>
      </c>
      <c r="B37" s="2" t="str">
        <f>Capex_Budgets!B36</f>
        <v>Platform - PRJ0035</v>
      </c>
      <c r="C37" s="2" t="str">
        <f>Capex_Budgets!G36</f>
        <v>Networking</v>
      </c>
      <c r="D37" s="17" t="str">
        <f>Capex_Budgets!C36</f>
        <v>DPT006</v>
      </c>
      <c r="E37" s="11">
        <f>Capex_Budgets!D36</f>
        <v>2442430</v>
      </c>
      <c r="F37" s="18">
        <f>INDEX(Capex_Budgets!E:E,MATCH(Scenario_Modelling!A37,Capex_Budgets!A:A))</f>
        <v>45211</v>
      </c>
      <c r="G37" s="11">
        <f>SUMIF(Capex_Actuals!B:B,Scenario_Modelling!A37,Capex_Actuals!E:E)</f>
        <v>2811140</v>
      </c>
      <c r="H37" s="11">
        <f t="shared" si="0"/>
        <v>-368710</v>
      </c>
      <c r="I37" s="18" cm="1">
        <f t="array" ref="I37">MIN(IF(Capex_Actuals!B:B=Scenario_Modelling!A37,Capex_Actuals!D:D))</f>
        <v>45221</v>
      </c>
      <c r="J37" s="23">
        <v>0.25</v>
      </c>
      <c r="K37" s="2">
        <v>2</v>
      </c>
      <c r="L37" s="11">
        <f t="shared" si="1"/>
        <v>-276532.5</v>
      </c>
      <c r="M37" s="11">
        <f t="shared" si="2"/>
        <v>2534607.5</v>
      </c>
      <c r="N37" s="18">
        <f t="shared" si="3"/>
        <v>45282</v>
      </c>
      <c r="O37" s="24">
        <f>AVERAGEIFS(Vendor_Analysis!G:G,Vendor_Analysis!B:B,Scenario_Modelling!A37)</f>
        <v>53.823529411764703</v>
      </c>
      <c r="P37" s="18">
        <f t="shared" si="4"/>
        <v>45335.823529411762</v>
      </c>
      <c r="Q37" s="14">
        <f t="shared" si="5"/>
        <v>45335.823529411762</v>
      </c>
      <c r="R37" s="25">
        <f t="shared" si="6"/>
        <v>-276532.5</v>
      </c>
      <c r="S37" s="11">
        <f t="shared" si="7"/>
        <v>-368710</v>
      </c>
      <c r="T37" s="26">
        <f t="shared" si="8"/>
        <v>-0.15096031411340347</v>
      </c>
      <c r="U37" s="11">
        <f t="shared" si="9"/>
        <v>92177.5</v>
      </c>
      <c r="V37" s="26">
        <f t="shared" si="10"/>
        <v>3.7740078528350866E-2</v>
      </c>
      <c r="W37" s="11">
        <f t="shared" si="11"/>
        <v>-276532.5</v>
      </c>
      <c r="X37" s="15">
        <f t="shared" si="12"/>
        <v>-9.8370234139886312E-2</v>
      </c>
    </row>
    <row r="38" spans="1:24" x14ac:dyDescent="0.25">
      <c r="A38" s="8" t="s">
        <v>1415</v>
      </c>
      <c r="B38" s="2" t="str">
        <f>Capex_Budgets!B37</f>
        <v>Infra - PRJ0036</v>
      </c>
      <c r="C38" s="2" t="str">
        <f>Capex_Budgets!G37</f>
        <v>DataCenter</v>
      </c>
      <c r="D38" s="17" t="str">
        <f>Capex_Budgets!C37</f>
        <v>DPT001</v>
      </c>
      <c r="E38" s="11">
        <f>Capex_Budgets!D37</f>
        <v>3416268</v>
      </c>
      <c r="F38" s="18">
        <f>INDEX(Capex_Budgets!E:E,MATCH(Scenario_Modelling!A38,Capex_Budgets!A:A))</f>
        <v>45171</v>
      </c>
      <c r="G38" s="11">
        <f>SUMIF(Capex_Actuals!B:B,Scenario_Modelling!A38,Capex_Actuals!E:E)</f>
        <v>3300116</v>
      </c>
      <c r="H38" s="11">
        <f t="shared" si="0"/>
        <v>116152</v>
      </c>
      <c r="I38" s="18" cm="1">
        <f t="array" ref="I38">MIN(IF(Capex_Actuals!B:B=Scenario_Modelling!A38,Capex_Actuals!D:D))</f>
        <v>45187</v>
      </c>
      <c r="J38" s="23">
        <v>0.25</v>
      </c>
      <c r="K38" s="2">
        <v>2</v>
      </c>
      <c r="L38" s="11">
        <f t="shared" si="1"/>
        <v>145190</v>
      </c>
      <c r="M38" s="11">
        <f t="shared" si="2"/>
        <v>3445306</v>
      </c>
      <c r="N38" s="18">
        <f t="shared" si="3"/>
        <v>45248</v>
      </c>
      <c r="O38" s="24">
        <f>AVERAGEIFS(Vendor_Analysis!G:G,Vendor_Analysis!B:B,Scenario_Modelling!A38)</f>
        <v>55.227272727272727</v>
      </c>
      <c r="P38" s="18">
        <f t="shared" si="4"/>
        <v>45303.227272727272</v>
      </c>
      <c r="Q38" s="14">
        <f t="shared" si="5"/>
        <v>45303.227272727272</v>
      </c>
      <c r="R38" s="25">
        <f t="shared" si="6"/>
        <v>145190</v>
      </c>
      <c r="S38" s="11">
        <f t="shared" si="7"/>
        <v>116152</v>
      </c>
      <c r="T38" s="26">
        <f t="shared" si="8"/>
        <v>3.3999674498604908E-2</v>
      </c>
      <c r="U38" s="11">
        <f t="shared" si="9"/>
        <v>29038</v>
      </c>
      <c r="V38" s="26">
        <f t="shared" si="10"/>
        <v>8.499918624651227E-3</v>
      </c>
      <c r="W38" s="11">
        <f t="shared" si="11"/>
        <v>145190</v>
      </c>
      <c r="X38" s="15">
        <f t="shared" si="12"/>
        <v>4.3995423191184796E-2</v>
      </c>
    </row>
    <row r="39" spans="1:24" x14ac:dyDescent="0.25">
      <c r="A39" s="8" t="s">
        <v>1438</v>
      </c>
      <c r="B39" s="2" t="str">
        <f>Capex_Budgets!B38</f>
        <v>Hybrid Clients - PRJ0037</v>
      </c>
      <c r="C39" s="2" t="str">
        <f>Capex_Budgets!G38</f>
        <v>R&amp;D</v>
      </c>
      <c r="D39" s="17" t="str">
        <f>Capex_Budgets!C38</f>
        <v>DPT005</v>
      </c>
      <c r="E39" s="11">
        <f>Capex_Budgets!D38</f>
        <v>3124034</v>
      </c>
      <c r="F39" s="18">
        <f>INDEX(Capex_Budgets!E:E,MATCH(Scenario_Modelling!A39,Capex_Budgets!A:A))</f>
        <v>45169</v>
      </c>
      <c r="G39" s="11">
        <f>SUMIF(Capex_Actuals!B:B,Scenario_Modelling!A39,Capex_Actuals!E:E)</f>
        <v>2254870</v>
      </c>
      <c r="H39" s="11">
        <f t="shared" si="0"/>
        <v>869164</v>
      </c>
      <c r="I39" s="18" cm="1">
        <f t="array" ref="I39">MIN(IF(Capex_Actuals!B:B=Scenario_Modelling!A39,Capex_Actuals!D:D))</f>
        <v>45170</v>
      </c>
      <c r="J39" s="23">
        <v>0.25</v>
      </c>
      <c r="K39" s="2">
        <v>2</v>
      </c>
      <c r="L39" s="11">
        <f t="shared" si="1"/>
        <v>1086455</v>
      </c>
      <c r="M39" s="11">
        <f t="shared" si="2"/>
        <v>3341325</v>
      </c>
      <c r="N39" s="18">
        <f t="shared" si="3"/>
        <v>45231</v>
      </c>
      <c r="O39" s="24">
        <f>AVERAGEIFS(Vendor_Analysis!G:G,Vendor_Analysis!B:B,Scenario_Modelling!A39)</f>
        <v>55.789473684210527</v>
      </c>
      <c r="P39" s="18">
        <f t="shared" si="4"/>
        <v>45286.789473684214</v>
      </c>
      <c r="Q39" s="14">
        <f t="shared" si="5"/>
        <v>45286.789473684214</v>
      </c>
      <c r="R39" s="25">
        <f t="shared" si="6"/>
        <v>1086455</v>
      </c>
      <c r="S39" s="11">
        <f t="shared" si="7"/>
        <v>869164</v>
      </c>
      <c r="T39" s="26">
        <f t="shared" si="8"/>
        <v>0.27821848289743323</v>
      </c>
      <c r="U39" s="11">
        <f t="shared" si="9"/>
        <v>217291</v>
      </c>
      <c r="V39" s="26">
        <f t="shared" si="10"/>
        <v>6.9554620724358307E-2</v>
      </c>
      <c r="W39" s="11">
        <f t="shared" si="11"/>
        <v>1086455</v>
      </c>
      <c r="X39" s="15">
        <f t="shared" si="12"/>
        <v>0.48182600327291597</v>
      </c>
    </row>
    <row r="40" spans="1:24" x14ac:dyDescent="0.25">
      <c r="A40" s="8" t="s">
        <v>1459</v>
      </c>
      <c r="B40" s="2" t="str">
        <f>Capex_Budgets!B39</f>
        <v>Hybrid Clients - PRJ0038</v>
      </c>
      <c r="C40" s="2" t="str">
        <f>Capex_Budgets!G39</f>
        <v>R&amp;D</v>
      </c>
      <c r="D40" s="17" t="str">
        <f>Capex_Budgets!C39</f>
        <v>DPT005</v>
      </c>
      <c r="E40" s="11">
        <f>Capex_Budgets!D39</f>
        <v>4930958</v>
      </c>
      <c r="F40" s="18">
        <f>INDEX(Capex_Budgets!E:E,MATCH(Scenario_Modelling!A40,Capex_Budgets!A:A))</f>
        <v>45415</v>
      </c>
      <c r="G40" s="11">
        <f>SUMIF(Capex_Actuals!B:B,Scenario_Modelling!A40,Capex_Actuals!E:E)</f>
        <v>7092426</v>
      </c>
      <c r="H40" s="11">
        <f t="shared" si="0"/>
        <v>-2161468</v>
      </c>
      <c r="I40" s="18" cm="1">
        <f t="array" ref="I40">MIN(IF(Capex_Actuals!B:B=Scenario_Modelling!A40,Capex_Actuals!D:D))</f>
        <v>45415</v>
      </c>
      <c r="J40" s="23">
        <v>0.25</v>
      </c>
      <c r="K40" s="2">
        <v>2</v>
      </c>
      <c r="L40" s="11">
        <f t="shared" si="1"/>
        <v>-1621101</v>
      </c>
      <c r="M40" s="11">
        <f t="shared" si="2"/>
        <v>5471325</v>
      </c>
      <c r="N40" s="18">
        <f t="shared" si="3"/>
        <v>45476</v>
      </c>
      <c r="O40" s="24">
        <f>AVERAGEIFS(Vendor_Analysis!G:G,Vendor_Analysis!B:B,Scenario_Modelling!A40)</f>
        <v>58.59375</v>
      </c>
      <c r="P40" s="18">
        <f t="shared" si="4"/>
        <v>45534.59375</v>
      </c>
      <c r="Q40" s="14">
        <f t="shared" si="5"/>
        <v>45534.59375</v>
      </c>
      <c r="R40" s="25">
        <f t="shared" si="6"/>
        <v>-1621101</v>
      </c>
      <c r="S40" s="11">
        <f t="shared" si="7"/>
        <v>-2161468</v>
      </c>
      <c r="T40" s="26">
        <f t="shared" si="8"/>
        <v>-0.43834646330388538</v>
      </c>
      <c r="U40" s="11">
        <f t="shared" si="9"/>
        <v>540367</v>
      </c>
      <c r="V40" s="26">
        <f t="shared" si="10"/>
        <v>0.10958661582597135</v>
      </c>
      <c r="W40" s="11">
        <f t="shared" si="11"/>
        <v>-1621101</v>
      </c>
      <c r="X40" s="15">
        <f t="shared" si="12"/>
        <v>-0.22856791174134211</v>
      </c>
    </row>
    <row r="41" spans="1:24" x14ac:dyDescent="0.25">
      <c r="A41" s="8" t="s">
        <v>1492</v>
      </c>
      <c r="B41" s="2" t="str">
        <f>Capex_Budgets!B40</f>
        <v>Platform - PRJ0039</v>
      </c>
      <c r="C41" s="2" t="str">
        <f>Capex_Budgets!G40</f>
        <v>ProprietaryHardware</v>
      </c>
      <c r="D41" s="17" t="str">
        <f>Capex_Budgets!C40</f>
        <v>DPT002</v>
      </c>
      <c r="E41" s="11">
        <f>Capex_Budgets!D40</f>
        <v>744594</v>
      </c>
      <c r="F41" s="18">
        <f>INDEX(Capex_Budgets!E:E,MATCH(Scenario_Modelling!A41,Capex_Budgets!A:A))</f>
        <v>45381</v>
      </c>
      <c r="G41" s="11">
        <f>SUMIF(Capex_Actuals!B:B,Scenario_Modelling!A41,Capex_Actuals!E:E)</f>
        <v>948728</v>
      </c>
      <c r="H41" s="11">
        <f t="shared" si="0"/>
        <v>-204134</v>
      </c>
      <c r="I41" s="18" cm="1">
        <f t="array" ref="I41">MIN(IF(Capex_Actuals!B:B=Scenario_Modelling!A41,Capex_Actuals!D:D))</f>
        <v>45394</v>
      </c>
      <c r="J41" s="23">
        <v>0.25</v>
      </c>
      <c r="K41" s="2">
        <v>2</v>
      </c>
      <c r="L41" s="11">
        <f t="shared" si="1"/>
        <v>-153100.5</v>
      </c>
      <c r="M41" s="11">
        <f t="shared" si="2"/>
        <v>795627.5</v>
      </c>
      <c r="N41" s="18">
        <f t="shared" si="3"/>
        <v>45455</v>
      </c>
      <c r="O41" s="24">
        <f>AVERAGEIFS(Vendor_Analysis!G:G,Vendor_Analysis!B:B,Scenario_Modelling!A41)</f>
        <v>57.857142857142854</v>
      </c>
      <c r="P41" s="18">
        <f t="shared" si="4"/>
        <v>45512.857142857145</v>
      </c>
      <c r="Q41" s="14">
        <f t="shared" si="5"/>
        <v>45512.857142857145</v>
      </c>
      <c r="R41" s="25">
        <f t="shared" si="6"/>
        <v>-153100.5</v>
      </c>
      <c r="S41" s="11">
        <f t="shared" si="7"/>
        <v>-204134</v>
      </c>
      <c r="T41" s="26">
        <f t="shared" si="8"/>
        <v>-0.27415477427967455</v>
      </c>
      <c r="U41" s="11">
        <f t="shared" si="9"/>
        <v>51033.5</v>
      </c>
      <c r="V41" s="26">
        <f t="shared" si="10"/>
        <v>6.8538693569918638E-2</v>
      </c>
      <c r="W41" s="11">
        <f t="shared" si="11"/>
        <v>-153100.5</v>
      </c>
      <c r="X41" s="15">
        <f t="shared" si="12"/>
        <v>-0.16137449300537141</v>
      </c>
    </row>
    <row r="42" spans="1:24" x14ac:dyDescent="0.25">
      <c r="A42" s="8" t="s">
        <v>1528</v>
      </c>
      <c r="B42" s="2" t="str">
        <f>Capex_Budgets!B41</f>
        <v>R&amp;D - PRJ0040</v>
      </c>
      <c r="C42" s="2" t="str">
        <f>Capex_Budgets!G41</f>
        <v>Hardware</v>
      </c>
      <c r="D42" s="17" t="str">
        <f>Capex_Budgets!C41</f>
        <v>DPT005</v>
      </c>
      <c r="E42" s="11">
        <f>Capex_Budgets!D41</f>
        <v>440960</v>
      </c>
      <c r="F42" s="18">
        <f>INDEX(Capex_Budgets!E:E,MATCH(Scenario_Modelling!A42,Capex_Budgets!A:A))</f>
        <v>45188</v>
      </c>
      <c r="G42" s="11">
        <f>SUMIF(Capex_Actuals!B:B,Scenario_Modelling!A42,Capex_Actuals!E:E)</f>
        <v>192039</v>
      </c>
      <c r="H42" s="11">
        <f t="shared" si="0"/>
        <v>248921</v>
      </c>
      <c r="I42" s="18" cm="1">
        <f t="array" ref="I42">MIN(IF(Capex_Actuals!B:B=Scenario_Modelling!A42,Capex_Actuals!D:D))</f>
        <v>45194</v>
      </c>
      <c r="J42" s="23">
        <v>0.25</v>
      </c>
      <c r="K42" s="2">
        <v>2</v>
      </c>
      <c r="L42" s="11">
        <f t="shared" si="1"/>
        <v>311151.25</v>
      </c>
      <c r="M42" s="11">
        <f t="shared" si="2"/>
        <v>503190.25</v>
      </c>
      <c r="N42" s="18">
        <f t="shared" si="3"/>
        <v>45255</v>
      </c>
      <c r="O42" s="24">
        <f>AVERAGEIFS(Vendor_Analysis!G:G,Vendor_Analysis!B:B,Scenario_Modelling!A42)</f>
        <v>53.4</v>
      </c>
      <c r="P42" s="18">
        <f t="shared" si="4"/>
        <v>45308.4</v>
      </c>
      <c r="Q42" s="14">
        <f t="shared" si="5"/>
        <v>45308.4</v>
      </c>
      <c r="R42" s="25">
        <f t="shared" si="6"/>
        <v>311151.25</v>
      </c>
      <c r="S42" s="11">
        <f t="shared" si="7"/>
        <v>248921</v>
      </c>
      <c r="T42" s="26">
        <f t="shared" si="8"/>
        <v>0.56449791364296076</v>
      </c>
      <c r="U42" s="11">
        <f t="shared" si="9"/>
        <v>62230.25</v>
      </c>
      <c r="V42" s="26">
        <f t="shared" si="10"/>
        <v>0.14112447841074019</v>
      </c>
      <c r="W42" s="11">
        <f t="shared" si="11"/>
        <v>311151.25</v>
      </c>
      <c r="X42" s="15">
        <f t="shared" si="12"/>
        <v>1.6202503137383553</v>
      </c>
    </row>
    <row r="43" spans="1:24" x14ac:dyDescent="0.25">
      <c r="A43" s="8" t="s">
        <v>1554</v>
      </c>
      <c r="B43" s="2" t="str">
        <f>Capex_Budgets!B42</f>
        <v>Infra - PRJ0041</v>
      </c>
      <c r="C43" s="2" t="str">
        <f>Capex_Budgets!G42</f>
        <v>R&amp;D</v>
      </c>
      <c r="D43" s="17" t="str">
        <f>Capex_Budgets!C42</f>
        <v>DPT003</v>
      </c>
      <c r="E43" s="11">
        <f>Capex_Budgets!D42</f>
        <v>6060365</v>
      </c>
      <c r="F43" s="18">
        <f>INDEX(Capex_Budgets!E:E,MATCH(Scenario_Modelling!A43,Capex_Budgets!A:A))</f>
        <v>45244</v>
      </c>
      <c r="G43" s="11">
        <f>SUMIF(Capex_Actuals!B:B,Scenario_Modelling!A43,Capex_Actuals!E:E)</f>
        <v>5702093</v>
      </c>
      <c r="H43" s="11">
        <f t="shared" si="0"/>
        <v>358272</v>
      </c>
      <c r="I43" s="18" cm="1">
        <f t="array" ref="I43">MIN(IF(Capex_Actuals!B:B=Scenario_Modelling!A43,Capex_Actuals!D:D))</f>
        <v>45251</v>
      </c>
      <c r="J43" s="23">
        <v>0.25</v>
      </c>
      <c r="K43" s="2">
        <v>2</v>
      </c>
      <c r="L43" s="11">
        <f t="shared" si="1"/>
        <v>447840</v>
      </c>
      <c r="M43" s="11">
        <f t="shared" si="2"/>
        <v>6149933</v>
      </c>
      <c r="N43" s="18">
        <f t="shared" si="3"/>
        <v>45312</v>
      </c>
      <c r="O43" s="24">
        <f>AVERAGEIFS(Vendor_Analysis!G:G,Vendor_Analysis!B:B,Scenario_Modelling!A43)</f>
        <v>52.2</v>
      </c>
      <c r="P43" s="18">
        <f t="shared" si="4"/>
        <v>45364.2</v>
      </c>
      <c r="Q43" s="14">
        <f t="shared" si="5"/>
        <v>45364.2</v>
      </c>
      <c r="R43" s="25">
        <f t="shared" si="6"/>
        <v>447840</v>
      </c>
      <c r="S43" s="11">
        <f t="shared" si="7"/>
        <v>358272</v>
      </c>
      <c r="T43" s="26">
        <f t="shared" si="8"/>
        <v>5.9117231387878451E-2</v>
      </c>
      <c r="U43" s="11">
        <f t="shared" si="9"/>
        <v>89568</v>
      </c>
      <c r="V43" s="26">
        <f t="shared" si="10"/>
        <v>1.4779307846969613E-2</v>
      </c>
      <c r="W43" s="11">
        <f t="shared" si="11"/>
        <v>447840</v>
      </c>
      <c r="X43" s="15">
        <f t="shared" si="12"/>
        <v>7.8539581869324124E-2</v>
      </c>
    </row>
    <row r="44" spans="1:24" x14ac:dyDescent="0.25">
      <c r="A44" s="8" t="s">
        <v>1580</v>
      </c>
      <c r="B44" s="2" t="str">
        <f>Capex_Budgets!B43</f>
        <v>Hybrid Clients - PRJ0042</v>
      </c>
      <c r="C44" s="2" t="str">
        <f>Capex_Budgets!G43</f>
        <v>R&amp;D</v>
      </c>
      <c r="D44" s="17" t="str">
        <f>Capex_Budgets!C43</f>
        <v>DPT003</v>
      </c>
      <c r="E44" s="11">
        <f>Capex_Budgets!D43</f>
        <v>1634764</v>
      </c>
      <c r="F44" s="18">
        <f>INDEX(Capex_Budgets!E:E,MATCH(Scenario_Modelling!A44,Capex_Budgets!A:A))</f>
        <v>45139</v>
      </c>
      <c r="G44" s="11">
        <f>SUMIF(Capex_Actuals!B:B,Scenario_Modelling!A44,Capex_Actuals!E:E)</f>
        <v>1688748</v>
      </c>
      <c r="H44" s="11">
        <f t="shared" si="0"/>
        <v>-53984</v>
      </c>
      <c r="I44" s="18" cm="1">
        <f t="array" ref="I44">MIN(IF(Capex_Actuals!B:B=Scenario_Modelling!A44,Capex_Actuals!D:D))</f>
        <v>45143</v>
      </c>
      <c r="J44" s="23">
        <v>0.25</v>
      </c>
      <c r="K44" s="2">
        <v>2</v>
      </c>
      <c r="L44" s="11">
        <f t="shared" si="1"/>
        <v>-40488</v>
      </c>
      <c r="M44" s="11">
        <f t="shared" si="2"/>
        <v>1648260</v>
      </c>
      <c r="N44" s="18">
        <f t="shared" si="3"/>
        <v>45204</v>
      </c>
      <c r="O44" s="24">
        <f>AVERAGEIFS(Vendor_Analysis!G:G,Vendor_Analysis!B:B,Scenario_Modelling!A44)</f>
        <v>51.25</v>
      </c>
      <c r="P44" s="18">
        <f t="shared" si="4"/>
        <v>45255.25</v>
      </c>
      <c r="Q44" s="14">
        <f t="shared" si="5"/>
        <v>45255.25</v>
      </c>
      <c r="R44" s="25">
        <f t="shared" si="6"/>
        <v>-40488</v>
      </c>
      <c r="S44" s="11">
        <f t="shared" si="7"/>
        <v>-53984</v>
      </c>
      <c r="T44" s="26">
        <f t="shared" si="8"/>
        <v>-3.3022503554029817E-2</v>
      </c>
      <c r="U44" s="11">
        <f t="shared" si="9"/>
        <v>13496</v>
      </c>
      <c r="V44" s="26">
        <f t="shared" si="10"/>
        <v>8.2556258885074542E-3</v>
      </c>
      <c r="W44" s="11">
        <f t="shared" si="11"/>
        <v>-40488</v>
      </c>
      <c r="X44" s="15">
        <f t="shared" si="12"/>
        <v>-2.3975157927648174E-2</v>
      </c>
    </row>
    <row r="45" spans="1:24" x14ac:dyDescent="0.25">
      <c r="A45" s="8" t="s">
        <v>1631</v>
      </c>
      <c r="B45" s="2" t="str">
        <f>Capex_Budgets!B44</f>
        <v>Platform - PRJ0043</v>
      </c>
      <c r="C45" s="2" t="str">
        <f>Capex_Budgets!G44</f>
        <v>DataCenter</v>
      </c>
      <c r="D45" s="17" t="str">
        <f>Capex_Budgets!C44</f>
        <v>DPT006</v>
      </c>
      <c r="E45" s="11">
        <f>Capex_Budgets!D44</f>
        <v>660433</v>
      </c>
      <c r="F45" s="18">
        <f>INDEX(Capex_Budgets!E:E,MATCH(Scenario_Modelling!A45,Capex_Budgets!A:A))</f>
        <v>45139</v>
      </c>
      <c r="G45" s="11">
        <f>SUMIF(Capex_Actuals!B:B,Scenario_Modelling!A45,Capex_Actuals!E:E)</f>
        <v>751721</v>
      </c>
      <c r="H45" s="11">
        <f t="shared" si="0"/>
        <v>-91288</v>
      </c>
      <c r="I45" s="18" cm="1">
        <f t="array" ref="I45">MIN(IF(Capex_Actuals!B:B=Scenario_Modelling!A45,Capex_Actuals!D:D))</f>
        <v>45141</v>
      </c>
      <c r="J45" s="23">
        <v>0.25</v>
      </c>
      <c r="K45" s="2">
        <v>2</v>
      </c>
      <c r="L45" s="11">
        <f t="shared" si="1"/>
        <v>-68466</v>
      </c>
      <c r="M45" s="11">
        <f t="shared" si="2"/>
        <v>683255</v>
      </c>
      <c r="N45" s="18">
        <f t="shared" si="3"/>
        <v>45202</v>
      </c>
      <c r="O45" s="24">
        <f>AVERAGEIFS(Vendor_Analysis!G:G,Vendor_Analysis!B:B,Scenario_Modelling!A45)</f>
        <v>55</v>
      </c>
      <c r="P45" s="18">
        <f t="shared" si="4"/>
        <v>45257</v>
      </c>
      <c r="Q45" s="14">
        <f t="shared" si="5"/>
        <v>45257</v>
      </c>
      <c r="R45" s="25">
        <f t="shared" si="6"/>
        <v>-68466</v>
      </c>
      <c r="S45" s="11">
        <f t="shared" si="7"/>
        <v>-91288</v>
      </c>
      <c r="T45" s="26">
        <f t="shared" si="8"/>
        <v>-0.13822446788697718</v>
      </c>
      <c r="U45" s="11">
        <f t="shared" si="9"/>
        <v>22822</v>
      </c>
      <c r="V45" s="26">
        <f t="shared" si="10"/>
        <v>3.4556116971744294E-2</v>
      </c>
      <c r="W45" s="11">
        <f t="shared" si="11"/>
        <v>-68466</v>
      </c>
      <c r="X45" s="15">
        <f t="shared" si="12"/>
        <v>-9.1079004045383855E-2</v>
      </c>
    </row>
    <row r="46" spans="1:24" x14ac:dyDescent="0.25">
      <c r="A46" s="8" t="s">
        <v>1652</v>
      </c>
      <c r="B46" s="2" t="str">
        <f>Capex_Budgets!B45</f>
        <v>Platform - PRJ0044</v>
      </c>
      <c r="C46" s="2" t="str">
        <f>Capex_Budgets!G45</f>
        <v>Storage</v>
      </c>
      <c r="D46" s="17" t="str">
        <f>Capex_Budgets!C45</f>
        <v>DPT001</v>
      </c>
      <c r="E46" s="11">
        <f>Capex_Budgets!D45</f>
        <v>3234592</v>
      </c>
      <c r="F46" s="18">
        <f>INDEX(Capex_Budgets!E:E,MATCH(Scenario_Modelling!A46,Capex_Budgets!A:A))</f>
        <v>45236</v>
      </c>
      <c r="G46" s="11">
        <f>SUMIF(Capex_Actuals!B:B,Scenario_Modelling!A46,Capex_Actuals!E:E)</f>
        <v>3421623</v>
      </c>
      <c r="H46" s="11">
        <f t="shared" si="0"/>
        <v>-187031</v>
      </c>
      <c r="I46" s="18" cm="1">
        <f t="array" ref="I46">MIN(IF(Capex_Actuals!B:B=Scenario_Modelling!A46,Capex_Actuals!D:D))</f>
        <v>45268</v>
      </c>
      <c r="J46" s="23">
        <v>0.25</v>
      </c>
      <c r="K46" s="2">
        <v>2</v>
      </c>
      <c r="L46" s="11">
        <f t="shared" si="1"/>
        <v>-140273.25</v>
      </c>
      <c r="M46" s="11">
        <f t="shared" si="2"/>
        <v>3281349.75</v>
      </c>
      <c r="N46" s="18">
        <f t="shared" si="3"/>
        <v>45330</v>
      </c>
      <c r="O46" s="24">
        <f>AVERAGEIFS(Vendor_Analysis!G:G,Vendor_Analysis!B:B,Scenario_Modelling!A46)</f>
        <v>56.71875</v>
      </c>
      <c r="P46" s="18">
        <f t="shared" si="4"/>
        <v>45386.71875</v>
      </c>
      <c r="Q46" s="14">
        <f t="shared" si="5"/>
        <v>45386.71875</v>
      </c>
      <c r="R46" s="25">
        <f t="shared" si="6"/>
        <v>-140273.25</v>
      </c>
      <c r="S46" s="11">
        <f t="shared" si="7"/>
        <v>-187031</v>
      </c>
      <c r="T46" s="26">
        <f t="shared" si="8"/>
        <v>-5.7822130271762251E-2</v>
      </c>
      <c r="U46" s="11">
        <f t="shared" si="9"/>
        <v>46757.75</v>
      </c>
      <c r="V46" s="26">
        <f t="shared" si="10"/>
        <v>1.4455532567940563E-2</v>
      </c>
      <c r="W46" s="11">
        <f t="shared" si="11"/>
        <v>-140273.25</v>
      </c>
      <c r="X46" s="15">
        <f t="shared" si="12"/>
        <v>-4.0996115001565046E-2</v>
      </c>
    </row>
    <row r="47" spans="1:24" x14ac:dyDescent="0.25">
      <c r="A47" s="8" t="s">
        <v>1685</v>
      </c>
      <c r="B47" s="2" t="str">
        <f>Capex_Budgets!B46</f>
        <v>Hybrid Clients - PRJ0045</v>
      </c>
      <c r="C47" s="2" t="str">
        <f>Capex_Budgets!G46</f>
        <v>Storage</v>
      </c>
      <c r="D47" s="17" t="str">
        <f>Capex_Budgets!C46</f>
        <v>DPT005</v>
      </c>
      <c r="E47" s="11">
        <f>Capex_Budgets!D46</f>
        <v>501071</v>
      </c>
      <c r="F47" s="18">
        <f>INDEX(Capex_Budgets!E:E,MATCH(Scenario_Modelling!A47,Capex_Budgets!A:A))</f>
        <v>45185</v>
      </c>
      <c r="G47" s="11">
        <f>SUMIF(Capex_Actuals!B:B,Scenario_Modelling!A47,Capex_Actuals!E:E)</f>
        <v>560878</v>
      </c>
      <c r="H47" s="11">
        <f t="shared" si="0"/>
        <v>-59807</v>
      </c>
      <c r="I47" s="18" cm="1">
        <f t="array" ref="I47">MIN(IF(Capex_Actuals!B:B=Scenario_Modelling!A47,Capex_Actuals!D:D))</f>
        <v>45203</v>
      </c>
      <c r="J47" s="23">
        <v>0.25</v>
      </c>
      <c r="K47" s="2">
        <v>2</v>
      </c>
      <c r="L47" s="11">
        <f t="shared" si="1"/>
        <v>-44855.25</v>
      </c>
      <c r="M47" s="11">
        <f t="shared" si="2"/>
        <v>516022.75</v>
      </c>
      <c r="N47" s="18">
        <f t="shared" si="3"/>
        <v>45264</v>
      </c>
      <c r="O47" s="24">
        <f>AVERAGEIFS(Vendor_Analysis!G:G,Vendor_Analysis!B:B,Scenario_Modelling!A47)</f>
        <v>56.4</v>
      </c>
      <c r="P47" s="18">
        <f t="shared" si="4"/>
        <v>45320.4</v>
      </c>
      <c r="Q47" s="14">
        <f t="shared" si="5"/>
        <v>45320.4</v>
      </c>
      <c r="R47" s="25">
        <f t="shared" si="6"/>
        <v>-44855.25</v>
      </c>
      <c r="S47" s="11">
        <f t="shared" si="7"/>
        <v>-59807</v>
      </c>
      <c r="T47" s="26">
        <f t="shared" si="8"/>
        <v>-0.11935833444761321</v>
      </c>
      <c r="U47" s="11">
        <f t="shared" si="9"/>
        <v>14951.75</v>
      </c>
      <c r="V47" s="26">
        <f t="shared" si="10"/>
        <v>2.9839583611903302E-2</v>
      </c>
      <c r="W47" s="11">
        <f t="shared" si="11"/>
        <v>-44855.25</v>
      </c>
      <c r="X47" s="15">
        <f t="shared" si="12"/>
        <v>-7.9973274045336065E-2</v>
      </c>
    </row>
  </sheetData>
  <mergeCells count="7">
    <mergeCell ref="Q1:R1"/>
    <mergeCell ref="S1:X1"/>
    <mergeCell ref="A1:D1"/>
    <mergeCell ref="E1:F1"/>
    <mergeCell ref="G1:I1"/>
    <mergeCell ref="J1:N1"/>
    <mergeCell ref="O1:P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00EF3-1F44-194E-86CE-3CD01D77E023}">
  <dimension ref="H3:I1914"/>
  <sheetViews>
    <sheetView topLeftCell="F1" workbookViewId="0">
      <selection activeCell="I13" sqref="I13"/>
    </sheetView>
  </sheetViews>
  <sheetFormatPr baseColWidth="10" defaultRowHeight="15" x14ac:dyDescent="0.2"/>
  <cols>
    <col min="3" max="3" width="19.1640625" bestFit="1" customWidth="1"/>
    <col min="7" max="7" width="10.83203125" customWidth="1"/>
    <col min="8" max="8" width="13.83203125" bestFit="1" customWidth="1"/>
    <col min="9" max="9" width="23.1640625" style="27" bestFit="1" customWidth="1"/>
  </cols>
  <sheetData>
    <row r="3" spans="8:9" ht="18" x14ac:dyDescent="0.25">
      <c r="H3" s="28" t="s">
        <v>2276</v>
      </c>
      <c r="I3" s="31" t="s">
        <v>2278</v>
      </c>
    </row>
    <row r="4" spans="8:9" ht="18" x14ac:dyDescent="0.25">
      <c r="H4" s="29" t="s">
        <v>1051</v>
      </c>
      <c r="I4" s="31">
        <v>5355988</v>
      </c>
    </row>
    <row r="5" spans="8:9" ht="18" x14ac:dyDescent="0.25">
      <c r="H5" s="30" t="s">
        <v>2279</v>
      </c>
      <c r="I5" s="31">
        <v>316686</v>
      </c>
    </row>
    <row r="6" spans="8:9" ht="18" x14ac:dyDescent="0.25">
      <c r="H6" s="30" t="s">
        <v>2280</v>
      </c>
      <c r="I6" s="31">
        <v>689475</v>
      </c>
    </row>
    <row r="7" spans="8:9" ht="18" x14ac:dyDescent="0.25">
      <c r="H7" s="30" t="s">
        <v>2281</v>
      </c>
      <c r="I7" s="31">
        <v>422599</v>
      </c>
    </row>
    <row r="8" spans="8:9" ht="18" x14ac:dyDescent="0.25">
      <c r="H8" s="30" t="s">
        <v>2282</v>
      </c>
      <c r="I8" s="31">
        <v>929093</v>
      </c>
    </row>
    <row r="9" spans="8:9" ht="18" x14ac:dyDescent="0.25">
      <c r="H9" s="30" t="s">
        <v>2283</v>
      </c>
      <c r="I9" s="31">
        <v>249299</v>
      </c>
    </row>
    <row r="10" spans="8:9" ht="18" x14ac:dyDescent="0.25">
      <c r="H10" s="30" t="s">
        <v>2284</v>
      </c>
      <c r="I10" s="31">
        <v>595062</v>
      </c>
    </row>
    <row r="11" spans="8:9" ht="18" x14ac:dyDescent="0.25">
      <c r="H11" s="30" t="s">
        <v>2285</v>
      </c>
      <c r="I11" s="31">
        <v>159424</v>
      </c>
    </row>
    <row r="12" spans="8:9" ht="18" x14ac:dyDescent="0.25">
      <c r="H12" s="30" t="s">
        <v>2286</v>
      </c>
      <c r="I12" s="31">
        <v>592147</v>
      </c>
    </row>
    <row r="13" spans="8:9" ht="18" x14ac:dyDescent="0.25">
      <c r="H13" s="30" t="s">
        <v>2287</v>
      </c>
      <c r="I13" s="31">
        <v>1402203</v>
      </c>
    </row>
    <row r="14" spans="8:9" ht="18" x14ac:dyDescent="0.25">
      <c r="H14" s="29" t="s">
        <v>2277</v>
      </c>
      <c r="I14" s="31">
        <v>5355988</v>
      </c>
    </row>
    <row r="15" spans="8:9" x14ac:dyDescent="0.2">
      <c r="I15"/>
    </row>
    <row r="16" spans="8:9" x14ac:dyDescent="0.2">
      <c r="I16"/>
    </row>
    <row r="17" spans="9:9" x14ac:dyDescent="0.2">
      <c r="I17"/>
    </row>
    <row r="18" spans="9:9" x14ac:dyDescent="0.2">
      <c r="I18"/>
    </row>
    <row r="19" spans="9:9" x14ac:dyDescent="0.2">
      <c r="I19"/>
    </row>
    <row r="20" spans="9:9" x14ac:dyDescent="0.2">
      <c r="I20"/>
    </row>
    <row r="21" spans="9:9" x14ac:dyDescent="0.2">
      <c r="I21"/>
    </row>
    <row r="22" spans="9:9" x14ac:dyDescent="0.2">
      <c r="I22"/>
    </row>
    <row r="23" spans="9:9" x14ac:dyDescent="0.2">
      <c r="I23"/>
    </row>
    <row r="24" spans="9:9" x14ac:dyDescent="0.2">
      <c r="I24"/>
    </row>
    <row r="25" spans="9:9" x14ac:dyDescent="0.2">
      <c r="I25"/>
    </row>
    <row r="26" spans="9:9" x14ac:dyDescent="0.2">
      <c r="I26"/>
    </row>
    <row r="27" spans="9:9" x14ac:dyDescent="0.2">
      <c r="I27"/>
    </row>
    <row r="28" spans="9:9" x14ac:dyDescent="0.2">
      <c r="I28"/>
    </row>
    <row r="29" spans="9:9" x14ac:dyDescent="0.2">
      <c r="I29"/>
    </row>
    <row r="30" spans="9:9" x14ac:dyDescent="0.2">
      <c r="I30"/>
    </row>
    <row r="31" spans="9:9" x14ac:dyDescent="0.2">
      <c r="I31"/>
    </row>
    <row r="32" spans="9:9" x14ac:dyDescent="0.2">
      <c r="I32"/>
    </row>
    <row r="33" spans="9:9" x14ac:dyDescent="0.2">
      <c r="I33"/>
    </row>
    <row r="34" spans="9:9" x14ac:dyDescent="0.2">
      <c r="I34"/>
    </row>
    <row r="35" spans="9:9" x14ac:dyDescent="0.2">
      <c r="I35"/>
    </row>
    <row r="36" spans="9:9" x14ac:dyDescent="0.2">
      <c r="I36"/>
    </row>
    <row r="37" spans="9:9" x14ac:dyDescent="0.2">
      <c r="I37"/>
    </row>
    <row r="38" spans="9:9" x14ac:dyDescent="0.2">
      <c r="I38"/>
    </row>
    <row r="39" spans="9:9" x14ac:dyDescent="0.2">
      <c r="I39"/>
    </row>
    <row r="40" spans="9:9" x14ac:dyDescent="0.2">
      <c r="I40"/>
    </row>
    <row r="41" spans="9:9" x14ac:dyDescent="0.2">
      <c r="I41"/>
    </row>
    <row r="42" spans="9:9" x14ac:dyDescent="0.2">
      <c r="I42"/>
    </row>
    <row r="43" spans="9:9" x14ac:dyDescent="0.2">
      <c r="I43"/>
    </row>
    <row r="44" spans="9:9" x14ac:dyDescent="0.2">
      <c r="I44"/>
    </row>
    <row r="45" spans="9:9" x14ac:dyDescent="0.2">
      <c r="I45"/>
    </row>
    <row r="46" spans="9:9" x14ac:dyDescent="0.2">
      <c r="I46"/>
    </row>
    <row r="47" spans="9:9" x14ac:dyDescent="0.2">
      <c r="I47"/>
    </row>
    <row r="48" spans="9:9" x14ac:dyDescent="0.2">
      <c r="I48"/>
    </row>
    <row r="49" spans="9:9" x14ac:dyDescent="0.2">
      <c r="I49"/>
    </row>
    <row r="50" spans="9:9" x14ac:dyDescent="0.2">
      <c r="I50"/>
    </row>
    <row r="51" spans="9:9" x14ac:dyDescent="0.2">
      <c r="I51"/>
    </row>
    <row r="52" spans="9:9" x14ac:dyDescent="0.2">
      <c r="I52"/>
    </row>
    <row r="53" spans="9:9" x14ac:dyDescent="0.2">
      <c r="I53"/>
    </row>
    <row r="54" spans="9:9" x14ac:dyDescent="0.2">
      <c r="I54"/>
    </row>
    <row r="55" spans="9:9" x14ac:dyDescent="0.2">
      <c r="I55"/>
    </row>
    <row r="56" spans="9:9" x14ac:dyDescent="0.2">
      <c r="I56"/>
    </row>
    <row r="57" spans="9:9" x14ac:dyDescent="0.2">
      <c r="I57"/>
    </row>
    <row r="58" spans="9:9" x14ac:dyDescent="0.2">
      <c r="I58"/>
    </row>
    <row r="59" spans="9:9" x14ac:dyDescent="0.2">
      <c r="I59"/>
    </row>
    <row r="60" spans="9:9" x14ac:dyDescent="0.2">
      <c r="I60"/>
    </row>
    <row r="61" spans="9:9" x14ac:dyDescent="0.2">
      <c r="I61"/>
    </row>
    <row r="62" spans="9:9" x14ac:dyDescent="0.2">
      <c r="I62"/>
    </row>
    <row r="63" spans="9:9" x14ac:dyDescent="0.2">
      <c r="I63"/>
    </row>
    <row r="64" spans="9:9" x14ac:dyDescent="0.2">
      <c r="I64"/>
    </row>
    <row r="65" spans="9:9" x14ac:dyDescent="0.2">
      <c r="I65"/>
    </row>
    <row r="66" spans="9:9" x14ac:dyDescent="0.2">
      <c r="I66"/>
    </row>
    <row r="67" spans="9:9" x14ac:dyDescent="0.2">
      <c r="I67"/>
    </row>
    <row r="68" spans="9:9" x14ac:dyDescent="0.2">
      <c r="I68"/>
    </row>
    <row r="69" spans="9:9" x14ac:dyDescent="0.2">
      <c r="I69"/>
    </row>
    <row r="70" spans="9:9" x14ac:dyDescent="0.2">
      <c r="I70"/>
    </row>
    <row r="71" spans="9:9" x14ac:dyDescent="0.2">
      <c r="I71"/>
    </row>
    <row r="72" spans="9:9" x14ac:dyDescent="0.2">
      <c r="I72"/>
    </row>
    <row r="73" spans="9:9" x14ac:dyDescent="0.2">
      <c r="I73"/>
    </row>
    <row r="74" spans="9:9" x14ac:dyDescent="0.2">
      <c r="I74"/>
    </row>
    <row r="75" spans="9:9" x14ac:dyDescent="0.2">
      <c r="I75"/>
    </row>
    <row r="76" spans="9:9" x14ac:dyDescent="0.2">
      <c r="I76"/>
    </row>
    <row r="77" spans="9:9" x14ac:dyDescent="0.2">
      <c r="I77"/>
    </row>
    <row r="78" spans="9:9" x14ac:dyDescent="0.2">
      <c r="I78"/>
    </row>
    <row r="79" spans="9:9" x14ac:dyDescent="0.2">
      <c r="I79"/>
    </row>
    <row r="80" spans="9:9" x14ac:dyDescent="0.2">
      <c r="I80"/>
    </row>
    <row r="81" spans="9:9" x14ac:dyDescent="0.2">
      <c r="I81"/>
    </row>
    <row r="82" spans="9:9" x14ac:dyDescent="0.2">
      <c r="I82"/>
    </row>
    <row r="83" spans="9:9" x14ac:dyDescent="0.2">
      <c r="I83"/>
    </row>
    <row r="84" spans="9:9" x14ac:dyDescent="0.2">
      <c r="I84"/>
    </row>
    <row r="85" spans="9:9" x14ac:dyDescent="0.2">
      <c r="I85"/>
    </row>
    <row r="86" spans="9:9" x14ac:dyDescent="0.2">
      <c r="I86"/>
    </row>
    <row r="87" spans="9:9" x14ac:dyDescent="0.2">
      <c r="I87"/>
    </row>
    <row r="88" spans="9:9" x14ac:dyDescent="0.2">
      <c r="I88"/>
    </row>
    <row r="89" spans="9:9" x14ac:dyDescent="0.2">
      <c r="I89"/>
    </row>
    <row r="90" spans="9:9" x14ac:dyDescent="0.2">
      <c r="I90"/>
    </row>
    <row r="91" spans="9:9" x14ac:dyDescent="0.2">
      <c r="I91"/>
    </row>
    <row r="92" spans="9:9" x14ac:dyDescent="0.2">
      <c r="I92"/>
    </row>
    <row r="93" spans="9:9" x14ac:dyDescent="0.2">
      <c r="I93"/>
    </row>
    <row r="94" spans="9:9" x14ac:dyDescent="0.2">
      <c r="I94"/>
    </row>
    <row r="95" spans="9:9" x14ac:dyDescent="0.2">
      <c r="I95"/>
    </row>
    <row r="96" spans="9:9" x14ac:dyDescent="0.2">
      <c r="I96"/>
    </row>
    <row r="97" spans="9:9" x14ac:dyDescent="0.2">
      <c r="I97"/>
    </row>
    <row r="98" spans="9:9" x14ac:dyDescent="0.2">
      <c r="I98"/>
    </row>
    <row r="99" spans="9:9" x14ac:dyDescent="0.2">
      <c r="I99"/>
    </row>
    <row r="100" spans="9:9" x14ac:dyDescent="0.2">
      <c r="I100"/>
    </row>
    <row r="101" spans="9:9" x14ac:dyDescent="0.2">
      <c r="I101"/>
    </row>
    <row r="102" spans="9:9" x14ac:dyDescent="0.2">
      <c r="I102"/>
    </row>
    <row r="103" spans="9:9" x14ac:dyDescent="0.2">
      <c r="I103"/>
    </row>
    <row r="104" spans="9:9" x14ac:dyDescent="0.2">
      <c r="I104"/>
    </row>
    <row r="105" spans="9:9" x14ac:dyDescent="0.2">
      <c r="I105"/>
    </row>
    <row r="106" spans="9:9" x14ac:dyDescent="0.2">
      <c r="I106"/>
    </row>
    <row r="107" spans="9:9" x14ac:dyDescent="0.2">
      <c r="I107"/>
    </row>
    <row r="108" spans="9:9" x14ac:dyDescent="0.2">
      <c r="I108"/>
    </row>
    <row r="109" spans="9:9" x14ac:dyDescent="0.2">
      <c r="I109"/>
    </row>
    <row r="110" spans="9:9" x14ac:dyDescent="0.2">
      <c r="I110"/>
    </row>
    <row r="111" spans="9:9" x14ac:dyDescent="0.2">
      <c r="I111"/>
    </row>
    <row r="112" spans="9:9" x14ac:dyDescent="0.2">
      <c r="I112"/>
    </row>
    <row r="113" spans="9:9" x14ac:dyDescent="0.2">
      <c r="I113"/>
    </row>
    <row r="114" spans="9:9" x14ac:dyDescent="0.2">
      <c r="I114"/>
    </row>
    <row r="115" spans="9:9" x14ac:dyDescent="0.2">
      <c r="I115"/>
    </row>
    <row r="116" spans="9:9" x14ac:dyDescent="0.2">
      <c r="I116"/>
    </row>
    <row r="117" spans="9:9" x14ac:dyDescent="0.2">
      <c r="I117"/>
    </row>
    <row r="118" spans="9:9" x14ac:dyDescent="0.2">
      <c r="I118"/>
    </row>
    <row r="119" spans="9:9" x14ac:dyDescent="0.2">
      <c r="I119"/>
    </row>
    <row r="120" spans="9:9" x14ac:dyDescent="0.2">
      <c r="I120"/>
    </row>
    <row r="121" spans="9:9" x14ac:dyDescent="0.2">
      <c r="I121"/>
    </row>
    <row r="122" spans="9:9" x14ac:dyDescent="0.2">
      <c r="I122"/>
    </row>
    <row r="123" spans="9:9" x14ac:dyDescent="0.2">
      <c r="I123"/>
    </row>
    <row r="124" spans="9:9" x14ac:dyDescent="0.2">
      <c r="I124"/>
    </row>
    <row r="125" spans="9:9" x14ac:dyDescent="0.2">
      <c r="I125"/>
    </row>
    <row r="126" spans="9:9" x14ac:dyDescent="0.2">
      <c r="I126"/>
    </row>
    <row r="127" spans="9:9" x14ac:dyDescent="0.2">
      <c r="I127"/>
    </row>
    <row r="128" spans="9:9" x14ac:dyDescent="0.2">
      <c r="I128"/>
    </row>
    <row r="129" spans="9:9" x14ac:dyDescent="0.2">
      <c r="I129"/>
    </row>
    <row r="130" spans="9:9" x14ac:dyDescent="0.2">
      <c r="I130"/>
    </row>
    <row r="131" spans="9:9" x14ac:dyDescent="0.2">
      <c r="I131"/>
    </row>
    <row r="132" spans="9:9" x14ac:dyDescent="0.2">
      <c r="I132"/>
    </row>
    <row r="133" spans="9:9" x14ac:dyDescent="0.2">
      <c r="I133"/>
    </row>
    <row r="134" spans="9:9" x14ac:dyDescent="0.2">
      <c r="I134"/>
    </row>
    <row r="135" spans="9:9" x14ac:dyDescent="0.2">
      <c r="I135"/>
    </row>
    <row r="136" spans="9:9" x14ac:dyDescent="0.2">
      <c r="I136"/>
    </row>
    <row r="137" spans="9:9" x14ac:dyDescent="0.2">
      <c r="I137"/>
    </row>
    <row r="138" spans="9:9" x14ac:dyDescent="0.2">
      <c r="I138"/>
    </row>
    <row r="139" spans="9:9" x14ac:dyDescent="0.2">
      <c r="I139"/>
    </row>
    <row r="140" spans="9:9" x14ac:dyDescent="0.2">
      <c r="I140"/>
    </row>
    <row r="141" spans="9:9" x14ac:dyDescent="0.2">
      <c r="I141"/>
    </row>
    <row r="142" spans="9:9" x14ac:dyDescent="0.2">
      <c r="I142"/>
    </row>
    <row r="143" spans="9:9" x14ac:dyDescent="0.2">
      <c r="I143"/>
    </row>
    <row r="144" spans="9:9" x14ac:dyDescent="0.2">
      <c r="I144"/>
    </row>
    <row r="145" spans="9:9" x14ac:dyDescent="0.2">
      <c r="I145"/>
    </row>
    <row r="146" spans="9:9" x14ac:dyDescent="0.2">
      <c r="I146"/>
    </row>
    <row r="147" spans="9:9" x14ac:dyDescent="0.2">
      <c r="I147"/>
    </row>
    <row r="148" spans="9:9" x14ac:dyDescent="0.2">
      <c r="I148"/>
    </row>
    <row r="149" spans="9:9" x14ac:dyDescent="0.2">
      <c r="I149"/>
    </row>
    <row r="150" spans="9:9" x14ac:dyDescent="0.2">
      <c r="I150"/>
    </row>
    <row r="151" spans="9:9" x14ac:dyDescent="0.2">
      <c r="I151"/>
    </row>
    <row r="152" spans="9:9" x14ac:dyDescent="0.2">
      <c r="I152"/>
    </row>
    <row r="153" spans="9:9" x14ac:dyDescent="0.2">
      <c r="I153"/>
    </row>
    <row r="154" spans="9:9" x14ac:dyDescent="0.2">
      <c r="I154"/>
    </row>
    <row r="155" spans="9:9" x14ac:dyDescent="0.2">
      <c r="I155"/>
    </row>
    <row r="156" spans="9:9" x14ac:dyDescent="0.2">
      <c r="I156"/>
    </row>
    <row r="157" spans="9:9" x14ac:dyDescent="0.2">
      <c r="I157"/>
    </row>
    <row r="158" spans="9:9" x14ac:dyDescent="0.2">
      <c r="I158"/>
    </row>
    <row r="159" spans="9:9" x14ac:dyDescent="0.2">
      <c r="I159"/>
    </row>
    <row r="160" spans="9:9" x14ac:dyDescent="0.2">
      <c r="I160"/>
    </row>
    <row r="161" spans="9:9" x14ac:dyDescent="0.2">
      <c r="I161"/>
    </row>
    <row r="162" spans="9:9" x14ac:dyDescent="0.2">
      <c r="I162"/>
    </row>
    <row r="163" spans="9:9" x14ac:dyDescent="0.2">
      <c r="I163"/>
    </row>
    <row r="164" spans="9:9" x14ac:dyDescent="0.2">
      <c r="I164"/>
    </row>
    <row r="165" spans="9:9" x14ac:dyDescent="0.2">
      <c r="I165"/>
    </row>
    <row r="166" spans="9:9" x14ac:dyDescent="0.2">
      <c r="I166"/>
    </row>
    <row r="167" spans="9:9" x14ac:dyDescent="0.2">
      <c r="I167"/>
    </row>
    <row r="168" spans="9:9" x14ac:dyDescent="0.2">
      <c r="I168"/>
    </row>
    <row r="169" spans="9:9" x14ac:dyDescent="0.2">
      <c r="I169"/>
    </row>
    <row r="170" spans="9:9" x14ac:dyDescent="0.2">
      <c r="I170"/>
    </row>
    <row r="171" spans="9:9" x14ac:dyDescent="0.2">
      <c r="I171"/>
    </row>
    <row r="172" spans="9:9" x14ac:dyDescent="0.2">
      <c r="I172"/>
    </row>
    <row r="173" spans="9:9" x14ac:dyDescent="0.2">
      <c r="I173"/>
    </row>
    <row r="174" spans="9:9" x14ac:dyDescent="0.2">
      <c r="I174"/>
    </row>
    <row r="175" spans="9:9" x14ac:dyDescent="0.2">
      <c r="I175"/>
    </row>
    <row r="176" spans="9:9" x14ac:dyDescent="0.2">
      <c r="I176"/>
    </row>
    <row r="177" spans="9:9" x14ac:dyDescent="0.2">
      <c r="I177"/>
    </row>
    <row r="178" spans="9:9" x14ac:dyDescent="0.2">
      <c r="I178"/>
    </row>
    <row r="179" spans="9:9" x14ac:dyDescent="0.2">
      <c r="I179"/>
    </row>
    <row r="180" spans="9:9" x14ac:dyDescent="0.2">
      <c r="I180"/>
    </row>
    <row r="181" spans="9:9" x14ac:dyDescent="0.2">
      <c r="I181"/>
    </row>
    <row r="182" spans="9:9" x14ac:dyDescent="0.2">
      <c r="I182"/>
    </row>
    <row r="183" spans="9:9" x14ac:dyDescent="0.2">
      <c r="I183"/>
    </row>
    <row r="184" spans="9:9" x14ac:dyDescent="0.2">
      <c r="I184"/>
    </row>
    <row r="185" spans="9:9" x14ac:dyDescent="0.2">
      <c r="I185"/>
    </row>
    <row r="186" spans="9:9" x14ac:dyDescent="0.2">
      <c r="I186"/>
    </row>
    <row r="187" spans="9:9" x14ac:dyDescent="0.2">
      <c r="I187"/>
    </row>
    <row r="188" spans="9:9" x14ac:dyDescent="0.2">
      <c r="I188"/>
    </row>
    <row r="189" spans="9:9" x14ac:dyDescent="0.2">
      <c r="I189"/>
    </row>
    <row r="190" spans="9:9" x14ac:dyDescent="0.2">
      <c r="I190"/>
    </row>
    <row r="191" spans="9:9" x14ac:dyDescent="0.2">
      <c r="I191"/>
    </row>
    <row r="192" spans="9:9" x14ac:dyDescent="0.2">
      <c r="I192"/>
    </row>
    <row r="193" spans="9:9" x14ac:dyDescent="0.2">
      <c r="I193"/>
    </row>
    <row r="194" spans="9:9" x14ac:dyDescent="0.2">
      <c r="I194"/>
    </row>
    <row r="195" spans="9:9" x14ac:dyDescent="0.2">
      <c r="I195"/>
    </row>
    <row r="196" spans="9:9" x14ac:dyDescent="0.2">
      <c r="I196"/>
    </row>
    <row r="197" spans="9:9" x14ac:dyDescent="0.2">
      <c r="I197"/>
    </row>
    <row r="198" spans="9:9" x14ac:dyDescent="0.2">
      <c r="I198"/>
    </row>
    <row r="199" spans="9:9" x14ac:dyDescent="0.2">
      <c r="I199"/>
    </row>
    <row r="200" spans="9:9" x14ac:dyDescent="0.2">
      <c r="I200"/>
    </row>
    <row r="201" spans="9:9" x14ac:dyDescent="0.2">
      <c r="I201"/>
    </row>
    <row r="202" spans="9:9" x14ac:dyDescent="0.2">
      <c r="I202"/>
    </row>
    <row r="203" spans="9:9" x14ac:dyDescent="0.2">
      <c r="I203"/>
    </row>
    <row r="204" spans="9:9" x14ac:dyDescent="0.2">
      <c r="I204"/>
    </row>
    <row r="205" spans="9:9" x14ac:dyDescent="0.2">
      <c r="I205"/>
    </row>
    <row r="206" spans="9:9" x14ac:dyDescent="0.2">
      <c r="I206"/>
    </row>
    <row r="207" spans="9:9" x14ac:dyDescent="0.2">
      <c r="I207"/>
    </row>
    <row r="208" spans="9:9" x14ac:dyDescent="0.2">
      <c r="I208"/>
    </row>
    <row r="209" spans="9:9" x14ac:dyDescent="0.2">
      <c r="I209"/>
    </row>
    <row r="210" spans="9:9" x14ac:dyDescent="0.2">
      <c r="I210"/>
    </row>
    <row r="211" spans="9:9" x14ac:dyDescent="0.2">
      <c r="I211"/>
    </row>
    <row r="212" spans="9:9" x14ac:dyDescent="0.2">
      <c r="I212"/>
    </row>
    <row r="213" spans="9:9" x14ac:dyDescent="0.2">
      <c r="I213"/>
    </row>
    <row r="214" spans="9:9" x14ac:dyDescent="0.2">
      <c r="I214"/>
    </row>
    <row r="215" spans="9:9" x14ac:dyDescent="0.2">
      <c r="I215"/>
    </row>
    <row r="216" spans="9:9" x14ac:dyDescent="0.2">
      <c r="I216"/>
    </row>
    <row r="217" spans="9:9" x14ac:dyDescent="0.2">
      <c r="I217"/>
    </row>
    <row r="218" spans="9:9" x14ac:dyDescent="0.2">
      <c r="I218"/>
    </row>
    <row r="219" spans="9:9" x14ac:dyDescent="0.2">
      <c r="I219"/>
    </row>
    <row r="220" spans="9:9" x14ac:dyDescent="0.2">
      <c r="I220"/>
    </row>
    <row r="221" spans="9:9" x14ac:dyDescent="0.2">
      <c r="I221"/>
    </row>
    <row r="222" spans="9:9" x14ac:dyDescent="0.2">
      <c r="I222"/>
    </row>
    <row r="223" spans="9:9" x14ac:dyDescent="0.2">
      <c r="I223"/>
    </row>
    <row r="224" spans="9:9" x14ac:dyDescent="0.2">
      <c r="I224"/>
    </row>
    <row r="225" spans="9:9" x14ac:dyDescent="0.2">
      <c r="I225"/>
    </row>
    <row r="226" spans="9:9" x14ac:dyDescent="0.2">
      <c r="I226"/>
    </row>
    <row r="227" spans="9:9" x14ac:dyDescent="0.2">
      <c r="I227"/>
    </row>
    <row r="228" spans="9:9" x14ac:dyDescent="0.2">
      <c r="I228"/>
    </row>
    <row r="229" spans="9:9" x14ac:dyDescent="0.2">
      <c r="I229"/>
    </row>
    <row r="230" spans="9:9" x14ac:dyDescent="0.2">
      <c r="I230"/>
    </row>
    <row r="231" spans="9:9" x14ac:dyDescent="0.2">
      <c r="I231"/>
    </row>
    <row r="232" spans="9:9" x14ac:dyDescent="0.2">
      <c r="I232"/>
    </row>
    <row r="233" spans="9:9" x14ac:dyDescent="0.2">
      <c r="I233"/>
    </row>
    <row r="234" spans="9:9" x14ac:dyDescent="0.2">
      <c r="I234"/>
    </row>
    <row r="235" spans="9:9" x14ac:dyDescent="0.2">
      <c r="I235"/>
    </row>
    <row r="236" spans="9:9" x14ac:dyDescent="0.2">
      <c r="I236"/>
    </row>
    <row r="237" spans="9:9" x14ac:dyDescent="0.2">
      <c r="I237"/>
    </row>
    <row r="238" spans="9:9" x14ac:dyDescent="0.2">
      <c r="I238"/>
    </row>
    <row r="239" spans="9:9" x14ac:dyDescent="0.2">
      <c r="I239"/>
    </row>
    <row r="240" spans="9:9" x14ac:dyDescent="0.2">
      <c r="I240"/>
    </row>
    <row r="241" spans="9:9" x14ac:dyDescent="0.2">
      <c r="I241"/>
    </row>
    <row r="242" spans="9:9" x14ac:dyDescent="0.2">
      <c r="I242"/>
    </row>
    <row r="243" spans="9:9" x14ac:dyDescent="0.2">
      <c r="I243"/>
    </row>
    <row r="244" spans="9:9" x14ac:dyDescent="0.2">
      <c r="I244"/>
    </row>
    <row r="245" spans="9:9" x14ac:dyDescent="0.2">
      <c r="I245"/>
    </row>
    <row r="246" spans="9:9" x14ac:dyDescent="0.2">
      <c r="I246"/>
    </row>
    <row r="247" spans="9:9" x14ac:dyDescent="0.2">
      <c r="I247"/>
    </row>
    <row r="248" spans="9:9" x14ac:dyDescent="0.2">
      <c r="I248"/>
    </row>
    <row r="249" spans="9:9" x14ac:dyDescent="0.2">
      <c r="I249"/>
    </row>
    <row r="250" spans="9:9" x14ac:dyDescent="0.2">
      <c r="I250"/>
    </row>
    <row r="251" spans="9:9" x14ac:dyDescent="0.2">
      <c r="I251"/>
    </row>
    <row r="252" spans="9:9" x14ac:dyDescent="0.2">
      <c r="I252"/>
    </row>
    <row r="253" spans="9:9" x14ac:dyDescent="0.2">
      <c r="I253"/>
    </row>
    <row r="254" spans="9:9" x14ac:dyDescent="0.2">
      <c r="I254"/>
    </row>
    <row r="255" spans="9:9" x14ac:dyDescent="0.2">
      <c r="I255"/>
    </row>
    <row r="256" spans="9:9" x14ac:dyDescent="0.2">
      <c r="I256"/>
    </row>
    <row r="257" spans="9:9" x14ac:dyDescent="0.2">
      <c r="I257"/>
    </row>
    <row r="258" spans="9:9" x14ac:dyDescent="0.2">
      <c r="I258"/>
    </row>
    <row r="259" spans="9:9" x14ac:dyDescent="0.2">
      <c r="I259"/>
    </row>
    <row r="260" spans="9:9" x14ac:dyDescent="0.2">
      <c r="I260"/>
    </row>
    <row r="261" spans="9:9" x14ac:dyDescent="0.2">
      <c r="I261"/>
    </row>
    <row r="262" spans="9:9" x14ac:dyDescent="0.2">
      <c r="I262"/>
    </row>
    <row r="263" spans="9:9" x14ac:dyDescent="0.2">
      <c r="I263"/>
    </row>
    <row r="264" spans="9:9" x14ac:dyDescent="0.2">
      <c r="I264"/>
    </row>
    <row r="265" spans="9:9" x14ac:dyDescent="0.2">
      <c r="I265"/>
    </row>
    <row r="266" spans="9:9" x14ac:dyDescent="0.2">
      <c r="I266"/>
    </row>
    <row r="267" spans="9:9" x14ac:dyDescent="0.2">
      <c r="I267"/>
    </row>
    <row r="268" spans="9:9" x14ac:dyDescent="0.2">
      <c r="I268"/>
    </row>
    <row r="269" spans="9:9" x14ac:dyDescent="0.2">
      <c r="I269"/>
    </row>
    <row r="270" spans="9:9" x14ac:dyDescent="0.2">
      <c r="I270"/>
    </row>
    <row r="271" spans="9:9" x14ac:dyDescent="0.2">
      <c r="I271"/>
    </row>
    <row r="272" spans="9:9" x14ac:dyDescent="0.2">
      <c r="I272"/>
    </row>
    <row r="273" spans="9:9" x14ac:dyDescent="0.2">
      <c r="I273"/>
    </row>
    <row r="274" spans="9:9" x14ac:dyDescent="0.2">
      <c r="I274"/>
    </row>
    <row r="275" spans="9:9" x14ac:dyDescent="0.2">
      <c r="I275"/>
    </row>
    <row r="276" spans="9:9" x14ac:dyDescent="0.2">
      <c r="I276"/>
    </row>
    <row r="277" spans="9:9" x14ac:dyDescent="0.2">
      <c r="I277"/>
    </row>
    <row r="278" spans="9:9" x14ac:dyDescent="0.2">
      <c r="I278"/>
    </row>
    <row r="279" spans="9:9" x14ac:dyDescent="0.2">
      <c r="I279"/>
    </row>
    <row r="280" spans="9:9" x14ac:dyDescent="0.2">
      <c r="I280"/>
    </row>
    <row r="281" spans="9:9" x14ac:dyDescent="0.2">
      <c r="I281"/>
    </row>
    <row r="282" spans="9:9" x14ac:dyDescent="0.2">
      <c r="I282"/>
    </row>
    <row r="283" spans="9:9" x14ac:dyDescent="0.2">
      <c r="I283"/>
    </row>
    <row r="284" spans="9:9" x14ac:dyDescent="0.2">
      <c r="I284"/>
    </row>
    <row r="285" spans="9:9" x14ac:dyDescent="0.2">
      <c r="I285"/>
    </row>
    <row r="286" spans="9:9" x14ac:dyDescent="0.2">
      <c r="I286"/>
    </row>
    <row r="287" spans="9:9" x14ac:dyDescent="0.2">
      <c r="I287"/>
    </row>
    <row r="288" spans="9:9" x14ac:dyDescent="0.2">
      <c r="I288"/>
    </row>
    <row r="289" spans="9:9" x14ac:dyDescent="0.2">
      <c r="I289"/>
    </row>
    <row r="290" spans="9:9" x14ac:dyDescent="0.2">
      <c r="I290"/>
    </row>
    <row r="291" spans="9:9" x14ac:dyDescent="0.2">
      <c r="I291"/>
    </row>
    <row r="292" spans="9:9" x14ac:dyDescent="0.2">
      <c r="I292"/>
    </row>
    <row r="293" spans="9:9" x14ac:dyDescent="0.2">
      <c r="I293"/>
    </row>
    <row r="294" spans="9:9" x14ac:dyDescent="0.2">
      <c r="I294"/>
    </row>
    <row r="295" spans="9:9" x14ac:dyDescent="0.2">
      <c r="I295"/>
    </row>
    <row r="296" spans="9:9" x14ac:dyDescent="0.2">
      <c r="I296"/>
    </row>
    <row r="297" spans="9:9" x14ac:dyDescent="0.2">
      <c r="I297"/>
    </row>
    <row r="298" spans="9:9" x14ac:dyDescent="0.2">
      <c r="I298"/>
    </row>
    <row r="299" spans="9:9" x14ac:dyDescent="0.2">
      <c r="I299"/>
    </row>
    <row r="300" spans="9:9" x14ac:dyDescent="0.2">
      <c r="I300"/>
    </row>
    <row r="301" spans="9:9" x14ac:dyDescent="0.2">
      <c r="I301"/>
    </row>
    <row r="302" spans="9:9" x14ac:dyDescent="0.2">
      <c r="I302"/>
    </row>
    <row r="303" spans="9:9" x14ac:dyDescent="0.2">
      <c r="I303"/>
    </row>
    <row r="304" spans="9:9" x14ac:dyDescent="0.2">
      <c r="I304"/>
    </row>
    <row r="305" spans="9:9" x14ac:dyDescent="0.2">
      <c r="I305"/>
    </row>
    <row r="306" spans="9:9" x14ac:dyDescent="0.2">
      <c r="I306"/>
    </row>
    <row r="307" spans="9:9" x14ac:dyDescent="0.2">
      <c r="I307"/>
    </row>
    <row r="308" spans="9:9" x14ac:dyDescent="0.2">
      <c r="I308"/>
    </row>
    <row r="309" spans="9:9" x14ac:dyDescent="0.2">
      <c r="I309"/>
    </row>
    <row r="310" spans="9:9" x14ac:dyDescent="0.2">
      <c r="I310"/>
    </row>
    <row r="311" spans="9:9" x14ac:dyDescent="0.2">
      <c r="I311"/>
    </row>
    <row r="312" spans="9:9" x14ac:dyDescent="0.2">
      <c r="I312"/>
    </row>
    <row r="313" spans="9:9" x14ac:dyDescent="0.2">
      <c r="I313"/>
    </row>
    <row r="314" spans="9:9" x14ac:dyDescent="0.2">
      <c r="I314"/>
    </row>
    <row r="315" spans="9:9" x14ac:dyDescent="0.2">
      <c r="I315"/>
    </row>
    <row r="316" spans="9:9" x14ac:dyDescent="0.2">
      <c r="I316"/>
    </row>
    <row r="317" spans="9:9" x14ac:dyDescent="0.2">
      <c r="I317"/>
    </row>
    <row r="318" spans="9:9" x14ac:dyDescent="0.2">
      <c r="I318"/>
    </row>
    <row r="319" spans="9:9" x14ac:dyDescent="0.2">
      <c r="I319"/>
    </row>
    <row r="320" spans="9:9" x14ac:dyDescent="0.2">
      <c r="I320"/>
    </row>
    <row r="321" spans="9:9" x14ac:dyDescent="0.2">
      <c r="I321"/>
    </row>
    <row r="322" spans="9:9" x14ac:dyDescent="0.2">
      <c r="I322"/>
    </row>
    <row r="323" spans="9:9" x14ac:dyDescent="0.2">
      <c r="I323"/>
    </row>
    <row r="324" spans="9:9" x14ac:dyDescent="0.2">
      <c r="I324"/>
    </row>
    <row r="325" spans="9:9" x14ac:dyDescent="0.2">
      <c r="I325"/>
    </row>
    <row r="326" spans="9:9" x14ac:dyDescent="0.2">
      <c r="I326"/>
    </row>
    <row r="327" spans="9:9" x14ac:dyDescent="0.2">
      <c r="I327"/>
    </row>
    <row r="328" spans="9:9" x14ac:dyDescent="0.2">
      <c r="I328"/>
    </row>
    <row r="329" spans="9:9" x14ac:dyDescent="0.2">
      <c r="I329"/>
    </row>
    <row r="330" spans="9:9" x14ac:dyDescent="0.2">
      <c r="I330"/>
    </row>
    <row r="331" spans="9:9" x14ac:dyDescent="0.2">
      <c r="I331"/>
    </row>
    <row r="332" spans="9:9" x14ac:dyDescent="0.2">
      <c r="I332"/>
    </row>
    <row r="333" spans="9:9" x14ac:dyDescent="0.2">
      <c r="I333"/>
    </row>
    <row r="334" spans="9:9" x14ac:dyDescent="0.2">
      <c r="I334"/>
    </row>
    <row r="335" spans="9:9" x14ac:dyDescent="0.2">
      <c r="I335"/>
    </row>
    <row r="336" spans="9:9" x14ac:dyDescent="0.2">
      <c r="I336"/>
    </row>
    <row r="337" spans="9:9" x14ac:dyDescent="0.2">
      <c r="I337"/>
    </row>
    <row r="338" spans="9:9" x14ac:dyDescent="0.2">
      <c r="I338"/>
    </row>
    <row r="339" spans="9:9" x14ac:dyDescent="0.2">
      <c r="I339"/>
    </row>
    <row r="340" spans="9:9" x14ac:dyDescent="0.2">
      <c r="I340"/>
    </row>
    <row r="341" spans="9:9" x14ac:dyDescent="0.2">
      <c r="I341"/>
    </row>
    <row r="342" spans="9:9" x14ac:dyDescent="0.2">
      <c r="I342"/>
    </row>
    <row r="343" spans="9:9" x14ac:dyDescent="0.2">
      <c r="I343"/>
    </row>
    <row r="344" spans="9:9" x14ac:dyDescent="0.2">
      <c r="I344"/>
    </row>
    <row r="345" spans="9:9" x14ac:dyDescent="0.2">
      <c r="I345"/>
    </row>
    <row r="346" spans="9:9" x14ac:dyDescent="0.2">
      <c r="I346"/>
    </row>
    <row r="347" spans="9:9" x14ac:dyDescent="0.2">
      <c r="I347"/>
    </row>
    <row r="348" spans="9:9" x14ac:dyDescent="0.2">
      <c r="I348"/>
    </row>
    <row r="349" spans="9:9" x14ac:dyDescent="0.2">
      <c r="I349"/>
    </row>
    <row r="350" spans="9:9" x14ac:dyDescent="0.2">
      <c r="I350"/>
    </row>
    <row r="351" spans="9:9" x14ac:dyDescent="0.2">
      <c r="I351"/>
    </row>
    <row r="352" spans="9:9" x14ac:dyDescent="0.2">
      <c r="I352"/>
    </row>
    <row r="353" spans="9:9" x14ac:dyDescent="0.2">
      <c r="I353"/>
    </row>
    <row r="354" spans="9:9" x14ac:dyDescent="0.2">
      <c r="I354"/>
    </row>
    <row r="355" spans="9:9" x14ac:dyDescent="0.2">
      <c r="I355"/>
    </row>
    <row r="356" spans="9:9" x14ac:dyDescent="0.2">
      <c r="I356"/>
    </row>
    <row r="357" spans="9:9" x14ac:dyDescent="0.2">
      <c r="I357"/>
    </row>
    <row r="358" spans="9:9" x14ac:dyDescent="0.2">
      <c r="I358"/>
    </row>
    <row r="359" spans="9:9" x14ac:dyDescent="0.2">
      <c r="I359"/>
    </row>
    <row r="360" spans="9:9" x14ac:dyDescent="0.2">
      <c r="I360"/>
    </row>
    <row r="361" spans="9:9" x14ac:dyDescent="0.2">
      <c r="I361"/>
    </row>
    <row r="362" spans="9:9" x14ac:dyDescent="0.2">
      <c r="I362"/>
    </row>
    <row r="363" spans="9:9" x14ac:dyDescent="0.2">
      <c r="I363"/>
    </row>
    <row r="364" spans="9:9" x14ac:dyDescent="0.2">
      <c r="I364"/>
    </row>
    <row r="365" spans="9:9" x14ac:dyDescent="0.2">
      <c r="I365"/>
    </row>
    <row r="366" spans="9:9" x14ac:dyDescent="0.2">
      <c r="I366"/>
    </row>
    <row r="367" spans="9:9" x14ac:dyDescent="0.2">
      <c r="I367"/>
    </row>
    <row r="368" spans="9:9" x14ac:dyDescent="0.2">
      <c r="I368"/>
    </row>
    <row r="369" spans="9:9" x14ac:dyDescent="0.2">
      <c r="I369"/>
    </row>
    <row r="370" spans="9:9" x14ac:dyDescent="0.2">
      <c r="I370"/>
    </row>
    <row r="371" spans="9:9" x14ac:dyDescent="0.2">
      <c r="I371"/>
    </row>
    <row r="372" spans="9:9" x14ac:dyDescent="0.2">
      <c r="I372"/>
    </row>
    <row r="373" spans="9:9" x14ac:dyDescent="0.2">
      <c r="I373"/>
    </row>
    <row r="374" spans="9:9" x14ac:dyDescent="0.2">
      <c r="I374"/>
    </row>
    <row r="375" spans="9:9" x14ac:dyDescent="0.2">
      <c r="I375"/>
    </row>
    <row r="376" spans="9:9" x14ac:dyDescent="0.2">
      <c r="I376"/>
    </row>
    <row r="377" spans="9:9" x14ac:dyDescent="0.2">
      <c r="I377"/>
    </row>
    <row r="378" spans="9:9" x14ac:dyDescent="0.2">
      <c r="I378"/>
    </row>
    <row r="379" spans="9:9" x14ac:dyDescent="0.2">
      <c r="I379"/>
    </row>
    <row r="380" spans="9:9" x14ac:dyDescent="0.2">
      <c r="I380"/>
    </row>
    <row r="381" spans="9:9" x14ac:dyDescent="0.2">
      <c r="I381"/>
    </row>
    <row r="382" spans="9:9" x14ac:dyDescent="0.2">
      <c r="I382"/>
    </row>
    <row r="383" spans="9:9" x14ac:dyDescent="0.2">
      <c r="I383"/>
    </row>
    <row r="384" spans="9:9" x14ac:dyDescent="0.2">
      <c r="I384"/>
    </row>
    <row r="385" spans="9:9" x14ac:dyDescent="0.2">
      <c r="I385"/>
    </row>
    <row r="386" spans="9:9" x14ac:dyDescent="0.2">
      <c r="I386"/>
    </row>
    <row r="387" spans="9:9" x14ac:dyDescent="0.2">
      <c r="I387"/>
    </row>
    <row r="388" spans="9:9" x14ac:dyDescent="0.2">
      <c r="I388"/>
    </row>
    <row r="389" spans="9:9" x14ac:dyDescent="0.2">
      <c r="I389"/>
    </row>
    <row r="390" spans="9:9" x14ac:dyDescent="0.2">
      <c r="I390"/>
    </row>
    <row r="391" spans="9:9" x14ac:dyDescent="0.2">
      <c r="I391"/>
    </row>
    <row r="392" spans="9:9" x14ac:dyDescent="0.2">
      <c r="I392"/>
    </row>
    <row r="393" spans="9:9" x14ac:dyDescent="0.2">
      <c r="I393"/>
    </row>
    <row r="394" spans="9:9" x14ac:dyDescent="0.2">
      <c r="I394"/>
    </row>
    <row r="395" spans="9:9" x14ac:dyDescent="0.2">
      <c r="I395"/>
    </row>
    <row r="396" spans="9:9" x14ac:dyDescent="0.2">
      <c r="I396"/>
    </row>
    <row r="397" spans="9:9" x14ac:dyDescent="0.2">
      <c r="I397"/>
    </row>
    <row r="398" spans="9:9" x14ac:dyDescent="0.2">
      <c r="I398"/>
    </row>
    <row r="399" spans="9:9" x14ac:dyDescent="0.2">
      <c r="I399"/>
    </row>
    <row r="400" spans="9:9" x14ac:dyDescent="0.2">
      <c r="I400"/>
    </row>
    <row r="401" spans="9:9" x14ac:dyDescent="0.2">
      <c r="I401"/>
    </row>
    <row r="402" spans="9:9" x14ac:dyDescent="0.2">
      <c r="I402"/>
    </row>
    <row r="403" spans="9:9" x14ac:dyDescent="0.2">
      <c r="I403"/>
    </row>
    <row r="404" spans="9:9" x14ac:dyDescent="0.2">
      <c r="I404"/>
    </row>
    <row r="405" spans="9:9" x14ac:dyDescent="0.2">
      <c r="I405"/>
    </row>
    <row r="406" spans="9:9" x14ac:dyDescent="0.2">
      <c r="I406"/>
    </row>
    <row r="407" spans="9:9" x14ac:dyDescent="0.2">
      <c r="I407"/>
    </row>
    <row r="408" spans="9:9" x14ac:dyDescent="0.2">
      <c r="I408"/>
    </row>
    <row r="409" spans="9:9" x14ac:dyDescent="0.2">
      <c r="I409"/>
    </row>
    <row r="410" spans="9:9" x14ac:dyDescent="0.2">
      <c r="I410"/>
    </row>
    <row r="411" spans="9:9" x14ac:dyDescent="0.2">
      <c r="I411"/>
    </row>
    <row r="412" spans="9:9" x14ac:dyDescent="0.2">
      <c r="I412"/>
    </row>
    <row r="413" spans="9:9" x14ac:dyDescent="0.2">
      <c r="I413"/>
    </row>
    <row r="414" spans="9:9" x14ac:dyDescent="0.2">
      <c r="I414"/>
    </row>
    <row r="415" spans="9:9" x14ac:dyDescent="0.2">
      <c r="I415"/>
    </row>
    <row r="416" spans="9:9" x14ac:dyDescent="0.2">
      <c r="I416"/>
    </row>
    <row r="417" spans="9:9" x14ac:dyDescent="0.2">
      <c r="I417"/>
    </row>
    <row r="418" spans="9:9" x14ac:dyDescent="0.2">
      <c r="I418"/>
    </row>
    <row r="419" spans="9:9" x14ac:dyDescent="0.2">
      <c r="I419"/>
    </row>
    <row r="420" spans="9:9" x14ac:dyDescent="0.2">
      <c r="I420"/>
    </row>
    <row r="421" spans="9:9" x14ac:dyDescent="0.2">
      <c r="I421"/>
    </row>
    <row r="422" spans="9:9" x14ac:dyDescent="0.2">
      <c r="I422"/>
    </row>
    <row r="423" spans="9:9" x14ac:dyDescent="0.2">
      <c r="I423"/>
    </row>
    <row r="424" spans="9:9" x14ac:dyDescent="0.2">
      <c r="I424"/>
    </row>
    <row r="425" spans="9:9" x14ac:dyDescent="0.2">
      <c r="I425"/>
    </row>
    <row r="426" spans="9:9" x14ac:dyDescent="0.2">
      <c r="I426"/>
    </row>
    <row r="427" spans="9:9" x14ac:dyDescent="0.2">
      <c r="I427"/>
    </row>
    <row r="428" spans="9:9" x14ac:dyDescent="0.2">
      <c r="I428"/>
    </row>
    <row r="429" spans="9:9" x14ac:dyDescent="0.2">
      <c r="I429"/>
    </row>
    <row r="430" spans="9:9" x14ac:dyDescent="0.2">
      <c r="I430"/>
    </row>
    <row r="431" spans="9:9" x14ac:dyDescent="0.2">
      <c r="I431"/>
    </row>
    <row r="432" spans="9:9" x14ac:dyDescent="0.2">
      <c r="I432"/>
    </row>
    <row r="433" spans="9:9" x14ac:dyDescent="0.2">
      <c r="I433"/>
    </row>
    <row r="434" spans="9:9" x14ac:dyDescent="0.2">
      <c r="I434"/>
    </row>
    <row r="435" spans="9:9" x14ac:dyDescent="0.2">
      <c r="I435"/>
    </row>
    <row r="436" spans="9:9" x14ac:dyDescent="0.2">
      <c r="I436"/>
    </row>
    <row r="437" spans="9:9" x14ac:dyDescent="0.2">
      <c r="I437"/>
    </row>
    <row r="438" spans="9:9" x14ac:dyDescent="0.2">
      <c r="I438"/>
    </row>
    <row r="439" spans="9:9" x14ac:dyDescent="0.2">
      <c r="I439"/>
    </row>
    <row r="440" spans="9:9" x14ac:dyDescent="0.2">
      <c r="I440"/>
    </row>
    <row r="441" spans="9:9" x14ac:dyDescent="0.2">
      <c r="I441"/>
    </row>
    <row r="442" spans="9:9" x14ac:dyDescent="0.2">
      <c r="I442"/>
    </row>
    <row r="443" spans="9:9" x14ac:dyDescent="0.2">
      <c r="I443"/>
    </row>
    <row r="444" spans="9:9" x14ac:dyDescent="0.2">
      <c r="I444"/>
    </row>
    <row r="445" spans="9:9" x14ac:dyDescent="0.2">
      <c r="I445"/>
    </row>
    <row r="446" spans="9:9" x14ac:dyDescent="0.2">
      <c r="I446"/>
    </row>
    <row r="447" spans="9:9" x14ac:dyDescent="0.2">
      <c r="I447"/>
    </row>
    <row r="448" spans="9:9" x14ac:dyDescent="0.2">
      <c r="I448"/>
    </row>
    <row r="449" spans="9:9" x14ac:dyDescent="0.2">
      <c r="I449"/>
    </row>
    <row r="450" spans="9:9" x14ac:dyDescent="0.2">
      <c r="I450"/>
    </row>
    <row r="451" spans="9:9" x14ac:dyDescent="0.2">
      <c r="I451"/>
    </row>
    <row r="452" spans="9:9" x14ac:dyDescent="0.2">
      <c r="I452"/>
    </row>
    <row r="453" spans="9:9" x14ac:dyDescent="0.2">
      <c r="I453"/>
    </row>
    <row r="454" spans="9:9" x14ac:dyDescent="0.2">
      <c r="I454"/>
    </row>
    <row r="455" spans="9:9" x14ac:dyDescent="0.2">
      <c r="I455"/>
    </row>
    <row r="456" spans="9:9" x14ac:dyDescent="0.2">
      <c r="I456"/>
    </row>
    <row r="457" spans="9:9" x14ac:dyDescent="0.2">
      <c r="I457"/>
    </row>
    <row r="458" spans="9:9" x14ac:dyDescent="0.2">
      <c r="I458"/>
    </row>
    <row r="459" spans="9:9" x14ac:dyDescent="0.2">
      <c r="I459"/>
    </row>
    <row r="460" spans="9:9" x14ac:dyDescent="0.2">
      <c r="I460"/>
    </row>
    <row r="461" spans="9:9" x14ac:dyDescent="0.2">
      <c r="I461"/>
    </row>
    <row r="462" spans="9:9" x14ac:dyDescent="0.2">
      <c r="I462"/>
    </row>
    <row r="463" spans="9:9" x14ac:dyDescent="0.2">
      <c r="I463"/>
    </row>
    <row r="464" spans="9:9" x14ac:dyDescent="0.2">
      <c r="I464"/>
    </row>
    <row r="465" spans="9:9" x14ac:dyDescent="0.2">
      <c r="I465"/>
    </row>
    <row r="466" spans="9:9" x14ac:dyDescent="0.2">
      <c r="I466"/>
    </row>
    <row r="467" spans="9:9" x14ac:dyDescent="0.2">
      <c r="I467"/>
    </row>
    <row r="468" spans="9:9" x14ac:dyDescent="0.2">
      <c r="I468"/>
    </row>
    <row r="469" spans="9:9" x14ac:dyDescent="0.2">
      <c r="I469"/>
    </row>
    <row r="470" spans="9:9" x14ac:dyDescent="0.2">
      <c r="I470"/>
    </row>
    <row r="471" spans="9:9" x14ac:dyDescent="0.2">
      <c r="I471"/>
    </row>
    <row r="472" spans="9:9" x14ac:dyDescent="0.2">
      <c r="I472"/>
    </row>
    <row r="473" spans="9:9" x14ac:dyDescent="0.2">
      <c r="I473"/>
    </row>
    <row r="474" spans="9:9" x14ac:dyDescent="0.2">
      <c r="I474"/>
    </row>
    <row r="475" spans="9:9" x14ac:dyDescent="0.2">
      <c r="I475"/>
    </row>
    <row r="476" spans="9:9" x14ac:dyDescent="0.2">
      <c r="I476"/>
    </row>
    <row r="477" spans="9:9" x14ac:dyDescent="0.2">
      <c r="I477"/>
    </row>
    <row r="478" spans="9:9" x14ac:dyDescent="0.2">
      <c r="I478"/>
    </row>
    <row r="479" spans="9:9" x14ac:dyDescent="0.2">
      <c r="I479"/>
    </row>
    <row r="480" spans="9:9" x14ac:dyDescent="0.2">
      <c r="I480"/>
    </row>
    <row r="481" spans="9:9" x14ac:dyDescent="0.2">
      <c r="I481"/>
    </row>
    <row r="482" spans="9:9" x14ac:dyDescent="0.2">
      <c r="I482"/>
    </row>
    <row r="483" spans="9:9" x14ac:dyDescent="0.2">
      <c r="I483"/>
    </row>
    <row r="484" spans="9:9" x14ac:dyDescent="0.2">
      <c r="I484"/>
    </row>
    <row r="485" spans="9:9" x14ac:dyDescent="0.2">
      <c r="I485"/>
    </row>
    <row r="486" spans="9:9" x14ac:dyDescent="0.2">
      <c r="I486"/>
    </row>
    <row r="487" spans="9:9" x14ac:dyDescent="0.2">
      <c r="I487"/>
    </row>
    <row r="488" spans="9:9" x14ac:dyDescent="0.2">
      <c r="I488"/>
    </row>
    <row r="489" spans="9:9" x14ac:dyDescent="0.2">
      <c r="I489"/>
    </row>
    <row r="490" spans="9:9" x14ac:dyDescent="0.2">
      <c r="I490"/>
    </row>
    <row r="491" spans="9:9" x14ac:dyDescent="0.2">
      <c r="I491"/>
    </row>
    <row r="492" spans="9:9" x14ac:dyDescent="0.2">
      <c r="I492"/>
    </row>
    <row r="493" spans="9:9" x14ac:dyDescent="0.2">
      <c r="I493"/>
    </row>
    <row r="494" spans="9:9" x14ac:dyDescent="0.2">
      <c r="I494"/>
    </row>
    <row r="495" spans="9:9" x14ac:dyDescent="0.2">
      <c r="I495"/>
    </row>
    <row r="496" spans="9:9" x14ac:dyDescent="0.2">
      <c r="I496"/>
    </row>
    <row r="497" spans="9:9" x14ac:dyDescent="0.2">
      <c r="I497"/>
    </row>
    <row r="498" spans="9:9" x14ac:dyDescent="0.2">
      <c r="I498"/>
    </row>
    <row r="499" spans="9:9" x14ac:dyDescent="0.2">
      <c r="I499"/>
    </row>
    <row r="500" spans="9:9" x14ac:dyDescent="0.2">
      <c r="I500"/>
    </row>
    <row r="501" spans="9:9" x14ac:dyDescent="0.2">
      <c r="I501"/>
    </row>
    <row r="502" spans="9:9" x14ac:dyDescent="0.2">
      <c r="I502"/>
    </row>
    <row r="503" spans="9:9" x14ac:dyDescent="0.2">
      <c r="I503"/>
    </row>
    <row r="504" spans="9:9" x14ac:dyDescent="0.2">
      <c r="I504"/>
    </row>
    <row r="505" spans="9:9" x14ac:dyDescent="0.2">
      <c r="I505"/>
    </row>
    <row r="506" spans="9:9" x14ac:dyDescent="0.2">
      <c r="I506"/>
    </row>
    <row r="507" spans="9:9" x14ac:dyDescent="0.2">
      <c r="I507"/>
    </row>
    <row r="508" spans="9:9" x14ac:dyDescent="0.2">
      <c r="I508"/>
    </row>
    <row r="509" spans="9:9" x14ac:dyDescent="0.2">
      <c r="I509"/>
    </row>
    <row r="510" spans="9:9" x14ac:dyDescent="0.2">
      <c r="I510"/>
    </row>
    <row r="511" spans="9:9" x14ac:dyDescent="0.2">
      <c r="I511"/>
    </row>
    <row r="512" spans="9:9" x14ac:dyDescent="0.2">
      <c r="I512"/>
    </row>
    <row r="513" spans="9:9" x14ac:dyDescent="0.2">
      <c r="I513"/>
    </row>
    <row r="514" spans="9:9" x14ac:dyDescent="0.2">
      <c r="I514"/>
    </row>
    <row r="515" spans="9:9" x14ac:dyDescent="0.2">
      <c r="I515"/>
    </row>
    <row r="516" spans="9:9" x14ac:dyDescent="0.2">
      <c r="I516"/>
    </row>
    <row r="517" spans="9:9" x14ac:dyDescent="0.2">
      <c r="I517"/>
    </row>
    <row r="518" spans="9:9" x14ac:dyDescent="0.2">
      <c r="I518"/>
    </row>
    <row r="519" spans="9:9" x14ac:dyDescent="0.2">
      <c r="I519"/>
    </row>
    <row r="520" spans="9:9" x14ac:dyDescent="0.2">
      <c r="I520"/>
    </row>
    <row r="521" spans="9:9" x14ac:dyDescent="0.2">
      <c r="I521"/>
    </row>
    <row r="522" spans="9:9" x14ac:dyDescent="0.2">
      <c r="I522"/>
    </row>
    <row r="523" spans="9:9" x14ac:dyDescent="0.2">
      <c r="I523"/>
    </row>
    <row r="524" spans="9:9" x14ac:dyDescent="0.2">
      <c r="I524"/>
    </row>
    <row r="525" spans="9:9" x14ac:dyDescent="0.2">
      <c r="I525"/>
    </row>
    <row r="526" spans="9:9" x14ac:dyDescent="0.2">
      <c r="I526"/>
    </row>
    <row r="527" spans="9:9" x14ac:dyDescent="0.2">
      <c r="I527"/>
    </row>
    <row r="528" spans="9:9" x14ac:dyDescent="0.2">
      <c r="I528"/>
    </row>
    <row r="529" spans="9:9" x14ac:dyDescent="0.2">
      <c r="I529"/>
    </row>
    <row r="530" spans="9:9" x14ac:dyDescent="0.2">
      <c r="I530"/>
    </row>
    <row r="531" spans="9:9" x14ac:dyDescent="0.2">
      <c r="I531"/>
    </row>
    <row r="532" spans="9:9" x14ac:dyDescent="0.2">
      <c r="I532"/>
    </row>
    <row r="533" spans="9:9" x14ac:dyDescent="0.2">
      <c r="I533"/>
    </row>
    <row r="534" spans="9:9" x14ac:dyDescent="0.2">
      <c r="I534"/>
    </row>
    <row r="535" spans="9:9" x14ac:dyDescent="0.2">
      <c r="I535"/>
    </row>
    <row r="536" spans="9:9" x14ac:dyDescent="0.2">
      <c r="I536"/>
    </row>
    <row r="537" spans="9:9" x14ac:dyDescent="0.2">
      <c r="I537"/>
    </row>
    <row r="538" spans="9:9" x14ac:dyDescent="0.2">
      <c r="I538"/>
    </row>
    <row r="539" spans="9:9" x14ac:dyDescent="0.2">
      <c r="I539"/>
    </row>
    <row r="540" spans="9:9" x14ac:dyDescent="0.2">
      <c r="I540"/>
    </row>
    <row r="541" spans="9:9" x14ac:dyDescent="0.2">
      <c r="I541"/>
    </row>
    <row r="542" spans="9:9" x14ac:dyDescent="0.2">
      <c r="I542"/>
    </row>
    <row r="543" spans="9:9" x14ac:dyDescent="0.2">
      <c r="I543"/>
    </row>
    <row r="544" spans="9:9" x14ac:dyDescent="0.2">
      <c r="I544"/>
    </row>
    <row r="545" spans="9:9" x14ac:dyDescent="0.2">
      <c r="I545"/>
    </row>
    <row r="546" spans="9:9" x14ac:dyDescent="0.2">
      <c r="I546"/>
    </row>
    <row r="547" spans="9:9" x14ac:dyDescent="0.2">
      <c r="I547"/>
    </row>
    <row r="548" spans="9:9" x14ac:dyDescent="0.2">
      <c r="I548"/>
    </row>
    <row r="549" spans="9:9" x14ac:dyDescent="0.2">
      <c r="I549"/>
    </row>
    <row r="550" spans="9:9" x14ac:dyDescent="0.2">
      <c r="I550"/>
    </row>
    <row r="551" spans="9:9" x14ac:dyDescent="0.2">
      <c r="I551"/>
    </row>
    <row r="552" spans="9:9" x14ac:dyDescent="0.2">
      <c r="I552"/>
    </row>
    <row r="553" spans="9:9" x14ac:dyDescent="0.2">
      <c r="I553"/>
    </row>
    <row r="554" spans="9:9" x14ac:dyDescent="0.2">
      <c r="I554"/>
    </row>
    <row r="555" spans="9:9" x14ac:dyDescent="0.2">
      <c r="I555"/>
    </row>
    <row r="556" spans="9:9" x14ac:dyDescent="0.2">
      <c r="I556"/>
    </row>
    <row r="557" spans="9:9" x14ac:dyDescent="0.2">
      <c r="I557"/>
    </row>
    <row r="558" spans="9:9" x14ac:dyDescent="0.2">
      <c r="I558"/>
    </row>
    <row r="559" spans="9:9" x14ac:dyDescent="0.2">
      <c r="I559"/>
    </row>
    <row r="560" spans="9:9" x14ac:dyDescent="0.2">
      <c r="I560"/>
    </row>
    <row r="561" spans="9:9" x14ac:dyDescent="0.2">
      <c r="I561"/>
    </row>
    <row r="562" spans="9:9" x14ac:dyDescent="0.2">
      <c r="I562"/>
    </row>
    <row r="563" spans="9:9" x14ac:dyDescent="0.2">
      <c r="I563"/>
    </row>
    <row r="564" spans="9:9" x14ac:dyDescent="0.2">
      <c r="I564"/>
    </row>
    <row r="565" spans="9:9" x14ac:dyDescent="0.2">
      <c r="I565"/>
    </row>
    <row r="566" spans="9:9" x14ac:dyDescent="0.2">
      <c r="I566"/>
    </row>
    <row r="567" spans="9:9" x14ac:dyDescent="0.2">
      <c r="I567"/>
    </row>
    <row r="568" spans="9:9" x14ac:dyDescent="0.2">
      <c r="I568"/>
    </row>
    <row r="569" spans="9:9" x14ac:dyDescent="0.2">
      <c r="I569"/>
    </row>
    <row r="570" spans="9:9" x14ac:dyDescent="0.2">
      <c r="I570"/>
    </row>
    <row r="571" spans="9:9" x14ac:dyDescent="0.2">
      <c r="I571"/>
    </row>
    <row r="572" spans="9:9" x14ac:dyDescent="0.2">
      <c r="I572"/>
    </row>
    <row r="573" spans="9:9" x14ac:dyDescent="0.2">
      <c r="I573"/>
    </row>
    <row r="574" spans="9:9" x14ac:dyDescent="0.2">
      <c r="I574"/>
    </row>
    <row r="575" spans="9:9" x14ac:dyDescent="0.2">
      <c r="I575"/>
    </row>
    <row r="576" spans="9:9" x14ac:dyDescent="0.2">
      <c r="I576"/>
    </row>
    <row r="577" spans="9:9" x14ac:dyDescent="0.2">
      <c r="I577"/>
    </row>
    <row r="578" spans="9:9" x14ac:dyDescent="0.2">
      <c r="I578"/>
    </row>
    <row r="579" spans="9:9" x14ac:dyDescent="0.2">
      <c r="I579"/>
    </row>
    <row r="580" spans="9:9" x14ac:dyDescent="0.2">
      <c r="I580"/>
    </row>
    <row r="581" spans="9:9" x14ac:dyDescent="0.2">
      <c r="I581"/>
    </row>
    <row r="582" spans="9:9" x14ac:dyDescent="0.2">
      <c r="I582"/>
    </row>
    <row r="583" spans="9:9" x14ac:dyDescent="0.2">
      <c r="I583"/>
    </row>
    <row r="584" spans="9:9" x14ac:dyDescent="0.2">
      <c r="I584"/>
    </row>
    <row r="585" spans="9:9" x14ac:dyDescent="0.2">
      <c r="I585"/>
    </row>
    <row r="586" spans="9:9" x14ac:dyDescent="0.2">
      <c r="I586"/>
    </row>
    <row r="587" spans="9:9" x14ac:dyDescent="0.2">
      <c r="I587"/>
    </row>
    <row r="588" spans="9:9" x14ac:dyDescent="0.2">
      <c r="I588"/>
    </row>
    <row r="589" spans="9:9" x14ac:dyDescent="0.2">
      <c r="I589"/>
    </row>
    <row r="590" spans="9:9" x14ac:dyDescent="0.2">
      <c r="I590"/>
    </row>
    <row r="591" spans="9:9" x14ac:dyDescent="0.2">
      <c r="I591"/>
    </row>
    <row r="592" spans="9:9" x14ac:dyDescent="0.2">
      <c r="I592"/>
    </row>
    <row r="593" spans="9:9" x14ac:dyDescent="0.2">
      <c r="I593"/>
    </row>
    <row r="594" spans="9:9" x14ac:dyDescent="0.2">
      <c r="I594"/>
    </row>
    <row r="595" spans="9:9" x14ac:dyDescent="0.2">
      <c r="I595"/>
    </row>
    <row r="596" spans="9:9" x14ac:dyDescent="0.2">
      <c r="I596"/>
    </row>
    <row r="597" spans="9:9" x14ac:dyDescent="0.2">
      <c r="I597"/>
    </row>
    <row r="598" spans="9:9" x14ac:dyDescent="0.2">
      <c r="I598"/>
    </row>
    <row r="599" spans="9:9" x14ac:dyDescent="0.2">
      <c r="I599"/>
    </row>
    <row r="600" spans="9:9" x14ac:dyDescent="0.2">
      <c r="I600"/>
    </row>
    <row r="601" spans="9:9" x14ac:dyDescent="0.2">
      <c r="I601"/>
    </row>
    <row r="602" spans="9:9" x14ac:dyDescent="0.2">
      <c r="I602"/>
    </row>
    <row r="603" spans="9:9" x14ac:dyDescent="0.2">
      <c r="I603"/>
    </row>
    <row r="604" spans="9:9" x14ac:dyDescent="0.2">
      <c r="I604"/>
    </row>
    <row r="605" spans="9:9" x14ac:dyDescent="0.2">
      <c r="I605"/>
    </row>
    <row r="606" spans="9:9" x14ac:dyDescent="0.2">
      <c r="I606"/>
    </row>
    <row r="607" spans="9:9" x14ac:dyDescent="0.2">
      <c r="I607"/>
    </row>
    <row r="608" spans="9:9" x14ac:dyDescent="0.2">
      <c r="I608"/>
    </row>
    <row r="609" spans="9:9" x14ac:dyDescent="0.2">
      <c r="I609"/>
    </row>
    <row r="610" spans="9:9" x14ac:dyDescent="0.2">
      <c r="I610"/>
    </row>
    <row r="611" spans="9:9" x14ac:dyDescent="0.2">
      <c r="I611"/>
    </row>
    <row r="612" spans="9:9" x14ac:dyDescent="0.2">
      <c r="I612"/>
    </row>
    <row r="613" spans="9:9" x14ac:dyDescent="0.2">
      <c r="I613"/>
    </row>
    <row r="614" spans="9:9" x14ac:dyDescent="0.2">
      <c r="I614"/>
    </row>
    <row r="615" spans="9:9" x14ac:dyDescent="0.2">
      <c r="I615"/>
    </row>
    <row r="616" spans="9:9" x14ac:dyDescent="0.2">
      <c r="I616"/>
    </row>
    <row r="617" spans="9:9" x14ac:dyDescent="0.2">
      <c r="I617"/>
    </row>
    <row r="618" spans="9:9" x14ac:dyDescent="0.2">
      <c r="I618"/>
    </row>
    <row r="619" spans="9:9" x14ac:dyDescent="0.2">
      <c r="I619"/>
    </row>
    <row r="620" spans="9:9" x14ac:dyDescent="0.2">
      <c r="I620"/>
    </row>
    <row r="621" spans="9:9" x14ac:dyDescent="0.2">
      <c r="I621"/>
    </row>
    <row r="622" spans="9:9" x14ac:dyDescent="0.2">
      <c r="I622"/>
    </row>
    <row r="623" spans="9:9" x14ac:dyDescent="0.2">
      <c r="I623"/>
    </row>
    <row r="624" spans="9:9" x14ac:dyDescent="0.2">
      <c r="I624"/>
    </row>
    <row r="625" spans="9:9" x14ac:dyDescent="0.2">
      <c r="I625"/>
    </row>
    <row r="626" spans="9:9" x14ac:dyDescent="0.2">
      <c r="I626"/>
    </row>
    <row r="627" spans="9:9" x14ac:dyDescent="0.2">
      <c r="I627"/>
    </row>
    <row r="628" spans="9:9" x14ac:dyDescent="0.2">
      <c r="I628"/>
    </row>
    <row r="629" spans="9:9" x14ac:dyDescent="0.2">
      <c r="I629"/>
    </row>
    <row r="630" spans="9:9" x14ac:dyDescent="0.2">
      <c r="I630"/>
    </row>
    <row r="631" spans="9:9" x14ac:dyDescent="0.2">
      <c r="I631"/>
    </row>
    <row r="632" spans="9:9" x14ac:dyDescent="0.2">
      <c r="I632"/>
    </row>
    <row r="633" spans="9:9" x14ac:dyDescent="0.2">
      <c r="I633"/>
    </row>
    <row r="634" spans="9:9" x14ac:dyDescent="0.2">
      <c r="I634"/>
    </row>
    <row r="635" spans="9:9" x14ac:dyDescent="0.2">
      <c r="I635"/>
    </row>
    <row r="636" spans="9:9" x14ac:dyDescent="0.2">
      <c r="I636"/>
    </row>
    <row r="637" spans="9:9" x14ac:dyDescent="0.2">
      <c r="I637"/>
    </row>
    <row r="638" spans="9:9" x14ac:dyDescent="0.2">
      <c r="I638"/>
    </row>
    <row r="639" spans="9:9" x14ac:dyDescent="0.2">
      <c r="I639"/>
    </row>
    <row r="640" spans="9:9" x14ac:dyDescent="0.2">
      <c r="I640"/>
    </row>
    <row r="641" spans="9:9" x14ac:dyDescent="0.2">
      <c r="I641"/>
    </row>
    <row r="642" spans="9:9" x14ac:dyDescent="0.2">
      <c r="I642"/>
    </row>
    <row r="643" spans="9:9" x14ac:dyDescent="0.2">
      <c r="I643"/>
    </row>
    <row r="644" spans="9:9" x14ac:dyDescent="0.2">
      <c r="I644"/>
    </row>
    <row r="645" spans="9:9" x14ac:dyDescent="0.2">
      <c r="I645"/>
    </row>
    <row r="646" spans="9:9" x14ac:dyDescent="0.2">
      <c r="I646"/>
    </row>
    <row r="647" spans="9:9" x14ac:dyDescent="0.2">
      <c r="I647"/>
    </row>
    <row r="648" spans="9:9" x14ac:dyDescent="0.2">
      <c r="I648"/>
    </row>
    <row r="649" spans="9:9" x14ac:dyDescent="0.2">
      <c r="I649"/>
    </row>
    <row r="650" spans="9:9" x14ac:dyDescent="0.2">
      <c r="I650"/>
    </row>
    <row r="651" spans="9:9" x14ac:dyDescent="0.2">
      <c r="I651"/>
    </row>
    <row r="652" spans="9:9" x14ac:dyDescent="0.2">
      <c r="I652"/>
    </row>
    <row r="653" spans="9:9" x14ac:dyDescent="0.2">
      <c r="I653"/>
    </row>
    <row r="654" spans="9:9" x14ac:dyDescent="0.2">
      <c r="I654"/>
    </row>
    <row r="655" spans="9:9" x14ac:dyDescent="0.2">
      <c r="I655"/>
    </row>
    <row r="656" spans="9:9" x14ac:dyDescent="0.2">
      <c r="I656"/>
    </row>
    <row r="657" spans="9:9" x14ac:dyDescent="0.2">
      <c r="I657"/>
    </row>
    <row r="658" spans="9:9" x14ac:dyDescent="0.2">
      <c r="I658"/>
    </row>
    <row r="659" spans="9:9" x14ac:dyDescent="0.2">
      <c r="I659"/>
    </row>
    <row r="660" spans="9:9" x14ac:dyDescent="0.2">
      <c r="I660"/>
    </row>
    <row r="661" spans="9:9" x14ac:dyDescent="0.2">
      <c r="I661"/>
    </row>
    <row r="662" spans="9:9" x14ac:dyDescent="0.2">
      <c r="I662"/>
    </row>
    <row r="663" spans="9:9" x14ac:dyDescent="0.2">
      <c r="I663"/>
    </row>
    <row r="664" spans="9:9" x14ac:dyDescent="0.2">
      <c r="I664"/>
    </row>
    <row r="665" spans="9:9" x14ac:dyDescent="0.2">
      <c r="I665"/>
    </row>
    <row r="666" spans="9:9" x14ac:dyDescent="0.2">
      <c r="I666"/>
    </row>
    <row r="667" spans="9:9" x14ac:dyDescent="0.2">
      <c r="I667"/>
    </row>
    <row r="668" spans="9:9" x14ac:dyDescent="0.2">
      <c r="I668"/>
    </row>
    <row r="669" spans="9:9" x14ac:dyDescent="0.2">
      <c r="I669"/>
    </row>
    <row r="670" spans="9:9" x14ac:dyDescent="0.2">
      <c r="I670"/>
    </row>
    <row r="671" spans="9:9" x14ac:dyDescent="0.2">
      <c r="I671"/>
    </row>
    <row r="672" spans="9:9" x14ac:dyDescent="0.2">
      <c r="I672"/>
    </row>
    <row r="673" spans="9:9" x14ac:dyDescent="0.2">
      <c r="I673"/>
    </row>
    <row r="674" spans="9:9" x14ac:dyDescent="0.2">
      <c r="I674"/>
    </row>
    <row r="675" spans="9:9" x14ac:dyDescent="0.2">
      <c r="I675"/>
    </row>
    <row r="676" spans="9:9" x14ac:dyDescent="0.2">
      <c r="I676"/>
    </row>
    <row r="677" spans="9:9" x14ac:dyDescent="0.2">
      <c r="I677"/>
    </row>
    <row r="678" spans="9:9" x14ac:dyDescent="0.2">
      <c r="I678"/>
    </row>
    <row r="679" spans="9:9" x14ac:dyDescent="0.2">
      <c r="I679"/>
    </row>
    <row r="680" spans="9:9" x14ac:dyDescent="0.2">
      <c r="I680"/>
    </row>
    <row r="681" spans="9:9" x14ac:dyDescent="0.2">
      <c r="I681"/>
    </row>
    <row r="682" spans="9:9" x14ac:dyDescent="0.2">
      <c r="I682"/>
    </row>
    <row r="683" spans="9:9" x14ac:dyDescent="0.2">
      <c r="I683"/>
    </row>
    <row r="684" spans="9:9" x14ac:dyDescent="0.2">
      <c r="I684"/>
    </row>
    <row r="685" spans="9:9" x14ac:dyDescent="0.2">
      <c r="I685"/>
    </row>
    <row r="686" spans="9:9" x14ac:dyDescent="0.2">
      <c r="I686"/>
    </row>
    <row r="687" spans="9:9" x14ac:dyDescent="0.2">
      <c r="I687"/>
    </row>
    <row r="688" spans="9:9" x14ac:dyDescent="0.2">
      <c r="I688"/>
    </row>
    <row r="689" spans="9:9" x14ac:dyDescent="0.2">
      <c r="I689"/>
    </row>
    <row r="690" spans="9:9" x14ac:dyDescent="0.2">
      <c r="I690"/>
    </row>
    <row r="691" spans="9:9" x14ac:dyDescent="0.2">
      <c r="I691"/>
    </row>
    <row r="692" spans="9:9" x14ac:dyDescent="0.2">
      <c r="I692"/>
    </row>
    <row r="693" spans="9:9" x14ac:dyDescent="0.2">
      <c r="I693"/>
    </row>
    <row r="694" spans="9:9" x14ac:dyDescent="0.2">
      <c r="I694"/>
    </row>
    <row r="695" spans="9:9" x14ac:dyDescent="0.2">
      <c r="I695"/>
    </row>
    <row r="696" spans="9:9" x14ac:dyDescent="0.2">
      <c r="I696"/>
    </row>
    <row r="697" spans="9:9" x14ac:dyDescent="0.2">
      <c r="I697"/>
    </row>
    <row r="698" spans="9:9" x14ac:dyDescent="0.2">
      <c r="I698"/>
    </row>
    <row r="699" spans="9:9" x14ac:dyDescent="0.2">
      <c r="I699"/>
    </row>
    <row r="700" spans="9:9" x14ac:dyDescent="0.2">
      <c r="I700"/>
    </row>
    <row r="701" spans="9:9" x14ac:dyDescent="0.2">
      <c r="I701"/>
    </row>
    <row r="702" spans="9:9" x14ac:dyDescent="0.2">
      <c r="I702"/>
    </row>
    <row r="703" spans="9:9" x14ac:dyDescent="0.2">
      <c r="I703"/>
    </row>
    <row r="704" spans="9:9" x14ac:dyDescent="0.2">
      <c r="I704"/>
    </row>
    <row r="705" spans="9:9" x14ac:dyDescent="0.2">
      <c r="I705"/>
    </row>
    <row r="706" spans="9:9" x14ac:dyDescent="0.2">
      <c r="I706"/>
    </row>
    <row r="707" spans="9:9" x14ac:dyDescent="0.2">
      <c r="I707"/>
    </row>
    <row r="708" spans="9:9" x14ac:dyDescent="0.2">
      <c r="I708"/>
    </row>
    <row r="709" spans="9:9" x14ac:dyDescent="0.2">
      <c r="I709"/>
    </row>
    <row r="710" spans="9:9" x14ac:dyDescent="0.2">
      <c r="I710"/>
    </row>
    <row r="711" spans="9:9" x14ac:dyDescent="0.2">
      <c r="I711"/>
    </row>
    <row r="712" spans="9:9" x14ac:dyDescent="0.2">
      <c r="I712"/>
    </row>
    <row r="713" spans="9:9" x14ac:dyDescent="0.2">
      <c r="I713"/>
    </row>
    <row r="714" spans="9:9" x14ac:dyDescent="0.2">
      <c r="I714"/>
    </row>
    <row r="715" spans="9:9" x14ac:dyDescent="0.2">
      <c r="I715"/>
    </row>
    <row r="716" spans="9:9" x14ac:dyDescent="0.2">
      <c r="I716"/>
    </row>
    <row r="717" spans="9:9" x14ac:dyDescent="0.2">
      <c r="I717"/>
    </row>
    <row r="718" spans="9:9" x14ac:dyDescent="0.2">
      <c r="I718"/>
    </row>
    <row r="719" spans="9:9" x14ac:dyDescent="0.2">
      <c r="I719"/>
    </row>
    <row r="720" spans="9:9" x14ac:dyDescent="0.2">
      <c r="I720"/>
    </row>
    <row r="721" spans="9:9" x14ac:dyDescent="0.2">
      <c r="I721"/>
    </row>
    <row r="722" spans="9:9" x14ac:dyDescent="0.2">
      <c r="I722"/>
    </row>
    <row r="723" spans="9:9" x14ac:dyDescent="0.2">
      <c r="I723"/>
    </row>
    <row r="724" spans="9:9" x14ac:dyDescent="0.2">
      <c r="I724"/>
    </row>
    <row r="725" spans="9:9" x14ac:dyDescent="0.2">
      <c r="I725"/>
    </row>
    <row r="726" spans="9:9" x14ac:dyDescent="0.2">
      <c r="I726"/>
    </row>
    <row r="727" spans="9:9" x14ac:dyDescent="0.2">
      <c r="I727"/>
    </row>
    <row r="728" spans="9:9" x14ac:dyDescent="0.2">
      <c r="I728"/>
    </row>
    <row r="729" spans="9:9" x14ac:dyDescent="0.2">
      <c r="I729"/>
    </row>
    <row r="730" spans="9:9" x14ac:dyDescent="0.2">
      <c r="I730"/>
    </row>
    <row r="731" spans="9:9" x14ac:dyDescent="0.2">
      <c r="I731"/>
    </row>
    <row r="732" spans="9:9" x14ac:dyDescent="0.2">
      <c r="I732"/>
    </row>
    <row r="733" spans="9:9" x14ac:dyDescent="0.2">
      <c r="I733"/>
    </row>
    <row r="734" spans="9:9" x14ac:dyDescent="0.2">
      <c r="I734"/>
    </row>
    <row r="735" spans="9:9" x14ac:dyDescent="0.2">
      <c r="I735"/>
    </row>
    <row r="736" spans="9:9" x14ac:dyDescent="0.2">
      <c r="I736"/>
    </row>
    <row r="737" spans="9:9" x14ac:dyDescent="0.2">
      <c r="I737"/>
    </row>
    <row r="738" spans="9:9" x14ac:dyDescent="0.2">
      <c r="I738"/>
    </row>
    <row r="739" spans="9:9" x14ac:dyDescent="0.2">
      <c r="I739"/>
    </row>
    <row r="740" spans="9:9" x14ac:dyDescent="0.2">
      <c r="I740"/>
    </row>
    <row r="741" spans="9:9" x14ac:dyDescent="0.2">
      <c r="I741"/>
    </row>
    <row r="742" spans="9:9" x14ac:dyDescent="0.2">
      <c r="I742"/>
    </row>
    <row r="743" spans="9:9" x14ac:dyDescent="0.2">
      <c r="I743"/>
    </row>
    <row r="744" spans="9:9" x14ac:dyDescent="0.2">
      <c r="I744"/>
    </row>
    <row r="745" spans="9:9" x14ac:dyDescent="0.2">
      <c r="I745"/>
    </row>
    <row r="746" spans="9:9" x14ac:dyDescent="0.2">
      <c r="I746"/>
    </row>
    <row r="747" spans="9:9" x14ac:dyDescent="0.2">
      <c r="I747"/>
    </row>
    <row r="748" spans="9:9" x14ac:dyDescent="0.2">
      <c r="I748"/>
    </row>
    <row r="749" spans="9:9" x14ac:dyDescent="0.2">
      <c r="I749"/>
    </row>
    <row r="750" spans="9:9" x14ac:dyDescent="0.2">
      <c r="I750"/>
    </row>
    <row r="751" spans="9:9" x14ac:dyDescent="0.2">
      <c r="I751"/>
    </row>
    <row r="752" spans="9:9" x14ac:dyDescent="0.2">
      <c r="I752"/>
    </row>
    <row r="753" spans="9:9" x14ac:dyDescent="0.2">
      <c r="I753"/>
    </row>
    <row r="754" spans="9:9" x14ac:dyDescent="0.2">
      <c r="I754"/>
    </row>
    <row r="755" spans="9:9" x14ac:dyDescent="0.2">
      <c r="I755"/>
    </row>
    <row r="756" spans="9:9" x14ac:dyDescent="0.2">
      <c r="I756"/>
    </row>
    <row r="757" spans="9:9" x14ac:dyDescent="0.2">
      <c r="I757"/>
    </row>
    <row r="758" spans="9:9" x14ac:dyDescent="0.2">
      <c r="I758"/>
    </row>
    <row r="759" spans="9:9" x14ac:dyDescent="0.2">
      <c r="I759"/>
    </row>
    <row r="760" spans="9:9" x14ac:dyDescent="0.2">
      <c r="I760"/>
    </row>
    <row r="761" spans="9:9" x14ac:dyDescent="0.2">
      <c r="I761"/>
    </row>
    <row r="762" spans="9:9" x14ac:dyDescent="0.2">
      <c r="I762"/>
    </row>
    <row r="763" spans="9:9" x14ac:dyDescent="0.2">
      <c r="I763"/>
    </row>
    <row r="764" spans="9:9" x14ac:dyDescent="0.2">
      <c r="I764"/>
    </row>
    <row r="765" spans="9:9" x14ac:dyDescent="0.2">
      <c r="I765"/>
    </row>
    <row r="766" spans="9:9" x14ac:dyDescent="0.2">
      <c r="I766"/>
    </row>
    <row r="767" spans="9:9" x14ac:dyDescent="0.2">
      <c r="I767"/>
    </row>
    <row r="768" spans="9:9" x14ac:dyDescent="0.2">
      <c r="I768"/>
    </row>
    <row r="769" spans="9:9" x14ac:dyDescent="0.2">
      <c r="I769"/>
    </row>
    <row r="770" spans="9:9" x14ac:dyDescent="0.2">
      <c r="I770"/>
    </row>
    <row r="771" spans="9:9" x14ac:dyDescent="0.2">
      <c r="I771"/>
    </row>
    <row r="772" spans="9:9" x14ac:dyDescent="0.2">
      <c r="I772"/>
    </row>
    <row r="773" spans="9:9" x14ac:dyDescent="0.2">
      <c r="I773"/>
    </row>
    <row r="774" spans="9:9" x14ac:dyDescent="0.2">
      <c r="I774"/>
    </row>
    <row r="775" spans="9:9" x14ac:dyDescent="0.2">
      <c r="I775"/>
    </row>
    <row r="776" spans="9:9" x14ac:dyDescent="0.2">
      <c r="I776"/>
    </row>
    <row r="777" spans="9:9" x14ac:dyDescent="0.2">
      <c r="I777"/>
    </row>
    <row r="778" spans="9:9" x14ac:dyDescent="0.2">
      <c r="I778"/>
    </row>
    <row r="779" spans="9:9" x14ac:dyDescent="0.2">
      <c r="I779"/>
    </row>
    <row r="780" spans="9:9" x14ac:dyDescent="0.2">
      <c r="I780"/>
    </row>
    <row r="781" spans="9:9" x14ac:dyDescent="0.2">
      <c r="I781"/>
    </row>
    <row r="782" spans="9:9" x14ac:dyDescent="0.2">
      <c r="I782"/>
    </row>
    <row r="783" spans="9:9" x14ac:dyDescent="0.2">
      <c r="I783"/>
    </row>
    <row r="784" spans="9:9" x14ac:dyDescent="0.2">
      <c r="I784"/>
    </row>
    <row r="785" spans="9:9" x14ac:dyDescent="0.2">
      <c r="I785"/>
    </row>
    <row r="786" spans="9:9" x14ac:dyDescent="0.2">
      <c r="I786"/>
    </row>
    <row r="787" spans="9:9" x14ac:dyDescent="0.2">
      <c r="I787"/>
    </row>
    <row r="788" spans="9:9" x14ac:dyDescent="0.2">
      <c r="I788"/>
    </row>
    <row r="789" spans="9:9" x14ac:dyDescent="0.2">
      <c r="I789"/>
    </row>
    <row r="790" spans="9:9" x14ac:dyDescent="0.2">
      <c r="I790"/>
    </row>
    <row r="791" spans="9:9" x14ac:dyDescent="0.2">
      <c r="I791"/>
    </row>
    <row r="792" spans="9:9" x14ac:dyDescent="0.2">
      <c r="I792"/>
    </row>
    <row r="793" spans="9:9" x14ac:dyDescent="0.2">
      <c r="I793"/>
    </row>
    <row r="794" spans="9:9" x14ac:dyDescent="0.2">
      <c r="I794"/>
    </row>
    <row r="795" spans="9:9" x14ac:dyDescent="0.2">
      <c r="I795"/>
    </row>
    <row r="796" spans="9:9" x14ac:dyDescent="0.2">
      <c r="I796"/>
    </row>
    <row r="797" spans="9:9" x14ac:dyDescent="0.2">
      <c r="I797"/>
    </row>
    <row r="798" spans="9:9" x14ac:dyDescent="0.2">
      <c r="I798"/>
    </row>
    <row r="799" spans="9:9" x14ac:dyDescent="0.2">
      <c r="I799"/>
    </row>
    <row r="800" spans="9:9" x14ac:dyDescent="0.2">
      <c r="I800"/>
    </row>
    <row r="801" spans="9:9" x14ac:dyDescent="0.2">
      <c r="I801"/>
    </row>
    <row r="802" spans="9:9" x14ac:dyDescent="0.2">
      <c r="I802"/>
    </row>
    <row r="803" spans="9:9" x14ac:dyDescent="0.2">
      <c r="I803"/>
    </row>
    <row r="804" spans="9:9" x14ac:dyDescent="0.2">
      <c r="I804"/>
    </row>
    <row r="805" spans="9:9" x14ac:dyDescent="0.2">
      <c r="I805"/>
    </row>
    <row r="806" spans="9:9" x14ac:dyDescent="0.2">
      <c r="I806"/>
    </row>
    <row r="807" spans="9:9" x14ac:dyDescent="0.2">
      <c r="I807"/>
    </row>
    <row r="808" spans="9:9" x14ac:dyDescent="0.2">
      <c r="I808"/>
    </row>
    <row r="809" spans="9:9" x14ac:dyDescent="0.2">
      <c r="I809"/>
    </row>
    <row r="810" spans="9:9" x14ac:dyDescent="0.2">
      <c r="I810"/>
    </row>
    <row r="811" spans="9:9" x14ac:dyDescent="0.2">
      <c r="I811"/>
    </row>
    <row r="812" spans="9:9" x14ac:dyDescent="0.2">
      <c r="I812"/>
    </row>
    <row r="813" spans="9:9" x14ac:dyDescent="0.2">
      <c r="I813"/>
    </row>
    <row r="814" spans="9:9" x14ac:dyDescent="0.2">
      <c r="I814"/>
    </row>
    <row r="815" spans="9:9" x14ac:dyDescent="0.2">
      <c r="I815"/>
    </row>
    <row r="816" spans="9:9" x14ac:dyDescent="0.2">
      <c r="I816"/>
    </row>
    <row r="817" spans="9:9" x14ac:dyDescent="0.2">
      <c r="I817"/>
    </row>
    <row r="818" spans="9:9" x14ac:dyDescent="0.2">
      <c r="I818"/>
    </row>
    <row r="819" spans="9:9" x14ac:dyDescent="0.2">
      <c r="I819"/>
    </row>
    <row r="820" spans="9:9" x14ac:dyDescent="0.2">
      <c r="I820"/>
    </row>
    <row r="821" spans="9:9" x14ac:dyDescent="0.2">
      <c r="I821"/>
    </row>
    <row r="822" spans="9:9" x14ac:dyDescent="0.2">
      <c r="I822"/>
    </row>
    <row r="823" spans="9:9" x14ac:dyDescent="0.2">
      <c r="I823"/>
    </row>
    <row r="824" spans="9:9" x14ac:dyDescent="0.2">
      <c r="I824"/>
    </row>
    <row r="825" spans="9:9" x14ac:dyDescent="0.2">
      <c r="I825"/>
    </row>
    <row r="826" spans="9:9" x14ac:dyDescent="0.2">
      <c r="I826"/>
    </row>
    <row r="827" spans="9:9" x14ac:dyDescent="0.2">
      <c r="I827"/>
    </row>
    <row r="828" spans="9:9" x14ac:dyDescent="0.2">
      <c r="I828"/>
    </row>
    <row r="829" spans="9:9" x14ac:dyDescent="0.2">
      <c r="I829"/>
    </row>
    <row r="830" spans="9:9" x14ac:dyDescent="0.2">
      <c r="I830"/>
    </row>
    <row r="831" spans="9:9" x14ac:dyDescent="0.2">
      <c r="I831"/>
    </row>
    <row r="832" spans="9:9" x14ac:dyDescent="0.2">
      <c r="I832"/>
    </row>
    <row r="833" spans="9:9" x14ac:dyDescent="0.2">
      <c r="I833"/>
    </row>
    <row r="834" spans="9:9" x14ac:dyDescent="0.2">
      <c r="I834"/>
    </row>
    <row r="835" spans="9:9" x14ac:dyDescent="0.2">
      <c r="I835"/>
    </row>
    <row r="836" spans="9:9" x14ac:dyDescent="0.2">
      <c r="I836"/>
    </row>
    <row r="837" spans="9:9" x14ac:dyDescent="0.2">
      <c r="I837"/>
    </row>
    <row r="838" spans="9:9" x14ac:dyDescent="0.2">
      <c r="I838"/>
    </row>
    <row r="839" spans="9:9" x14ac:dyDescent="0.2">
      <c r="I839"/>
    </row>
    <row r="840" spans="9:9" x14ac:dyDescent="0.2">
      <c r="I840"/>
    </row>
    <row r="841" spans="9:9" x14ac:dyDescent="0.2">
      <c r="I841"/>
    </row>
    <row r="842" spans="9:9" x14ac:dyDescent="0.2">
      <c r="I842"/>
    </row>
    <row r="843" spans="9:9" x14ac:dyDescent="0.2">
      <c r="I843"/>
    </row>
    <row r="844" spans="9:9" x14ac:dyDescent="0.2">
      <c r="I844"/>
    </row>
    <row r="845" spans="9:9" x14ac:dyDescent="0.2">
      <c r="I845"/>
    </row>
    <row r="846" spans="9:9" x14ac:dyDescent="0.2">
      <c r="I846"/>
    </row>
    <row r="847" spans="9:9" x14ac:dyDescent="0.2">
      <c r="I847"/>
    </row>
    <row r="848" spans="9:9" x14ac:dyDescent="0.2">
      <c r="I848"/>
    </row>
    <row r="849" spans="9:9" x14ac:dyDescent="0.2">
      <c r="I849"/>
    </row>
    <row r="850" spans="9:9" x14ac:dyDescent="0.2">
      <c r="I850"/>
    </row>
    <row r="851" spans="9:9" x14ac:dyDescent="0.2">
      <c r="I851"/>
    </row>
    <row r="852" spans="9:9" x14ac:dyDescent="0.2">
      <c r="I852"/>
    </row>
    <row r="853" spans="9:9" x14ac:dyDescent="0.2">
      <c r="I853"/>
    </row>
    <row r="854" spans="9:9" x14ac:dyDescent="0.2">
      <c r="I854"/>
    </row>
    <row r="855" spans="9:9" x14ac:dyDescent="0.2">
      <c r="I855"/>
    </row>
    <row r="856" spans="9:9" x14ac:dyDescent="0.2">
      <c r="I856"/>
    </row>
    <row r="857" spans="9:9" x14ac:dyDescent="0.2">
      <c r="I857"/>
    </row>
    <row r="858" spans="9:9" x14ac:dyDescent="0.2">
      <c r="I858"/>
    </row>
    <row r="859" spans="9:9" x14ac:dyDescent="0.2">
      <c r="I859"/>
    </row>
    <row r="860" spans="9:9" x14ac:dyDescent="0.2">
      <c r="I860"/>
    </row>
    <row r="861" spans="9:9" x14ac:dyDescent="0.2">
      <c r="I861"/>
    </row>
    <row r="862" spans="9:9" x14ac:dyDescent="0.2">
      <c r="I862"/>
    </row>
    <row r="863" spans="9:9" x14ac:dyDescent="0.2">
      <c r="I863"/>
    </row>
    <row r="864" spans="9:9" x14ac:dyDescent="0.2">
      <c r="I864"/>
    </row>
    <row r="865" spans="9:9" x14ac:dyDescent="0.2">
      <c r="I865"/>
    </row>
    <row r="866" spans="9:9" x14ac:dyDescent="0.2">
      <c r="I866"/>
    </row>
    <row r="867" spans="9:9" x14ac:dyDescent="0.2">
      <c r="I867"/>
    </row>
    <row r="868" spans="9:9" x14ac:dyDescent="0.2">
      <c r="I868"/>
    </row>
    <row r="869" spans="9:9" x14ac:dyDescent="0.2">
      <c r="I869"/>
    </row>
    <row r="870" spans="9:9" x14ac:dyDescent="0.2">
      <c r="I870"/>
    </row>
    <row r="871" spans="9:9" x14ac:dyDescent="0.2">
      <c r="I871"/>
    </row>
    <row r="872" spans="9:9" x14ac:dyDescent="0.2">
      <c r="I872"/>
    </row>
    <row r="873" spans="9:9" x14ac:dyDescent="0.2">
      <c r="I873"/>
    </row>
    <row r="874" spans="9:9" x14ac:dyDescent="0.2">
      <c r="I874"/>
    </row>
    <row r="875" spans="9:9" x14ac:dyDescent="0.2">
      <c r="I875"/>
    </row>
    <row r="876" spans="9:9" x14ac:dyDescent="0.2">
      <c r="I876"/>
    </row>
    <row r="877" spans="9:9" x14ac:dyDescent="0.2">
      <c r="I877"/>
    </row>
    <row r="878" spans="9:9" x14ac:dyDescent="0.2">
      <c r="I878"/>
    </row>
    <row r="879" spans="9:9" x14ac:dyDescent="0.2">
      <c r="I879"/>
    </row>
    <row r="880" spans="9:9" x14ac:dyDescent="0.2">
      <c r="I880"/>
    </row>
    <row r="881" spans="9:9" x14ac:dyDescent="0.2">
      <c r="I881"/>
    </row>
    <row r="882" spans="9:9" x14ac:dyDescent="0.2">
      <c r="I882"/>
    </row>
    <row r="883" spans="9:9" x14ac:dyDescent="0.2">
      <c r="I883"/>
    </row>
    <row r="884" spans="9:9" x14ac:dyDescent="0.2">
      <c r="I884"/>
    </row>
    <row r="885" spans="9:9" x14ac:dyDescent="0.2">
      <c r="I885"/>
    </row>
    <row r="886" spans="9:9" x14ac:dyDescent="0.2">
      <c r="I886"/>
    </row>
    <row r="887" spans="9:9" x14ac:dyDescent="0.2">
      <c r="I887"/>
    </row>
    <row r="888" spans="9:9" x14ac:dyDescent="0.2">
      <c r="I888"/>
    </row>
    <row r="889" spans="9:9" x14ac:dyDescent="0.2">
      <c r="I889"/>
    </row>
    <row r="890" spans="9:9" x14ac:dyDescent="0.2">
      <c r="I890"/>
    </row>
    <row r="891" spans="9:9" x14ac:dyDescent="0.2">
      <c r="I891"/>
    </row>
    <row r="892" spans="9:9" x14ac:dyDescent="0.2">
      <c r="I892"/>
    </row>
    <row r="893" spans="9:9" x14ac:dyDescent="0.2">
      <c r="I893"/>
    </row>
    <row r="894" spans="9:9" x14ac:dyDescent="0.2">
      <c r="I894"/>
    </row>
    <row r="895" spans="9:9" x14ac:dyDescent="0.2">
      <c r="I895"/>
    </row>
    <row r="896" spans="9:9" x14ac:dyDescent="0.2">
      <c r="I896"/>
    </row>
    <row r="897" spans="9:9" x14ac:dyDescent="0.2">
      <c r="I897"/>
    </row>
    <row r="898" spans="9:9" x14ac:dyDescent="0.2">
      <c r="I898"/>
    </row>
    <row r="899" spans="9:9" x14ac:dyDescent="0.2">
      <c r="I899"/>
    </row>
    <row r="900" spans="9:9" x14ac:dyDescent="0.2">
      <c r="I900"/>
    </row>
    <row r="901" spans="9:9" x14ac:dyDescent="0.2">
      <c r="I901"/>
    </row>
    <row r="902" spans="9:9" x14ac:dyDescent="0.2">
      <c r="I902"/>
    </row>
    <row r="903" spans="9:9" x14ac:dyDescent="0.2">
      <c r="I903"/>
    </row>
    <row r="904" spans="9:9" x14ac:dyDescent="0.2">
      <c r="I904"/>
    </row>
    <row r="905" spans="9:9" x14ac:dyDescent="0.2">
      <c r="I905"/>
    </row>
    <row r="906" spans="9:9" x14ac:dyDescent="0.2">
      <c r="I906"/>
    </row>
    <row r="907" spans="9:9" x14ac:dyDescent="0.2">
      <c r="I907"/>
    </row>
    <row r="908" spans="9:9" x14ac:dyDescent="0.2">
      <c r="I908"/>
    </row>
    <row r="909" spans="9:9" x14ac:dyDescent="0.2">
      <c r="I909"/>
    </row>
    <row r="910" spans="9:9" x14ac:dyDescent="0.2">
      <c r="I910"/>
    </row>
    <row r="911" spans="9:9" x14ac:dyDescent="0.2">
      <c r="I911"/>
    </row>
    <row r="912" spans="9:9" x14ac:dyDescent="0.2">
      <c r="I912"/>
    </row>
    <row r="913" spans="9:9" x14ac:dyDescent="0.2">
      <c r="I913"/>
    </row>
    <row r="914" spans="9:9" x14ac:dyDescent="0.2">
      <c r="I914"/>
    </row>
    <row r="915" spans="9:9" x14ac:dyDescent="0.2">
      <c r="I915"/>
    </row>
    <row r="916" spans="9:9" x14ac:dyDescent="0.2">
      <c r="I916"/>
    </row>
    <row r="917" spans="9:9" x14ac:dyDescent="0.2">
      <c r="I917"/>
    </row>
    <row r="918" spans="9:9" x14ac:dyDescent="0.2">
      <c r="I918"/>
    </row>
    <row r="919" spans="9:9" x14ac:dyDescent="0.2">
      <c r="I919"/>
    </row>
    <row r="920" spans="9:9" x14ac:dyDescent="0.2">
      <c r="I920"/>
    </row>
    <row r="921" spans="9:9" x14ac:dyDescent="0.2">
      <c r="I921"/>
    </row>
    <row r="922" spans="9:9" x14ac:dyDescent="0.2">
      <c r="I922"/>
    </row>
    <row r="923" spans="9:9" x14ac:dyDescent="0.2">
      <c r="I923"/>
    </row>
    <row r="924" spans="9:9" x14ac:dyDescent="0.2">
      <c r="I924"/>
    </row>
    <row r="925" spans="9:9" x14ac:dyDescent="0.2">
      <c r="I925"/>
    </row>
    <row r="926" spans="9:9" x14ac:dyDescent="0.2">
      <c r="I926"/>
    </row>
    <row r="927" spans="9:9" x14ac:dyDescent="0.2">
      <c r="I927"/>
    </row>
    <row r="928" spans="9:9" x14ac:dyDescent="0.2">
      <c r="I928"/>
    </row>
    <row r="929" spans="9:9" x14ac:dyDescent="0.2">
      <c r="I929"/>
    </row>
    <row r="930" spans="9:9" x14ac:dyDescent="0.2">
      <c r="I930"/>
    </row>
    <row r="931" spans="9:9" x14ac:dyDescent="0.2">
      <c r="I931"/>
    </row>
    <row r="932" spans="9:9" x14ac:dyDescent="0.2">
      <c r="I932"/>
    </row>
    <row r="933" spans="9:9" x14ac:dyDescent="0.2">
      <c r="I933"/>
    </row>
    <row r="934" spans="9:9" x14ac:dyDescent="0.2">
      <c r="I934"/>
    </row>
    <row r="935" spans="9:9" x14ac:dyDescent="0.2">
      <c r="I935"/>
    </row>
    <row r="936" spans="9:9" x14ac:dyDescent="0.2">
      <c r="I936"/>
    </row>
    <row r="937" spans="9:9" x14ac:dyDescent="0.2">
      <c r="I937"/>
    </row>
    <row r="938" spans="9:9" x14ac:dyDescent="0.2">
      <c r="I938"/>
    </row>
    <row r="939" spans="9:9" x14ac:dyDescent="0.2">
      <c r="I939"/>
    </row>
    <row r="940" spans="9:9" x14ac:dyDescent="0.2">
      <c r="I940"/>
    </row>
    <row r="941" spans="9:9" x14ac:dyDescent="0.2">
      <c r="I941"/>
    </row>
    <row r="942" spans="9:9" x14ac:dyDescent="0.2">
      <c r="I942"/>
    </row>
    <row r="943" spans="9:9" x14ac:dyDescent="0.2">
      <c r="I943"/>
    </row>
    <row r="944" spans="9:9" x14ac:dyDescent="0.2">
      <c r="I944"/>
    </row>
    <row r="945" spans="9:9" x14ac:dyDescent="0.2">
      <c r="I945"/>
    </row>
    <row r="946" spans="9:9" x14ac:dyDescent="0.2">
      <c r="I946"/>
    </row>
    <row r="947" spans="9:9" x14ac:dyDescent="0.2">
      <c r="I947"/>
    </row>
    <row r="948" spans="9:9" x14ac:dyDescent="0.2">
      <c r="I948"/>
    </row>
    <row r="949" spans="9:9" x14ac:dyDescent="0.2">
      <c r="I949"/>
    </row>
    <row r="950" spans="9:9" x14ac:dyDescent="0.2">
      <c r="I950"/>
    </row>
    <row r="951" spans="9:9" x14ac:dyDescent="0.2">
      <c r="I951"/>
    </row>
    <row r="952" spans="9:9" x14ac:dyDescent="0.2">
      <c r="I952"/>
    </row>
    <row r="953" spans="9:9" x14ac:dyDescent="0.2">
      <c r="I953"/>
    </row>
    <row r="954" spans="9:9" x14ac:dyDescent="0.2">
      <c r="I954"/>
    </row>
    <row r="955" spans="9:9" x14ac:dyDescent="0.2">
      <c r="I955"/>
    </row>
    <row r="956" spans="9:9" x14ac:dyDescent="0.2">
      <c r="I956"/>
    </row>
    <row r="957" spans="9:9" x14ac:dyDescent="0.2">
      <c r="I957"/>
    </row>
    <row r="958" spans="9:9" x14ac:dyDescent="0.2">
      <c r="I958"/>
    </row>
    <row r="959" spans="9:9" x14ac:dyDescent="0.2">
      <c r="I959"/>
    </row>
    <row r="960" spans="9:9" x14ac:dyDescent="0.2">
      <c r="I960"/>
    </row>
    <row r="961" spans="9:9" x14ac:dyDescent="0.2">
      <c r="I961"/>
    </row>
    <row r="962" spans="9:9" x14ac:dyDescent="0.2">
      <c r="I962"/>
    </row>
    <row r="963" spans="9:9" x14ac:dyDescent="0.2">
      <c r="I963"/>
    </row>
    <row r="964" spans="9:9" x14ac:dyDescent="0.2">
      <c r="I964"/>
    </row>
    <row r="965" spans="9:9" x14ac:dyDescent="0.2">
      <c r="I965"/>
    </row>
    <row r="966" spans="9:9" x14ac:dyDescent="0.2">
      <c r="I966"/>
    </row>
    <row r="967" spans="9:9" x14ac:dyDescent="0.2">
      <c r="I967"/>
    </row>
    <row r="968" spans="9:9" x14ac:dyDescent="0.2">
      <c r="I968"/>
    </row>
    <row r="969" spans="9:9" x14ac:dyDescent="0.2">
      <c r="I969"/>
    </row>
    <row r="970" spans="9:9" x14ac:dyDescent="0.2">
      <c r="I970"/>
    </row>
    <row r="971" spans="9:9" x14ac:dyDescent="0.2">
      <c r="I971"/>
    </row>
    <row r="972" spans="9:9" x14ac:dyDescent="0.2">
      <c r="I972"/>
    </row>
    <row r="973" spans="9:9" x14ac:dyDescent="0.2">
      <c r="I973"/>
    </row>
    <row r="974" spans="9:9" x14ac:dyDescent="0.2">
      <c r="I974"/>
    </row>
    <row r="975" spans="9:9" x14ac:dyDescent="0.2">
      <c r="I975"/>
    </row>
    <row r="976" spans="9:9" x14ac:dyDescent="0.2">
      <c r="I976"/>
    </row>
    <row r="977" spans="9:9" x14ac:dyDescent="0.2">
      <c r="I977"/>
    </row>
    <row r="978" spans="9:9" x14ac:dyDescent="0.2">
      <c r="I978"/>
    </row>
    <row r="979" spans="9:9" x14ac:dyDescent="0.2">
      <c r="I979"/>
    </row>
    <row r="980" spans="9:9" x14ac:dyDescent="0.2">
      <c r="I980"/>
    </row>
    <row r="981" spans="9:9" x14ac:dyDescent="0.2">
      <c r="I981"/>
    </row>
    <row r="982" spans="9:9" x14ac:dyDescent="0.2">
      <c r="I982"/>
    </row>
    <row r="983" spans="9:9" x14ac:dyDescent="0.2">
      <c r="I983"/>
    </row>
    <row r="984" spans="9:9" x14ac:dyDescent="0.2">
      <c r="I984"/>
    </row>
    <row r="985" spans="9:9" x14ac:dyDescent="0.2">
      <c r="I985"/>
    </row>
    <row r="986" spans="9:9" x14ac:dyDescent="0.2">
      <c r="I986"/>
    </row>
    <row r="987" spans="9:9" x14ac:dyDescent="0.2">
      <c r="I987"/>
    </row>
    <row r="988" spans="9:9" x14ac:dyDescent="0.2">
      <c r="I988"/>
    </row>
    <row r="989" spans="9:9" x14ac:dyDescent="0.2">
      <c r="I989"/>
    </row>
    <row r="990" spans="9:9" x14ac:dyDescent="0.2">
      <c r="I990"/>
    </row>
    <row r="991" spans="9:9" x14ac:dyDescent="0.2">
      <c r="I991"/>
    </row>
    <row r="992" spans="9:9" x14ac:dyDescent="0.2">
      <c r="I992"/>
    </row>
    <row r="993" spans="9:9" x14ac:dyDescent="0.2">
      <c r="I993"/>
    </row>
    <row r="994" spans="9:9" x14ac:dyDescent="0.2">
      <c r="I994"/>
    </row>
    <row r="995" spans="9:9" x14ac:dyDescent="0.2">
      <c r="I995"/>
    </row>
    <row r="996" spans="9:9" x14ac:dyDescent="0.2">
      <c r="I996"/>
    </row>
    <row r="997" spans="9:9" x14ac:dyDescent="0.2">
      <c r="I997"/>
    </row>
    <row r="998" spans="9:9" x14ac:dyDescent="0.2">
      <c r="I998"/>
    </row>
    <row r="999" spans="9:9" x14ac:dyDescent="0.2">
      <c r="I999"/>
    </row>
    <row r="1000" spans="9:9" x14ac:dyDescent="0.2">
      <c r="I1000"/>
    </row>
    <row r="1001" spans="9:9" x14ac:dyDescent="0.2">
      <c r="I1001"/>
    </row>
    <row r="1002" spans="9:9" x14ac:dyDescent="0.2">
      <c r="I1002"/>
    </row>
    <row r="1003" spans="9:9" x14ac:dyDescent="0.2">
      <c r="I1003"/>
    </row>
    <row r="1004" spans="9:9" x14ac:dyDescent="0.2">
      <c r="I1004"/>
    </row>
    <row r="1005" spans="9:9" x14ac:dyDescent="0.2">
      <c r="I1005"/>
    </row>
    <row r="1006" spans="9:9" x14ac:dyDescent="0.2">
      <c r="I1006"/>
    </row>
    <row r="1007" spans="9:9" x14ac:dyDescent="0.2">
      <c r="I1007"/>
    </row>
    <row r="1008" spans="9:9" x14ac:dyDescent="0.2">
      <c r="I1008"/>
    </row>
    <row r="1009" spans="9:9" x14ac:dyDescent="0.2">
      <c r="I1009"/>
    </row>
    <row r="1010" spans="9:9" x14ac:dyDescent="0.2">
      <c r="I1010"/>
    </row>
    <row r="1011" spans="9:9" x14ac:dyDescent="0.2">
      <c r="I1011"/>
    </row>
    <row r="1012" spans="9:9" x14ac:dyDescent="0.2">
      <c r="I1012"/>
    </row>
    <row r="1013" spans="9:9" x14ac:dyDescent="0.2">
      <c r="I1013"/>
    </row>
    <row r="1014" spans="9:9" x14ac:dyDescent="0.2">
      <c r="I1014"/>
    </row>
    <row r="1015" spans="9:9" x14ac:dyDescent="0.2">
      <c r="I1015"/>
    </row>
    <row r="1016" spans="9:9" x14ac:dyDescent="0.2">
      <c r="I1016"/>
    </row>
    <row r="1017" spans="9:9" x14ac:dyDescent="0.2">
      <c r="I1017"/>
    </row>
    <row r="1018" spans="9:9" x14ac:dyDescent="0.2">
      <c r="I1018"/>
    </row>
    <row r="1019" spans="9:9" x14ac:dyDescent="0.2">
      <c r="I1019"/>
    </row>
    <row r="1020" spans="9:9" x14ac:dyDescent="0.2">
      <c r="I1020"/>
    </row>
    <row r="1021" spans="9:9" x14ac:dyDescent="0.2">
      <c r="I1021"/>
    </row>
    <row r="1022" spans="9:9" x14ac:dyDescent="0.2">
      <c r="I1022"/>
    </row>
    <row r="1023" spans="9:9" x14ac:dyDescent="0.2">
      <c r="I1023"/>
    </row>
    <row r="1024" spans="9:9" x14ac:dyDescent="0.2">
      <c r="I1024"/>
    </row>
    <row r="1025" spans="9:9" x14ac:dyDescent="0.2">
      <c r="I1025"/>
    </row>
    <row r="1026" spans="9:9" x14ac:dyDescent="0.2">
      <c r="I1026"/>
    </row>
    <row r="1027" spans="9:9" x14ac:dyDescent="0.2">
      <c r="I1027"/>
    </row>
    <row r="1028" spans="9:9" x14ac:dyDescent="0.2">
      <c r="I1028"/>
    </row>
    <row r="1029" spans="9:9" x14ac:dyDescent="0.2">
      <c r="I1029"/>
    </row>
    <row r="1030" spans="9:9" x14ac:dyDescent="0.2">
      <c r="I1030"/>
    </row>
    <row r="1031" spans="9:9" x14ac:dyDescent="0.2">
      <c r="I1031"/>
    </row>
    <row r="1032" spans="9:9" x14ac:dyDescent="0.2">
      <c r="I1032"/>
    </row>
    <row r="1033" spans="9:9" x14ac:dyDescent="0.2">
      <c r="I1033"/>
    </row>
    <row r="1034" spans="9:9" x14ac:dyDescent="0.2">
      <c r="I1034"/>
    </row>
    <row r="1035" spans="9:9" x14ac:dyDescent="0.2">
      <c r="I1035"/>
    </row>
    <row r="1036" spans="9:9" x14ac:dyDescent="0.2">
      <c r="I1036"/>
    </row>
    <row r="1037" spans="9:9" x14ac:dyDescent="0.2">
      <c r="I1037"/>
    </row>
    <row r="1038" spans="9:9" x14ac:dyDescent="0.2">
      <c r="I1038"/>
    </row>
    <row r="1039" spans="9:9" x14ac:dyDescent="0.2">
      <c r="I1039"/>
    </row>
    <row r="1040" spans="9:9" x14ac:dyDescent="0.2">
      <c r="I1040"/>
    </row>
    <row r="1041" spans="9:9" x14ac:dyDescent="0.2">
      <c r="I1041"/>
    </row>
    <row r="1042" spans="9:9" x14ac:dyDescent="0.2">
      <c r="I1042"/>
    </row>
    <row r="1043" spans="9:9" x14ac:dyDescent="0.2">
      <c r="I1043"/>
    </row>
    <row r="1044" spans="9:9" x14ac:dyDescent="0.2">
      <c r="I1044"/>
    </row>
    <row r="1045" spans="9:9" x14ac:dyDescent="0.2">
      <c r="I1045"/>
    </row>
    <row r="1046" spans="9:9" x14ac:dyDescent="0.2">
      <c r="I1046"/>
    </row>
    <row r="1047" spans="9:9" x14ac:dyDescent="0.2">
      <c r="I1047"/>
    </row>
    <row r="1048" spans="9:9" x14ac:dyDescent="0.2">
      <c r="I1048"/>
    </row>
    <row r="1049" spans="9:9" x14ac:dyDescent="0.2">
      <c r="I1049"/>
    </row>
    <row r="1050" spans="9:9" x14ac:dyDescent="0.2">
      <c r="I1050"/>
    </row>
    <row r="1051" spans="9:9" x14ac:dyDescent="0.2">
      <c r="I1051"/>
    </row>
    <row r="1052" spans="9:9" x14ac:dyDescent="0.2">
      <c r="I1052"/>
    </row>
    <row r="1053" spans="9:9" x14ac:dyDescent="0.2">
      <c r="I1053"/>
    </row>
    <row r="1054" spans="9:9" x14ac:dyDescent="0.2">
      <c r="I1054"/>
    </row>
    <row r="1055" spans="9:9" x14ac:dyDescent="0.2">
      <c r="I1055"/>
    </row>
    <row r="1056" spans="9:9" x14ac:dyDescent="0.2">
      <c r="I1056"/>
    </row>
    <row r="1057" spans="9:9" x14ac:dyDescent="0.2">
      <c r="I1057"/>
    </row>
    <row r="1058" spans="9:9" x14ac:dyDescent="0.2">
      <c r="I1058"/>
    </row>
    <row r="1059" spans="9:9" x14ac:dyDescent="0.2">
      <c r="I1059"/>
    </row>
    <row r="1060" spans="9:9" x14ac:dyDescent="0.2">
      <c r="I1060"/>
    </row>
    <row r="1061" spans="9:9" x14ac:dyDescent="0.2">
      <c r="I1061"/>
    </row>
    <row r="1062" spans="9:9" x14ac:dyDescent="0.2">
      <c r="I1062"/>
    </row>
    <row r="1063" spans="9:9" x14ac:dyDescent="0.2">
      <c r="I1063"/>
    </row>
    <row r="1064" spans="9:9" x14ac:dyDescent="0.2">
      <c r="I1064"/>
    </row>
    <row r="1065" spans="9:9" x14ac:dyDescent="0.2">
      <c r="I1065"/>
    </row>
    <row r="1066" spans="9:9" x14ac:dyDescent="0.2">
      <c r="I1066"/>
    </row>
    <row r="1067" spans="9:9" x14ac:dyDescent="0.2">
      <c r="I1067"/>
    </row>
    <row r="1068" spans="9:9" x14ac:dyDescent="0.2">
      <c r="I1068"/>
    </row>
    <row r="1069" spans="9:9" x14ac:dyDescent="0.2">
      <c r="I1069"/>
    </row>
    <row r="1070" spans="9:9" x14ac:dyDescent="0.2">
      <c r="I1070"/>
    </row>
    <row r="1071" spans="9:9" x14ac:dyDescent="0.2">
      <c r="I1071"/>
    </row>
    <row r="1072" spans="9:9" x14ac:dyDescent="0.2">
      <c r="I1072"/>
    </row>
    <row r="1073" spans="9:9" x14ac:dyDescent="0.2">
      <c r="I1073"/>
    </row>
    <row r="1074" spans="9:9" x14ac:dyDescent="0.2">
      <c r="I1074"/>
    </row>
    <row r="1075" spans="9:9" x14ac:dyDescent="0.2">
      <c r="I1075"/>
    </row>
    <row r="1076" spans="9:9" x14ac:dyDescent="0.2">
      <c r="I1076"/>
    </row>
    <row r="1077" spans="9:9" x14ac:dyDescent="0.2">
      <c r="I1077"/>
    </row>
    <row r="1078" spans="9:9" x14ac:dyDescent="0.2">
      <c r="I1078"/>
    </row>
    <row r="1079" spans="9:9" x14ac:dyDescent="0.2">
      <c r="I1079"/>
    </row>
    <row r="1080" spans="9:9" x14ac:dyDescent="0.2">
      <c r="I1080"/>
    </row>
    <row r="1081" spans="9:9" x14ac:dyDescent="0.2">
      <c r="I1081"/>
    </row>
    <row r="1082" spans="9:9" x14ac:dyDescent="0.2">
      <c r="I1082"/>
    </row>
    <row r="1083" spans="9:9" x14ac:dyDescent="0.2">
      <c r="I1083"/>
    </row>
    <row r="1084" spans="9:9" x14ac:dyDescent="0.2">
      <c r="I1084"/>
    </row>
    <row r="1085" spans="9:9" x14ac:dyDescent="0.2">
      <c r="I1085"/>
    </row>
    <row r="1086" spans="9:9" x14ac:dyDescent="0.2">
      <c r="I1086"/>
    </row>
    <row r="1087" spans="9:9" x14ac:dyDescent="0.2">
      <c r="I1087"/>
    </row>
    <row r="1088" spans="9:9" x14ac:dyDescent="0.2">
      <c r="I1088"/>
    </row>
    <row r="1089" spans="9:9" x14ac:dyDescent="0.2">
      <c r="I1089"/>
    </row>
    <row r="1090" spans="9:9" x14ac:dyDescent="0.2">
      <c r="I1090"/>
    </row>
    <row r="1091" spans="9:9" x14ac:dyDescent="0.2">
      <c r="I1091"/>
    </row>
    <row r="1092" spans="9:9" x14ac:dyDescent="0.2">
      <c r="I1092"/>
    </row>
    <row r="1093" spans="9:9" x14ac:dyDescent="0.2">
      <c r="I1093"/>
    </row>
    <row r="1094" spans="9:9" x14ac:dyDescent="0.2">
      <c r="I1094"/>
    </row>
    <row r="1095" spans="9:9" x14ac:dyDescent="0.2">
      <c r="I1095"/>
    </row>
    <row r="1096" spans="9:9" x14ac:dyDescent="0.2">
      <c r="I1096"/>
    </row>
    <row r="1097" spans="9:9" x14ac:dyDescent="0.2">
      <c r="I1097"/>
    </row>
    <row r="1098" spans="9:9" x14ac:dyDescent="0.2">
      <c r="I1098"/>
    </row>
    <row r="1099" spans="9:9" x14ac:dyDescent="0.2">
      <c r="I1099"/>
    </row>
    <row r="1100" spans="9:9" x14ac:dyDescent="0.2">
      <c r="I1100"/>
    </row>
    <row r="1101" spans="9:9" x14ac:dyDescent="0.2">
      <c r="I1101"/>
    </row>
    <row r="1102" spans="9:9" x14ac:dyDescent="0.2">
      <c r="I1102"/>
    </row>
    <row r="1103" spans="9:9" x14ac:dyDescent="0.2">
      <c r="I1103"/>
    </row>
    <row r="1104" spans="9:9" x14ac:dyDescent="0.2">
      <c r="I1104"/>
    </row>
    <row r="1105" spans="9:9" x14ac:dyDescent="0.2">
      <c r="I1105"/>
    </row>
    <row r="1106" spans="9:9" x14ac:dyDescent="0.2">
      <c r="I1106"/>
    </row>
    <row r="1107" spans="9:9" x14ac:dyDescent="0.2">
      <c r="I1107"/>
    </row>
    <row r="1108" spans="9:9" x14ac:dyDescent="0.2">
      <c r="I1108"/>
    </row>
    <row r="1109" spans="9:9" x14ac:dyDescent="0.2">
      <c r="I1109"/>
    </row>
    <row r="1110" spans="9:9" x14ac:dyDescent="0.2">
      <c r="I1110"/>
    </row>
    <row r="1111" spans="9:9" x14ac:dyDescent="0.2">
      <c r="I1111"/>
    </row>
    <row r="1112" spans="9:9" x14ac:dyDescent="0.2">
      <c r="I1112"/>
    </row>
    <row r="1113" spans="9:9" x14ac:dyDescent="0.2">
      <c r="I1113"/>
    </row>
    <row r="1114" spans="9:9" x14ac:dyDescent="0.2">
      <c r="I1114"/>
    </row>
    <row r="1115" spans="9:9" x14ac:dyDescent="0.2">
      <c r="I1115"/>
    </row>
    <row r="1116" spans="9:9" x14ac:dyDescent="0.2">
      <c r="I1116"/>
    </row>
    <row r="1117" spans="9:9" x14ac:dyDescent="0.2">
      <c r="I1117"/>
    </row>
    <row r="1118" spans="9:9" x14ac:dyDescent="0.2">
      <c r="I1118"/>
    </row>
    <row r="1119" spans="9:9" x14ac:dyDescent="0.2">
      <c r="I1119"/>
    </row>
    <row r="1120" spans="9:9" x14ac:dyDescent="0.2">
      <c r="I1120"/>
    </row>
    <row r="1121" spans="9:9" x14ac:dyDescent="0.2">
      <c r="I1121"/>
    </row>
    <row r="1122" spans="9:9" x14ac:dyDescent="0.2">
      <c r="I1122"/>
    </row>
    <row r="1123" spans="9:9" x14ac:dyDescent="0.2">
      <c r="I1123"/>
    </row>
    <row r="1124" spans="9:9" x14ac:dyDescent="0.2">
      <c r="I1124"/>
    </row>
    <row r="1125" spans="9:9" x14ac:dyDescent="0.2">
      <c r="I1125"/>
    </row>
    <row r="1126" spans="9:9" x14ac:dyDescent="0.2">
      <c r="I1126"/>
    </row>
    <row r="1127" spans="9:9" x14ac:dyDescent="0.2">
      <c r="I1127"/>
    </row>
    <row r="1128" spans="9:9" x14ac:dyDescent="0.2">
      <c r="I1128"/>
    </row>
    <row r="1129" spans="9:9" x14ac:dyDescent="0.2">
      <c r="I1129"/>
    </row>
    <row r="1130" spans="9:9" x14ac:dyDescent="0.2">
      <c r="I1130"/>
    </row>
    <row r="1131" spans="9:9" x14ac:dyDescent="0.2">
      <c r="I1131"/>
    </row>
    <row r="1132" spans="9:9" x14ac:dyDescent="0.2">
      <c r="I1132"/>
    </row>
    <row r="1133" spans="9:9" x14ac:dyDescent="0.2">
      <c r="I1133"/>
    </row>
    <row r="1134" spans="9:9" x14ac:dyDescent="0.2">
      <c r="I1134"/>
    </row>
    <row r="1135" spans="9:9" x14ac:dyDescent="0.2">
      <c r="I1135"/>
    </row>
    <row r="1136" spans="9:9" x14ac:dyDescent="0.2">
      <c r="I1136"/>
    </row>
    <row r="1137" spans="9:9" x14ac:dyDescent="0.2">
      <c r="I1137"/>
    </row>
    <row r="1138" spans="9:9" x14ac:dyDescent="0.2">
      <c r="I1138"/>
    </row>
    <row r="1139" spans="9:9" x14ac:dyDescent="0.2">
      <c r="I1139"/>
    </row>
    <row r="1140" spans="9:9" x14ac:dyDescent="0.2">
      <c r="I1140"/>
    </row>
    <row r="1141" spans="9:9" x14ac:dyDescent="0.2">
      <c r="I1141"/>
    </row>
    <row r="1142" spans="9:9" x14ac:dyDescent="0.2">
      <c r="I1142"/>
    </row>
    <row r="1143" spans="9:9" x14ac:dyDescent="0.2">
      <c r="I1143"/>
    </row>
    <row r="1144" spans="9:9" x14ac:dyDescent="0.2">
      <c r="I1144"/>
    </row>
    <row r="1145" spans="9:9" x14ac:dyDescent="0.2">
      <c r="I1145"/>
    </row>
    <row r="1146" spans="9:9" x14ac:dyDescent="0.2">
      <c r="I1146"/>
    </row>
    <row r="1147" spans="9:9" x14ac:dyDescent="0.2">
      <c r="I1147"/>
    </row>
    <row r="1148" spans="9:9" x14ac:dyDescent="0.2">
      <c r="I1148"/>
    </row>
    <row r="1149" spans="9:9" x14ac:dyDescent="0.2">
      <c r="I1149"/>
    </row>
    <row r="1150" spans="9:9" x14ac:dyDescent="0.2">
      <c r="I1150"/>
    </row>
    <row r="1151" spans="9:9" x14ac:dyDescent="0.2">
      <c r="I1151"/>
    </row>
    <row r="1152" spans="9:9" x14ac:dyDescent="0.2">
      <c r="I1152"/>
    </row>
    <row r="1153" spans="9:9" x14ac:dyDescent="0.2">
      <c r="I1153"/>
    </row>
    <row r="1154" spans="9:9" x14ac:dyDescent="0.2">
      <c r="I1154"/>
    </row>
    <row r="1155" spans="9:9" x14ac:dyDescent="0.2">
      <c r="I1155"/>
    </row>
    <row r="1156" spans="9:9" x14ac:dyDescent="0.2">
      <c r="I1156"/>
    </row>
    <row r="1157" spans="9:9" x14ac:dyDescent="0.2">
      <c r="I1157"/>
    </row>
    <row r="1158" spans="9:9" x14ac:dyDescent="0.2">
      <c r="I1158"/>
    </row>
    <row r="1159" spans="9:9" x14ac:dyDescent="0.2">
      <c r="I1159"/>
    </row>
    <row r="1160" spans="9:9" x14ac:dyDescent="0.2">
      <c r="I1160"/>
    </row>
    <row r="1161" spans="9:9" x14ac:dyDescent="0.2">
      <c r="I1161"/>
    </row>
    <row r="1162" spans="9:9" x14ac:dyDescent="0.2">
      <c r="I1162"/>
    </row>
    <row r="1163" spans="9:9" x14ac:dyDescent="0.2">
      <c r="I1163"/>
    </row>
    <row r="1164" spans="9:9" x14ac:dyDescent="0.2">
      <c r="I1164"/>
    </row>
    <row r="1165" spans="9:9" x14ac:dyDescent="0.2">
      <c r="I1165"/>
    </row>
    <row r="1166" spans="9:9" x14ac:dyDescent="0.2">
      <c r="I1166"/>
    </row>
    <row r="1167" spans="9:9" x14ac:dyDescent="0.2">
      <c r="I1167"/>
    </row>
    <row r="1168" spans="9:9" x14ac:dyDescent="0.2">
      <c r="I1168"/>
    </row>
    <row r="1169" spans="9:9" x14ac:dyDescent="0.2">
      <c r="I1169"/>
    </row>
    <row r="1170" spans="9:9" x14ac:dyDescent="0.2">
      <c r="I1170"/>
    </row>
    <row r="1171" spans="9:9" x14ac:dyDescent="0.2">
      <c r="I1171"/>
    </row>
    <row r="1172" spans="9:9" x14ac:dyDescent="0.2">
      <c r="I1172"/>
    </row>
    <row r="1173" spans="9:9" x14ac:dyDescent="0.2">
      <c r="I1173"/>
    </row>
    <row r="1174" spans="9:9" x14ac:dyDescent="0.2">
      <c r="I1174"/>
    </row>
    <row r="1175" spans="9:9" x14ac:dyDescent="0.2">
      <c r="I1175"/>
    </row>
    <row r="1176" spans="9:9" x14ac:dyDescent="0.2">
      <c r="I1176"/>
    </row>
    <row r="1177" spans="9:9" x14ac:dyDescent="0.2">
      <c r="I1177"/>
    </row>
    <row r="1178" spans="9:9" x14ac:dyDescent="0.2">
      <c r="I1178"/>
    </row>
    <row r="1179" spans="9:9" x14ac:dyDescent="0.2">
      <c r="I1179"/>
    </row>
    <row r="1180" spans="9:9" x14ac:dyDescent="0.2">
      <c r="I1180"/>
    </row>
    <row r="1181" spans="9:9" x14ac:dyDescent="0.2">
      <c r="I1181"/>
    </row>
    <row r="1182" spans="9:9" x14ac:dyDescent="0.2">
      <c r="I1182"/>
    </row>
    <row r="1183" spans="9:9" x14ac:dyDescent="0.2">
      <c r="I1183"/>
    </row>
    <row r="1184" spans="9:9" x14ac:dyDescent="0.2">
      <c r="I1184"/>
    </row>
    <row r="1185" spans="9:9" x14ac:dyDescent="0.2">
      <c r="I1185"/>
    </row>
    <row r="1186" spans="9:9" x14ac:dyDescent="0.2">
      <c r="I1186"/>
    </row>
    <row r="1187" spans="9:9" x14ac:dyDescent="0.2">
      <c r="I1187"/>
    </row>
    <row r="1188" spans="9:9" x14ac:dyDescent="0.2">
      <c r="I1188"/>
    </row>
    <row r="1189" spans="9:9" x14ac:dyDescent="0.2">
      <c r="I1189"/>
    </row>
    <row r="1190" spans="9:9" x14ac:dyDescent="0.2">
      <c r="I1190"/>
    </row>
    <row r="1191" spans="9:9" x14ac:dyDescent="0.2">
      <c r="I1191"/>
    </row>
    <row r="1192" spans="9:9" x14ac:dyDescent="0.2">
      <c r="I1192"/>
    </row>
    <row r="1193" spans="9:9" x14ac:dyDescent="0.2">
      <c r="I1193"/>
    </row>
    <row r="1194" spans="9:9" x14ac:dyDescent="0.2">
      <c r="I1194"/>
    </row>
    <row r="1195" spans="9:9" x14ac:dyDescent="0.2">
      <c r="I1195"/>
    </row>
    <row r="1196" spans="9:9" x14ac:dyDescent="0.2">
      <c r="I1196"/>
    </row>
    <row r="1197" spans="9:9" x14ac:dyDescent="0.2">
      <c r="I1197"/>
    </row>
    <row r="1198" spans="9:9" x14ac:dyDescent="0.2">
      <c r="I1198"/>
    </row>
    <row r="1199" spans="9:9" x14ac:dyDescent="0.2">
      <c r="I1199"/>
    </row>
    <row r="1200" spans="9:9" x14ac:dyDescent="0.2">
      <c r="I1200"/>
    </row>
    <row r="1201" spans="9:9" x14ac:dyDescent="0.2">
      <c r="I1201"/>
    </row>
    <row r="1202" spans="9:9" x14ac:dyDescent="0.2">
      <c r="I1202"/>
    </row>
    <row r="1203" spans="9:9" x14ac:dyDescent="0.2">
      <c r="I1203"/>
    </row>
    <row r="1204" spans="9:9" x14ac:dyDescent="0.2">
      <c r="I1204"/>
    </row>
    <row r="1205" spans="9:9" x14ac:dyDescent="0.2">
      <c r="I1205"/>
    </row>
    <row r="1206" spans="9:9" x14ac:dyDescent="0.2">
      <c r="I1206"/>
    </row>
    <row r="1207" spans="9:9" x14ac:dyDescent="0.2">
      <c r="I1207"/>
    </row>
    <row r="1208" spans="9:9" x14ac:dyDescent="0.2">
      <c r="I1208"/>
    </row>
    <row r="1209" spans="9:9" x14ac:dyDescent="0.2">
      <c r="I1209"/>
    </row>
    <row r="1210" spans="9:9" x14ac:dyDescent="0.2">
      <c r="I1210"/>
    </row>
    <row r="1211" spans="9:9" x14ac:dyDescent="0.2">
      <c r="I1211"/>
    </row>
    <row r="1212" spans="9:9" x14ac:dyDescent="0.2">
      <c r="I1212"/>
    </row>
    <row r="1213" spans="9:9" x14ac:dyDescent="0.2">
      <c r="I1213"/>
    </row>
    <row r="1214" spans="9:9" x14ac:dyDescent="0.2">
      <c r="I1214"/>
    </row>
    <row r="1215" spans="9:9" x14ac:dyDescent="0.2">
      <c r="I1215"/>
    </row>
    <row r="1216" spans="9:9" x14ac:dyDescent="0.2">
      <c r="I1216"/>
    </row>
    <row r="1217" spans="9:9" x14ac:dyDescent="0.2">
      <c r="I1217"/>
    </row>
    <row r="1218" spans="9:9" x14ac:dyDescent="0.2">
      <c r="I1218"/>
    </row>
    <row r="1219" spans="9:9" x14ac:dyDescent="0.2">
      <c r="I1219"/>
    </row>
    <row r="1220" spans="9:9" x14ac:dyDescent="0.2">
      <c r="I1220"/>
    </row>
    <row r="1221" spans="9:9" x14ac:dyDescent="0.2">
      <c r="I1221"/>
    </row>
    <row r="1222" spans="9:9" x14ac:dyDescent="0.2">
      <c r="I1222"/>
    </row>
    <row r="1223" spans="9:9" x14ac:dyDescent="0.2">
      <c r="I1223"/>
    </row>
    <row r="1224" spans="9:9" x14ac:dyDescent="0.2">
      <c r="I1224"/>
    </row>
    <row r="1225" spans="9:9" x14ac:dyDescent="0.2">
      <c r="I1225"/>
    </row>
    <row r="1226" spans="9:9" x14ac:dyDescent="0.2">
      <c r="I1226"/>
    </row>
    <row r="1227" spans="9:9" x14ac:dyDescent="0.2">
      <c r="I1227"/>
    </row>
    <row r="1228" spans="9:9" x14ac:dyDescent="0.2">
      <c r="I1228"/>
    </row>
    <row r="1229" spans="9:9" x14ac:dyDescent="0.2">
      <c r="I1229"/>
    </row>
    <row r="1230" spans="9:9" x14ac:dyDescent="0.2">
      <c r="I1230"/>
    </row>
    <row r="1231" spans="9:9" x14ac:dyDescent="0.2">
      <c r="I1231"/>
    </row>
    <row r="1232" spans="9:9" x14ac:dyDescent="0.2">
      <c r="I1232"/>
    </row>
    <row r="1233" spans="9:9" x14ac:dyDescent="0.2">
      <c r="I1233"/>
    </row>
    <row r="1234" spans="9:9" x14ac:dyDescent="0.2">
      <c r="I1234"/>
    </row>
    <row r="1235" spans="9:9" x14ac:dyDescent="0.2">
      <c r="I1235"/>
    </row>
    <row r="1236" spans="9:9" x14ac:dyDescent="0.2">
      <c r="I1236"/>
    </row>
    <row r="1237" spans="9:9" x14ac:dyDescent="0.2">
      <c r="I1237"/>
    </row>
    <row r="1238" spans="9:9" x14ac:dyDescent="0.2">
      <c r="I1238"/>
    </row>
    <row r="1239" spans="9:9" x14ac:dyDescent="0.2">
      <c r="I1239"/>
    </row>
    <row r="1240" spans="9:9" x14ac:dyDescent="0.2">
      <c r="I1240"/>
    </row>
    <row r="1241" spans="9:9" x14ac:dyDescent="0.2">
      <c r="I1241"/>
    </row>
    <row r="1242" spans="9:9" x14ac:dyDescent="0.2">
      <c r="I1242"/>
    </row>
    <row r="1243" spans="9:9" x14ac:dyDescent="0.2">
      <c r="I1243"/>
    </row>
    <row r="1244" spans="9:9" x14ac:dyDescent="0.2">
      <c r="I1244"/>
    </row>
    <row r="1245" spans="9:9" x14ac:dyDescent="0.2">
      <c r="I1245"/>
    </row>
    <row r="1246" spans="9:9" x14ac:dyDescent="0.2">
      <c r="I1246"/>
    </row>
    <row r="1247" spans="9:9" x14ac:dyDescent="0.2">
      <c r="I1247"/>
    </row>
    <row r="1248" spans="9:9" x14ac:dyDescent="0.2">
      <c r="I1248"/>
    </row>
    <row r="1249" spans="9:9" x14ac:dyDescent="0.2">
      <c r="I1249"/>
    </row>
    <row r="1250" spans="9:9" x14ac:dyDescent="0.2">
      <c r="I1250"/>
    </row>
    <row r="1251" spans="9:9" x14ac:dyDescent="0.2">
      <c r="I1251"/>
    </row>
    <row r="1252" spans="9:9" x14ac:dyDescent="0.2">
      <c r="I1252"/>
    </row>
    <row r="1253" spans="9:9" x14ac:dyDescent="0.2">
      <c r="I1253"/>
    </row>
    <row r="1254" spans="9:9" x14ac:dyDescent="0.2">
      <c r="I1254"/>
    </row>
    <row r="1255" spans="9:9" x14ac:dyDescent="0.2">
      <c r="I1255"/>
    </row>
    <row r="1256" spans="9:9" x14ac:dyDescent="0.2">
      <c r="I1256"/>
    </row>
    <row r="1257" spans="9:9" x14ac:dyDescent="0.2">
      <c r="I1257"/>
    </row>
    <row r="1258" spans="9:9" x14ac:dyDescent="0.2">
      <c r="I1258"/>
    </row>
    <row r="1259" spans="9:9" x14ac:dyDescent="0.2">
      <c r="I1259"/>
    </row>
    <row r="1260" spans="9:9" x14ac:dyDescent="0.2">
      <c r="I1260"/>
    </row>
    <row r="1261" spans="9:9" x14ac:dyDescent="0.2">
      <c r="I1261"/>
    </row>
    <row r="1262" spans="9:9" x14ac:dyDescent="0.2">
      <c r="I1262"/>
    </row>
    <row r="1263" spans="9:9" x14ac:dyDescent="0.2">
      <c r="I1263"/>
    </row>
    <row r="1264" spans="9:9" x14ac:dyDescent="0.2">
      <c r="I1264"/>
    </row>
    <row r="1265" spans="9:9" x14ac:dyDescent="0.2">
      <c r="I1265"/>
    </row>
    <row r="1266" spans="9:9" x14ac:dyDescent="0.2">
      <c r="I1266"/>
    </row>
    <row r="1267" spans="9:9" x14ac:dyDescent="0.2">
      <c r="I1267"/>
    </row>
    <row r="1268" spans="9:9" x14ac:dyDescent="0.2">
      <c r="I1268"/>
    </row>
    <row r="1269" spans="9:9" x14ac:dyDescent="0.2">
      <c r="I1269"/>
    </row>
    <row r="1270" spans="9:9" x14ac:dyDescent="0.2">
      <c r="I1270"/>
    </row>
    <row r="1271" spans="9:9" x14ac:dyDescent="0.2">
      <c r="I1271"/>
    </row>
    <row r="1272" spans="9:9" x14ac:dyDescent="0.2">
      <c r="I1272"/>
    </row>
    <row r="1273" spans="9:9" x14ac:dyDescent="0.2">
      <c r="I1273"/>
    </row>
    <row r="1274" spans="9:9" x14ac:dyDescent="0.2">
      <c r="I1274"/>
    </row>
    <row r="1275" spans="9:9" x14ac:dyDescent="0.2">
      <c r="I1275"/>
    </row>
    <row r="1276" spans="9:9" x14ac:dyDescent="0.2">
      <c r="I1276"/>
    </row>
    <row r="1277" spans="9:9" x14ac:dyDescent="0.2">
      <c r="I1277"/>
    </row>
    <row r="1278" spans="9:9" x14ac:dyDescent="0.2">
      <c r="I1278"/>
    </row>
    <row r="1279" spans="9:9" x14ac:dyDescent="0.2">
      <c r="I1279"/>
    </row>
    <row r="1280" spans="9:9" x14ac:dyDescent="0.2">
      <c r="I1280"/>
    </row>
    <row r="1281" spans="9:9" x14ac:dyDescent="0.2">
      <c r="I1281"/>
    </row>
    <row r="1282" spans="9:9" x14ac:dyDescent="0.2">
      <c r="I1282"/>
    </row>
    <row r="1283" spans="9:9" x14ac:dyDescent="0.2">
      <c r="I1283"/>
    </row>
    <row r="1284" spans="9:9" x14ac:dyDescent="0.2">
      <c r="I1284"/>
    </row>
    <row r="1285" spans="9:9" x14ac:dyDescent="0.2">
      <c r="I1285"/>
    </row>
    <row r="1286" spans="9:9" x14ac:dyDescent="0.2">
      <c r="I1286"/>
    </row>
    <row r="1287" spans="9:9" x14ac:dyDescent="0.2">
      <c r="I1287"/>
    </row>
    <row r="1288" spans="9:9" x14ac:dyDescent="0.2">
      <c r="I1288"/>
    </row>
    <row r="1289" spans="9:9" x14ac:dyDescent="0.2">
      <c r="I1289"/>
    </row>
    <row r="1290" spans="9:9" x14ac:dyDescent="0.2">
      <c r="I1290"/>
    </row>
    <row r="1291" spans="9:9" x14ac:dyDescent="0.2">
      <c r="I1291"/>
    </row>
    <row r="1292" spans="9:9" x14ac:dyDescent="0.2">
      <c r="I1292"/>
    </row>
    <row r="1293" spans="9:9" x14ac:dyDescent="0.2">
      <c r="I1293"/>
    </row>
    <row r="1294" spans="9:9" x14ac:dyDescent="0.2">
      <c r="I1294"/>
    </row>
    <row r="1295" spans="9:9" x14ac:dyDescent="0.2">
      <c r="I1295"/>
    </row>
    <row r="1296" spans="9:9" x14ac:dyDescent="0.2">
      <c r="I1296"/>
    </row>
    <row r="1297" spans="9:9" x14ac:dyDescent="0.2">
      <c r="I1297"/>
    </row>
    <row r="1298" spans="9:9" x14ac:dyDescent="0.2">
      <c r="I1298"/>
    </row>
    <row r="1299" spans="9:9" x14ac:dyDescent="0.2">
      <c r="I1299"/>
    </row>
    <row r="1300" spans="9:9" x14ac:dyDescent="0.2">
      <c r="I1300"/>
    </row>
    <row r="1301" spans="9:9" x14ac:dyDescent="0.2">
      <c r="I1301"/>
    </row>
    <row r="1302" spans="9:9" x14ac:dyDescent="0.2">
      <c r="I1302"/>
    </row>
    <row r="1303" spans="9:9" x14ac:dyDescent="0.2">
      <c r="I1303"/>
    </row>
    <row r="1304" spans="9:9" x14ac:dyDescent="0.2">
      <c r="I1304"/>
    </row>
    <row r="1305" spans="9:9" x14ac:dyDescent="0.2">
      <c r="I1305"/>
    </row>
    <row r="1306" spans="9:9" x14ac:dyDescent="0.2">
      <c r="I1306"/>
    </row>
    <row r="1307" spans="9:9" x14ac:dyDescent="0.2">
      <c r="I1307"/>
    </row>
    <row r="1308" spans="9:9" x14ac:dyDescent="0.2">
      <c r="I1308"/>
    </row>
    <row r="1309" spans="9:9" x14ac:dyDescent="0.2">
      <c r="I1309"/>
    </row>
    <row r="1310" spans="9:9" x14ac:dyDescent="0.2">
      <c r="I1310"/>
    </row>
    <row r="1311" spans="9:9" x14ac:dyDescent="0.2">
      <c r="I1311"/>
    </row>
    <row r="1312" spans="9:9" x14ac:dyDescent="0.2">
      <c r="I1312"/>
    </row>
    <row r="1313" spans="9:9" x14ac:dyDescent="0.2">
      <c r="I1313"/>
    </row>
    <row r="1314" spans="9:9" x14ac:dyDescent="0.2">
      <c r="I1314"/>
    </row>
    <row r="1315" spans="9:9" x14ac:dyDescent="0.2">
      <c r="I1315"/>
    </row>
    <row r="1316" spans="9:9" x14ac:dyDescent="0.2">
      <c r="I1316"/>
    </row>
    <row r="1317" spans="9:9" x14ac:dyDescent="0.2">
      <c r="I1317"/>
    </row>
    <row r="1318" spans="9:9" x14ac:dyDescent="0.2">
      <c r="I1318"/>
    </row>
    <row r="1319" spans="9:9" x14ac:dyDescent="0.2">
      <c r="I1319"/>
    </row>
    <row r="1320" spans="9:9" x14ac:dyDescent="0.2">
      <c r="I1320"/>
    </row>
    <row r="1321" spans="9:9" x14ac:dyDescent="0.2">
      <c r="I1321"/>
    </row>
    <row r="1322" spans="9:9" x14ac:dyDescent="0.2">
      <c r="I1322"/>
    </row>
    <row r="1323" spans="9:9" x14ac:dyDescent="0.2">
      <c r="I1323"/>
    </row>
    <row r="1324" spans="9:9" x14ac:dyDescent="0.2">
      <c r="I1324"/>
    </row>
    <row r="1325" spans="9:9" x14ac:dyDescent="0.2">
      <c r="I1325"/>
    </row>
    <row r="1326" spans="9:9" x14ac:dyDescent="0.2">
      <c r="I1326"/>
    </row>
    <row r="1327" spans="9:9" x14ac:dyDescent="0.2">
      <c r="I1327"/>
    </row>
    <row r="1328" spans="9:9" x14ac:dyDescent="0.2">
      <c r="I1328"/>
    </row>
    <row r="1329" spans="9:9" x14ac:dyDescent="0.2">
      <c r="I1329"/>
    </row>
    <row r="1330" spans="9:9" x14ac:dyDescent="0.2">
      <c r="I1330"/>
    </row>
    <row r="1331" spans="9:9" x14ac:dyDescent="0.2">
      <c r="I1331"/>
    </row>
    <row r="1332" spans="9:9" x14ac:dyDescent="0.2">
      <c r="I1332"/>
    </row>
    <row r="1333" spans="9:9" x14ac:dyDescent="0.2">
      <c r="I1333"/>
    </row>
    <row r="1334" spans="9:9" x14ac:dyDescent="0.2">
      <c r="I1334"/>
    </row>
    <row r="1335" spans="9:9" x14ac:dyDescent="0.2">
      <c r="I1335"/>
    </row>
    <row r="1336" spans="9:9" x14ac:dyDescent="0.2">
      <c r="I1336"/>
    </row>
    <row r="1337" spans="9:9" x14ac:dyDescent="0.2">
      <c r="I1337"/>
    </row>
    <row r="1338" spans="9:9" x14ac:dyDescent="0.2">
      <c r="I1338"/>
    </row>
    <row r="1339" spans="9:9" x14ac:dyDescent="0.2">
      <c r="I1339"/>
    </row>
    <row r="1340" spans="9:9" x14ac:dyDescent="0.2">
      <c r="I1340"/>
    </row>
    <row r="1341" spans="9:9" x14ac:dyDescent="0.2">
      <c r="I1341"/>
    </row>
    <row r="1342" spans="9:9" x14ac:dyDescent="0.2">
      <c r="I1342"/>
    </row>
    <row r="1343" spans="9:9" x14ac:dyDescent="0.2">
      <c r="I1343"/>
    </row>
    <row r="1344" spans="9:9" x14ac:dyDescent="0.2">
      <c r="I1344"/>
    </row>
    <row r="1345" spans="9:9" x14ac:dyDescent="0.2">
      <c r="I1345"/>
    </row>
    <row r="1346" spans="9:9" x14ac:dyDescent="0.2">
      <c r="I1346"/>
    </row>
    <row r="1347" spans="9:9" x14ac:dyDescent="0.2">
      <c r="I1347"/>
    </row>
    <row r="1348" spans="9:9" x14ac:dyDescent="0.2">
      <c r="I1348"/>
    </row>
    <row r="1349" spans="9:9" x14ac:dyDescent="0.2">
      <c r="I1349"/>
    </row>
    <row r="1350" spans="9:9" x14ac:dyDescent="0.2">
      <c r="I1350"/>
    </row>
    <row r="1351" spans="9:9" x14ac:dyDescent="0.2">
      <c r="I1351"/>
    </row>
    <row r="1352" spans="9:9" x14ac:dyDescent="0.2">
      <c r="I1352"/>
    </row>
    <row r="1353" spans="9:9" x14ac:dyDescent="0.2">
      <c r="I1353"/>
    </row>
    <row r="1354" spans="9:9" x14ac:dyDescent="0.2">
      <c r="I1354"/>
    </row>
    <row r="1355" spans="9:9" x14ac:dyDescent="0.2">
      <c r="I1355"/>
    </row>
    <row r="1356" spans="9:9" x14ac:dyDescent="0.2">
      <c r="I1356"/>
    </row>
    <row r="1357" spans="9:9" x14ac:dyDescent="0.2">
      <c r="I1357"/>
    </row>
    <row r="1358" spans="9:9" x14ac:dyDescent="0.2">
      <c r="I1358"/>
    </row>
    <row r="1359" spans="9:9" x14ac:dyDescent="0.2">
      <c r="I1359"/>
    </row>
    <row r="1360" spans="9:9" x14ac:dyDescent="0.2">
      <c r="I1360"/>
    </row>
    <row r="1361" spans="9:9" x14ac:dyDescent="0.2">
      <c r="I1361"/>
    </row>
    <row r="1362" spans="9:9" x14ac:dyDescent="0.2">
      <c r="I1362"/>
    </row>
    <row r="1363" spans="9:9" x14ac:dyDescent="0.2">
      <c r="I1363"/>
    </row>
    <row r="1364" spans="9:9" x14ac:dyDescent="0.2">
      <c r="I1364"/>
    </row>
    <row r="1365" spans="9:9" x14ac:dyDescent="0.2">
      <c r="I1365"/>
    </row>
    <row r="1366" spans="9:9" x14ac:dyDescent="0.2">
      <c r="I1366"/>
    </row>
    <row r="1367" spans="9:9" x14ac:dyDescent="0.2">
      <c r="I1367"/>
    </row>
    <row r="1368" spans="9:9" x14ac:dyDescent="0.2">
      <c r="I1368"/>
    </row>
    <row r="1369" spans="9:9" x14ac:dyDescent="0.2">
      <c r="I1369"/>
    </row>
    <row r="1370" spans="9:9" x14ac:dyDescent="0.2">
      <c r="I1370"/>
    </row>
    <row r="1371" spans="9:9" x14ac:dyDescent="0.2">
      <c r="I1371"/>
    </row>
    <row r="1372" spans="9:9" x14ac:dyDescent="0.2">
      <c r="I1372"/>
    </row>
    <row r="1373" spans="9:9" x14ac:dyDescent="0.2">
      <c r="I1373"/>
    </row>
    <row r="1374" spans="9:9" x14ac:dyDescent="0.2">
      <c r="I1374"/>
    </row>
    <row r="1375" spans="9:9" x14ac:dyDescent="0.2">
      <c r="I1375"/>
    </row>
    <row r="1376" spans="9:9" x14ac:dyDescent="0.2">
      <c r="I1376"/>
    </row>
    <row r="1377" spans="9:9" x14ac:dyDescent="0.2">
      <c r="I1377"/>
    </row>
    <row r="1378" spans="9:9" x14ac:dyDescent="0.2">
      <c r="I1378"/>
    </row>
    <row r="1379" spans="9:9" x14ac:dyDescent="0.2">
      <c r="I1379"/>
    </row>
    <row r="1380" spans="9:9" x14ac:dyDescent="0.2">
      <c r="I1380"/>
    </row>
    <row r="1381" spans="9:9" x14ac:dyDescent="0.2">
      <c r="I1381"/>
    </row>
    <row r="1382" spans="9:9" x14ac:dyDescent="0.2">
      <c r="I1382"/>
    </row>
    <row r="1383" spans="9:9" x14ac:dyDescent="0.2">
      <c r="I1383"/>
    </row>
    <row r="1384" spans="9:9" x14ac:dyDescent="0.2">
      <c r="I1384"/>
    </row>
    <row r="1385" spans="9:9" x14ac:dyDescent="0.2">
      <c r="I1385"/>
    </row>
    <row r="1386" spans="9:9" x14ac:dyDescent="0.2">
      <c r="I1386"/>
    </row>
    <row r="1387" spans="9:9" x14ac:dyDescent="0.2">
      <c r="I1387"/>
    </row>
    <row r="1388" spans="9:9" x14ac:dyDescent="0.2">
      <c r="I1388"/>
    </row>
    <row r="1389" spans="9:9" x14ac:dyDescent="0.2">
      <c r="I1389"/>
    </row>
    <row r="1390" spans="9:9" x14ac:dyDescent="0.2">
      <c r="I1390"/>
    </row>
    <row r="1391" spans="9:9" x14ac:dyDescent="0.2">
      <c r="I1391"/>
    </row>
    <row r="1392" spans="9:9" x14ac:dyDescent="0.2">
      <c r="I1392"/>
    </row>
    <row r="1393" spans="9:9" x14ac:dyDescent="0.2">
      <c r="I1393"/>
    </row>
    <row r="1394" spans="9:9" x14ac:dyDescent="0.2">
      <c r="I1394"/>
    </row>
    <row r="1395" spans="9:9" x14ac:dyDescent="0.2">
      <c r="I1395"/>
    </row>
    <row r="1396" spans="9:9" x14ac:dyDescent="0.2">
      <c r="I1396"/>
    </row>
    <row r="1397" spans="9:9" x14ac:dyDescent="0.2">
      <c r="I1397"/>
    </row>
    <row r="1398" spans="9:9" x14ac:dyDescent="0.2">
      <c r="I1398"/>
    </row>
    <row r="1399" spans="9:9" x14ac:dyDescent="0.2">
      <c r="I1399"/>
    </row>
    <row r="1400" spans="9:9" x14ac:dyDescent="0.2">
      <c r="I1400"/>
    </row>
    <row r="1401" spans="9:9" x14ac:dyDescent="0.2">
      <c r="I1401"/>
    </row>
    <row r="1402" spans="9:9" x14ac:dyDescent="0.2">
      <c r="I1402"/>
    </row>
    <row r="1403" spans="9:9" x14ac:dyDescent="0.2">
      <c r="I1403"/>
    </row>
    <row r="1404" spans="9:9" x14ac:dyDescent="0.2">
      <c r="I1404"/>
    </row>
    <row r="1405" spans="9:9" x14ac:dyDescent="0.2">
      <c r="I1405"/>
    </row>
    <row r="1406" spans="9:9" x14ac:dyDescent="0.2">
      <c r="I1406"/>
    </row>
    <row r="1407" spans="9:9" x14ac:dyDescent="0.2">
      <c r="I1407"/>
    </row>
    <row r="1408" spans="9:9" x14ac:dyDescent="0.2">
      <c r="I1408"/>
    </row>
    <row r="1409" spans="9:9" x14ac:dyDescent="0.2">
      <c r="I1409"/>
    </row>
    <row r="1410" spans="9:9" x14ac:dyDescent="0.2">
      <c r="I1410"/>
    </row>
    <row r="1411" spans="9:9" x14ac:dyDescent="0.2">
      <c r="I1411"/>
    </row>
    <row r="1412" spans="9:9" x14ac:dyDescent="0.2">
      <c r="I1412"/>
    </row>
    <row r="1413" spans="9:9" x14ac:dyDescent="0.2">
      <c r="I1413"/>
    </row>
    <row r="1414" spans="9:9" x14ac:dyDescent="0.2">
      <c r="I1414"/>
    </row>
    <row r="1415" spans="9:9" x14ac:dyDescent="0.2">
      <c r="I1415"/>
    </row>
    <row r="1416" spans="9:9" x14ac:dyDescent="0.2">
      <c r="I1416"/>
    </row>
    <row r="1417" spans="9:9" x14ac:dyDescent="0.2">
      <c r="I1417"/>
    </row>
    <row r="1418" spans="9:9" x14ac:dyDescent="0.2">
      <c r="I1418"/>
    </row>
    <row r="1419" spans="9:9" x14ac:dyDescent="0.2">
      <c r="I1419"/>
    </row>
    <row r="1420" spans="9:9" x14ac:dyDescent="0.2">
      <c r="I1420"/>
    </row>
    <row r="1421" spans="9:9" x14ac:dyDescent="0.2">
      <c r="I1421"/>
    </row>
    <row r="1422" spans="9:9" x14ac:dyDescent="0.2">
      <c r="I1422"/>
    </row>
    <row r="1423" spans="9:9" x14ac:dyDescent="0.2">
      <c r="I1423"/>
    </row>
    <row r="1424" spans="9:9" x14ac:dyDescent="0.2">
      <c r="I1424"/>
    </row>
    <row r="1425" spans="9:9" x14ac:dyDescent="0.2">
      <c r="I1425"/>
    </row>
    <row r="1426" spans="9:9" x14ac:dyDescent="0.2">
      <c r="I1426"/>
    </row>
    <row r="1427" spans="9:9" x14ac:dyDescent="0.2">
      <c r="I1427"/>
    </row>
    <row r="1428" spans="9:9" x14ac:dyDescent="0.2">
      <c r="I1428"/>
    </row>
    <row r="1429" spans="9:9" x14ac:dyDescent="0.2">
      <c r="I1429"/>
    </row>
    <row r="1430" spans="9:9" x14ac:dyDescent="0.2">
      <c r="I1430"/>
    </row>
    <row r="1431" spans="9:9" x14ac:dyDescent="0.2">
      <c r="I1431"/>
    </row>
    <row r="1432" spans="9:9" x14ac:dyDescent="0.2">
      <c r="I1432"/>
    </row>
    <row r="1433" spans="9:9" x14ac:dyDescent="0.2">
      <c r="I1433"/>
    </row>
    <row r="1434" spans="9:9" x14ac:dyDescent="0.2">
      <c r="I1434"/>
    </row>
    <row r="1435" spans="9:9" x14ac:dyDescent="0.2">
      <c r="I1435"/>
    </row>
    <row r="1436" spans="9:9" x14ac:dyDescent="0.2">
      <c r="I1436"/>
    </row>
    <row r="1437" spans="9:9" x14ac:dyDescent="0.2">
      <c r="I1437"/>
    </row>
    <row r="1438" spans="9:9" x14ac:dyDescent="0.2">
      <c r="I1438"/>
    </row>
    <row r="1439" spans="9:9" x14ac:dyDescent="0.2">
      <c r="I1439"/>
    </row>
    <row r="1440" spans="9:9" x14ac:dyDescent="0.2">
      <c r="I1440"/>
    </row>
    <row r="1441" spans="9:9" x14ac:dyDescent="0.2">
      <c r="I1441"/>
    </row>
    <row r="1442" spans="9:9" x14ac:dyDescent="0.2">
      <c r="I1442"/>
    </row>
    <row r="1443" spans="9:9" x14ac:dyDescent="0.2">
      <c r="I1443"/>
    </row>
    <row r="1444" spans="9:9" x14ac:dyDescent="0.2">
      <c r="I1444"/>
    </row>
    <row r="1445" spans="9:9" x14ac:dyDescent="0.2">
      <c r="I1445"/>
    </row>
    <row r="1446" spans="9:9" x14ac:dyDescent="0.2">
      <c r="I1446"/>
    </row>
    <row r="1447" spans="9:9" x14ac:dyDescent="0.2">
      <c r="I1447"/>
    </row>
    <row r="1448" spans="9:9" x14ac:dyDescent="0.2">
      <c r="I1448"/>
    </row>
    <row r="1449" spans="9:9" x14ac:dyDescent="0.2">
      <c r="I1449"/>
    </row>
    <row r="1450" spans="9:9" x14ac:dyDescent="0.2">
      <c r="I1450"/>
    </row>
    <row r="1451" spans="9:9" x14ac:dyDescent="0.2">
      <c r="I1451"/>
    </row>
    <row r="1452" spans="9:9" x14ac:dyDescent="0.2">
      <c r="I1452"/>
    </row>
    <row r="1453" spans="9:9" x14ac:dyDescent="0.2">
      <c r="I1453"/>
    </row>
    <row r="1454" spans="9:9" x14ac:dyDescent="0.2">
      <c r="I1454"/>
    </row>
    <row r="1455" spans="9:9" x14ac:dyDescent="0.2">
      <c r="I1455"/>
    </row>
    <row r="1456" spans="9:9" x14ac:dyDescent="0.2">
      <c r="I1456"/>
    </row>
    <row r="1457" spans="9:9" x14ac:dyDescent="0.2">
      <c r="I1457"/>
    </row>
    <row r="1458" spans="9:9" x14ac:dyDescent="0.2">
      <c r="I1458"/>
    </row>
    <row r="1459" spans="9:9" x14ac:dyDescent="0.2">
      <c r="I1459"/>
    </row>
    <row r="1460" spans="9:9" x14ac:dyDescent="0.2">
      <c r="I1460"/>
    </row>
    <row r="1461" spans="9:9" x14ac:dyDescent="0.2">
      <c r="I1461"/>
    </row>
    <row r="1462" spans="9:9" x14ac:dyDescent="0.2">
      <c r="I1462"/>
    </row>
    <row r="1463" spans="9:9" x14ac:dyDescent="0.2">
      <c r="I1463"/>
    </row>
    <row r="1464" spans="9:9" x14ac:dyDescent="0.2">
      <c r="I1464"/>
    </row>
    <row r="1465" spans="9:9" x14ac:dyDescent="0.2">
      <c r="I1465"/>
    </row>
    <row r="1466" spans="9:9" x14ac:dyDescent="0.2">
      <c r="I1466"/>
    </row>
    <row r="1467" spans="9:9" x14ac:dyDescent="0.2">
      <c r="I1467"/>
    </row>
    <row r="1468" spans="9:9" x14ac:dyDescent="0.2">
      <c r="I1468"/>
    </row>
    <row r="1469" spans="9:9" x14ac:dyDescent="0.2">
      <c r="I1469"/>
    </row>
    <row r="1470" spans="9:9" x14ac:dyDescent="0.2">
      <c r="I1470"/>
    </row>
    <row r="1471" spans="9:9" x14ac:dyDescent="0.2">
      <c r="I1471"/>
    </row>
    <row r="1472" spans="9:9" x14ac:dyDescent="0.2">
      <c r="I1472"/>
    </row>
    <row r="1473" spans="9:9" x14ac:dyDescent="0.2">
      <c r="I1473"/>
    </row>
    <row r="1474" spans="9:9" x14ac:dyDescent="0.2">
      <c r="I1474"/>
    </row>
    <row r="1475" spans="9:9" x14ac:dyDescent="0.2">
      <c r="I1475"/>
    </row>
    <row r="1476" spans="9:9" x14ac:dyDescent="0.2">
      <c r="I1476"/>
    </row>
    <row r="1477" spans="9:9" x14ac:dyDescent="0.2">
      <c r="I1477"/>
    </row>
    <row r="1478" spans="9:9" x14ac:dyDescent="0.2">
      <c r="I1478"/>
    </row>
    <row r="1479" spans="9:9" x14ac:dyDescent="0.2">
      <c r="I1479"/>
    </row>
    <row r="1480" spans="9:9" x14ac:dyDescent="0.2">
      <c r="I1480"/>
    </row>
    <row r="1481" spans="9:9" x14ac:dyDescent="0.2">
      <c r="I1481"/>
    </row>
    <row r="1482" spans="9:9" x14ac:dyDescent="0.2">
      <c r="I1482"/>
    </row>
    <row r="1483" spans="9:9" x14ac:dyDescent="0.2">
      <c r="I1483"/>
    </row>
    <row r="1484" spans="9:9" x14ac:dyDescent="0.2">
      <c r="I1484"/>
    </row>
    <row r="1485" spans="9:9" x14ac:dyDescent="0.2">
      <c r="I1485"/>
    </row>
    <row r="1486" spans="9:9" x14ac:dyDescent="0.2">
      <c r="I1486"/>
    </row>
    <row r="1487" spans="9:9" x14ac:dyDescent="0.2">
      <c r="I1487"/>
    </row>
    <row r="1488" spans="9:9" x14ac:dyDescent="0.2">
      <c r="I1488"/>
    </row>
    <row r="1489" spans="9:9" x14ac:dyDescent="0.2">
      <c r="I1489"/>
    </row>
    <row r="1490" spans="9:9" x14ac:dyDescent="0.2">
      <c r="I1490"/>
    </row>
    <row r="1491" spans="9:9" x14ac:dyDescent="0.2">
      <c r="I1491"/>
    </row>
    <row r="1492" spans="9:9" x14ac:dyDescent="0.2">
      <c r="I1492"/>
    </row>
    <row r="1493" spans="9:9" x14ac:dyDescent="0.2">
      <c r="I1493"/>
    </row>
    <row r="1494" spans="9:9" x14ac:dyDescent="0.2">
      <c r="I1494"/>
    </row>
    <row r="1495" spans="9:9" x14ac:dyDescent="0.2">
      <c r="I1495"/>
    </row>
    <row r="1496" spans="9:9" x14ac:dyDescent="0.2">
      <c r="I1496"/>
    </row>
    <row r="1497" spans="9:9" x14ac:dyDescent="0.2">
      <c r="I1497"/>
    </row>
    <row r="1498" spans="9:9" x14ac:dyDescent="0.2">
      <c r="I1498"/>
    </row>
    <row r="1499" spans="9:9" x14ac:dyDescent="0.2">
      <c r="I1499"/>
    </row>
    <row r="1500" spans="9:9" x14ac:dyDescent="0.2">
      <c r="I1500"/>
    </row>
    <row r="1501" spans="9:9" x14ac:dyDescent="0.2">
      <c r="I1501"/>
    </row>
    <row r="1502" spans="9:9" x14ac:dyDescent="0.2">
      <c r="I1502"/>
    </row>
    <row r="1503" spans="9:9" x14ac:dyDescent="0.2">
      <c r="I1503"/>
    </row>
    <row r="1504" spans="9:9" x14ac:dyDescent="0.2">
      <c r="I1504"/>
    </row>
    <row r="1505" spans="9:9" x14ac:dyDescent="0.2">
      <c r="I1505"/>
    </row>
    <row r="1506" spans="9:9" x14ac:dyDescent="0.2">
      <c r="I1506"/>
    </row>
    <row r="1507" spans="9:9" x14ac:dyDescent="0.2">
      <c r="I1507"/>
    </row>
    <row r="1508" spans="9:9" x14ac:dyDescent="0.2">
      <c r="I1508"/>
    </row>
    <row r="1509" spans="9:9" x14ac:dyDescent="0.2">
      <c r="I1509"/>
    </row>
    <row r="1510" spans="9:9" x14ac:dyDescent="0.2">
      <c r="I1510"/>
    </row>
    <row r="1511" spans="9:9" x14ac:dyDescent="0.2">
      <c r="I1511"/>
    </row>
    <row r="1512" spans="9:9" x14ac:dyDescent="0.2">
      <c r="I1512"/>
    </row>
    <row r="1513" spans="9:9" x14ac:dyDescent="0.2">
      <c r="I1513"/>
    </row>
    <row r="1514" spans="9:9" x14ac:dyDescent="0.2">
      <c r="I1514"/>
    </row>
    <row r="1515" spans="9:9" x14ac:dyDescent="0.2">
      <c r="I1515"/>
    </row>
    <row r="1516" spans="9:9" x14ac:dyDescent="0.2">
      <c r="I1516"/>
    </row>
    <row r="1517" spans="9:9" x14ac:dyDescent="0.2">
      <c r="I1517"/>
    </row>
    <row r="1518" spans="9:9" x14ac:dyDescent="0.2">
      <c r="I1518"/>
    </row>
    <row r="1519" spans="9:9" x14ac:dyDescent="0.2">
      <c r="I1519"/>
    </row>
    <row r="1520" spans="9:9" x14ac:dyDescent="0.2">
      <c r="I1520"/>
    </row>
    <row r="1521" spans="9:9" x14ac:dyDescent="0.2">
      <c r="I1521"/>
    </row>
    <row r="1522" spans="9:9" x14ac:dyDescent="0.2">
      <c r="I1522"/>
    </row>
    <row r="1523" spans="9:9" x14ac:dyDescent="0.2">
      <c r="I1523"/>
    </row>
    <row r="1524" spans="9:9" x14ac:dyDescent="0.2">
      <c r="I1524"/>
    </row>
    <row r="1525" spans="9:9" x14ac:dyDescent="0.2">
      <c r="I1525"/>
    </row>
    <row r="1526" spans="9:9" x14ac:dyDescent="0.2">
      <c r="I1526"/>
    </row>
    <row r="1527" spans="9:9" x14ac:dyDescent="0.2">
      <c r="I1527"/>
    </row>
    <row r="1528" spans="9:9" x14ac:dyDescent="0.2">
      <c r="I1528"/>
    </row>
    <row r="1529" spans="9:9" x14ac:dyDescent="0.2">
      <c r="I1529"/>
    </row>
    <row r="1530" spans="9:9" x14ac:dyDescent="0.2">
      <c r="I1530"/>
    </row>
    <row r="1531" spans="9:9" x14ac:dyDescent="0.2">
      <c r="I1531"/>
    </row>
    <row r="1532" spans="9:9" x14ac:dyDescent="0.2">
      <c r="I1532"/>
    </row>
    <row r="1533" spans="9:9" x14ac:dyDescent="0.2">
      <c r="I1533"/>
    </row>
    <row r="1534" spans="9:9" x14ac:dyDescent="0.2">
      <c r="I1534"/>
    </row>
    <row r="1535" spans="9:9" x14ac:dyDescent="0.2">
      <c r="I1535"/>
    </row>
    <row r="1536" spans="9:9" x14ac:dyDescent="0.2">
      <c r="I1536"/>
    </row>
    <row r="1537" spans="9:9" x14ac:dyDescent="0.2">
      <c r="I1537"/>
    </row>
    <row r="1538" spans="9:9" x14ac:dyDescent="0.2">
      <c r="I1538"/>
    </row>
    <row r="1539" spans="9:9" x14ac:dyDescent="0.2">
      <c r="I1539"/>
    </row>
    <row r="1540" spans="9:9" x14ac:dyDescent="0.2">
      <c r="I1540"/>
    </row>
    <row r="1541" spans="9:9" x14ac:dyDescent="0.2">
      <c r="I1541"/>
    </row>
    <row r="1542" spans="9:9" x14ac:dyDescent="0.2">
      <c r="I1542"/>
    </row>
    <row r="1543" spans="9:9" x14ac:dyDescent="0.2">
      <c r="I1543"/>
    </row>
    <row r="1544" spans="9:9" x14ac:dyDescent="0.2">
      <c r="I1544"/>
    </row>
    <row r="1545" spans="9:9" x14ac:dyDescent="0.2">
      <c r="I1545"/>
    </row>
    <row r="1546" spans="9:9" x14ac:dyDescent="0.2">
      <c r="I1546"/>
    </row>
    <row r="1547" spans="9:9" x14ac:dyDescent="0.2">
      <c r="I1547"/>
    </row>
    <row r="1548" spans="9:9" x14ac:dyDescent="0.2">
      <c r="I1548"/>
    </row>
    <row r="1549" spans="9:9" x14ac:dyDescent="0.2">
      <c r="I1549"/>
    </row>
    <row r="1550" spans="9:9" x14ac:dyDescent="0.2">
      <c r="I1550"/>
    </row>
    <row r="1551" spans="9:9" x14ac:dyDescent="0.2">
      <c r="I1551"/>
    </row>
    <row r="1552" spans="9:9" x14ac:dyDescent="0.2">
      <c r="I1552"/>
    </row>
    <row r="1553" spans="9:9" x14ac:dyDescent="0.2">
      <c r="I1553"/>
    </row>
    <row r="1554" spans="9:9" x14ac:dyDescent="0.2">
      <c r="I1554"/>
    </row>
    <row r="1555" spans="9:9" x14ac:dyDescent="0.2">
      <c r="I1555"/>
    </row>
    <row r="1556" spans="9:9" x14ac:dyDescent="0.2">
      <c r="I1556"/>
    </row>
    <row r="1557" spans="9:9" x14ac:dyDescent="0.2">
      <c r="I1557"/>
    </row>
    <row r="1558" spans="9:9" x14ac:dyDescent="0.2">
      <c r="I1558"/>
    </row>
    <row r="1559" spans="9:9" x14ac:dyDescent="0.2">
      <c r="I1559"/>
    </row>
    <row r="1560" spans="9:9" x14ac:dyDescent="0.2">
      <c r="I1560"/>
    </row>
    <row r="1561" spans="9:9" x14ac:dyDescent="0.2">
      <c r="I1561"/>
    </row>
    <row r="1562" spans="9:9" x14ac:dyDescent="0.2">
      <c r="I1562"/>
    </row>
    <row r="1563" spans="9:9" x14ac:dyDescent="0.2">
      <c r="I1563"/>
    </row>
    <row r="1564" spans="9:9" x14ac:dyDescent="0.2">
      <c r="I1564"/>
    </row>
    <row r="1565" spans="9:9" x14ac:dyDescent="0.2">
      <c r="I1565"/>
    </row>
    <row r="1566" spans="9:9" x14ac:dyDescent="0.2">
      <c r="I1566"/>
    </row>
    <row r="1567" spans="9:9" x14ac:dyDescent="0.2">
      <c r="I1567"/>
    </row>
    <row r="1568" spans="9:9" x14ac:dyDescent="0.2">
      <c r="I1568"/>
    </row>
    <row r="1569" spans="9:9" x14ac:dyDescent="0.2">
      <c r="I1569"/>
    </row>
    <row r="1570" spans="9:9" x14ac:dyDescent="0.2">
      <c r="I1570"/>
    </row>
    <row r="1571" spans="9:9" x14ac:dyDescent="0.2">
      <c r="I1571"/>
    </row>
    <row r="1572" spans="9:9" x14ac:dyDescent="0.2">
      <c r="I1572"/>
    </row>
    <row r="1573" spans="9:9" x14ac:dyDescent="0.2">
      <c r="I1573"/>
    </row>
    <row r="1574" spans="9:9" x14ac:dyDescent="0.2">
      <c r="I1574"/>
    </row>
    <row r="1575" spans="9:9" x14ac:dyDescent="0.2">
      <c r="I1575"/>
    </row>
    <row r="1576" spans="9:9" x14ac:dyDescent="0.2">
      <c r="I1576"/>
    </row>
    <row r="1577" spans="9:9" x14ac:dyDescent="0.2">
      <c r="I1577"/>
    </row>
    <row r="1578" spans="9:9" x14ac:dyDescent="0.2">
      <c r="I1578"/>
    </row>
    <row r="1579" spans="9:9" x14ac:dyDescent="0.2">
      <c r="I1579"/>
    </row>
    <row r="1580" spans="9:9" x14ac:dyDescent="0.2">
      <c r="I1580"/>
    </row>
    <row r="1581" spans="9:9" x14ac:dyDescent="0.2">
      <c r="I1581"/>
    </row>
    <row r="1582" spans="9:9" x14ac:dyDescent="0.2">
      <c r="I1582"/>
    </row>
    <row r="1583" spans="9:9" x14ac:dyDescent="0.2">
      <c r="I1583"/>
    </row>
    <row r="1584" spans="9:9" x14ac:dyDescent="0.2">
      <c r="I1584"/>
    </row>
    <row r="1585" spans="9:9" x14ac:dyDescent="0.2">
      <c r="I1585"/>
    </row>
    <row r="1586" spans="9:9" x14ac:dyDescent="0.2">
      <c r="I1586"/>
    </row>
    <row r="1587" spans="9:9" x14ac:dyDescent="0.2">
      <c r="I1587"/>
    </row>
    <row r="1588" spans="9:9" x14ac:dyDescent="0.2">
      <c r="I1588"/>
    </row>
    <row r="1589" spans="9:9" x14ac:dyDescent="0.2">
      <c r="I1589"/>
    </row>
    <row r="1590" spans="9:9" x14ac:dyDescent="0.2">
      <c r="I1590"/>
    </row>
    <row r="1591" spans="9:9" x14ac:dyDescent="0.2">
      <c r="I1591"/>
    </row>
    <row r="1592" spans="9:9" x14ac:dyDescent="0.2">
      <c r="I1592"/>
    </row>
    <row r="1593" spans="9:9" x14ac:dyDescent="0.2">
      <c r="I1593"/>
    </row>
    <row r="1594" spans="9:9" x14ac:dyDescent="0.2">
      <c r="I1594"/>
    </row>
    <row r="1595" spans="9:9" x14ac:dyDescent="0.2">
      <c r="I1595"/>
    </row>
    <row r="1596" spans="9:9" x14ac:dyDescent="0.2">
      <c r="I1596"/>
    </row>
    <row r="1597" spans="9:9" x14ac:dyDescent="0.2">
      <c r="I1597"/>
    </row>
    <row r="1598" spans="9:9" x14ac:dyDescent="0.2">
      <c r="I1598"/>
    </row>
    <row r="1599" spans="9:9" x14ac:dyDescent="0.2">
      <c r="I1599"/>
    </row>
    <row r="1600" spans="9:9" x14ac:dyDescent="0.2">
      <c r="I1600"/>
    </row>
    <row r="1601" spans="9:9" x14ac:dyDescent="0.2">
      <c r="I1601"/>
    </row>
    <row r="1602" spans="9:9" x14ac:dyDescent="0.2">
      <c r="I1602"/>
    </row>
    <row r="1603" spans="9:9" x14ac:dyDescent="0.2">
      <c r="I1603"/>
    </row>
    <row r="1604" spans="9:9" x14ac:dyDescent="0.2">
      <c r="I1604"/>
    </row>
    <row r="1605" spans="9:9" x14ac:dyDescent="0.2">
      <c r="I1605"/>
    </row>
    <row r="1606" spans="9:9" x14ac:dyDescent="0.2">
      <c r="I1606"/>
    </row>
    <row r="1607" spans="9:9" x14ac:dyDescent="0.2">
      <c r="I1607"/>
    </row>
    <row r="1608" spans="9:9" x14ac:dyDescent="0.2">
      <c r="I1608"/>
    </row>
    <row r="1609" spans="9:9" x14ac:dyDescent="0.2">
      <c r="I1609"/>
    </row>
    <row r="1610" spans="9:9" x14ac:dyDescent="0.2">
      <c r="I1610"/>
    </row>
    <row r="1611" spans="9:9" x14ac:dyDescent="0.2">
      <c r="I1611"/>
    </row>
    <row r="1612" spans="9:9" x14ac:dyDescent="0.2">
      <c r="I1612"/>
    </row>
    <row r="1613" spans="9:9" x14ac:dyDescent="0.2">
      <c r="I1613"/>
    </row>
    <row r="1614" spans="9:9" x14ac:dyDescent="0.2">
      <c r="I1614"/>
    </row>
    <row r="1615" spans="9:9" x14ac:dyDescent="0.2">
      <c r="I1615"/>
    </row>
    <row r="1616" spans="9:9" x14ac:dyDescent="0.2">
      <c r="I1616"/>
    </row>
    <row r="1617" spans="9:9" x14ac:dyDescent="0.2">
      <c r="I1617"/>
    </row>
    <row r="1618" spans="9:9" x14ac:dyDescent="0.2">
      <c r="I1618"/>
    </row>
    <row r="1619" spans="9:9" x14ac:dyDescent="0.2">
      <c r="I1619"/>
    </row>
    <row r="1620" spans="9:9" x14ac:dyDescent="0.2">
      <c r="I1620"/>
    </row>
    <row r="1621" spans="9:9" x14ac:dyDescent="0.2">
      <c r="I1621"/>
    </row>
    <row r="1622" spans="9:9" x14ac:dyDescent="0.2">
      <c r="I1622"/>
    </row>
    <row r="1623" spans="9:9" x14ac:dyDescent="0.2">
      <c r="I1623"/>
    </row>
    <row r="1624" spans="9:9" x14ac:dyDescent="0.2">
      <c r="I1624"/>
    </row>
    <row r="1625" spans="9:9" x14ac:dyDescent="0.2">
      <c r="I1625"/>
    </row>
    <row r="1626" spans="9:9" x14ac:dyDescent="0.2">
      <c r="I1626"/>
    </row>
    <row r="1627" spans="9:9" x14ac:dyDescent="0.2">
      <c r="I1627"/>
    </row>
    <row r="1628" spans="9:9" x14ac:dyDescent="0.2">
      <c r="I1628"/>
    </row>
    <row r="1629" spans="9:9" x14ac:dyDescent="0.2">
      <c r="I1629"/>
    </row>
    <row r="1630" spans="9:9" x14ac:dyDescent="0.2">
      <c r="I1630"/>
    </row>
    <row r="1631" spans="9:9" x14ac:dyDescent="0.2">
      <c r="I1631"/>
    </row>
    <row r="1632" spans="9:9" x14ac:dyDescent="0.2">
      <c r="I1632"/>
    </row>
    <row r="1633" spans="9:9" x14ac:dyDescent="0.2">
      <c r="I1633"/>
    </row>
    <row r="1634" spans="9:9" x14ac:dyDescent="0.2">
      <c r="I1634"/>
    </row>
    <row r="1635" spans="9:9" x14ac:dyDescent="0.2">
      <c r="I1635"/>
    </row>
    <row r="1636" spans="9:9" x14ac:dyDescent="0.2">
      <c r="I1636"/>
    </row>
    <row r="1637" spans="9:9" x14ac:dyDescent="0.2">
      <c r="I1637"/>
    </row>
    <row r="1638" spans="9:9" x14ac:dyDescent="0.2">
      <c r="I1638"/>
    </row>
    <row r="1639" spans="9:9" x14ac:dyDescent="0.2">
      <c r="I1639"/>
    </row>
    <row r="1640" spans="9:9" x14ac:dyDescent="0.2">
      <c r="I1640"/>
    </row>
    <row r="1641" spans="9:9" x14ac:dyDescent="0.2">
      <c r="I1641"/>
    </row>
    <row r="1642" spans="9:9" x14ac:dyDescent="0.2">
      <c r="I1642"/>
    </row>
    <row r="1643" spans="9:9" x14ac:dyDescent="0.2">
      <c r="I1643"/>
    </row>
    <row r="1644" spans="9:9" x14ac:dyDescent="0.2">
      <c r="I1644"/>
    </row>
    <row r="1645" spans="9:9" x14ac:dyDescent="0.2">
      <c r="I1645"/>
    </row>
    <row r="1646" spans="9:9" x14ac:dyDescent="0.2">
      <c r="I1646"/>
    </row>
    <row r="1647" spans="9:9" x14ac:dyDescent="0.2">
      <c r="I1647"/>
    </row>
    <row r="1648" spans="9:9" x14ac:dyDescent="0.2">
      <c r="I1648"/>
    </row>
    <row r="1649" spans="9:9" x14ac:dyDescent="0.2">
      <c r="I1649"/>
    </row>
    <row r="1650" spans="9:9" x14ac:dyDescent="0.2">
      <c r="I1650"/>
    </row>
    <row r="1651" spans="9:9" x14ac:dyDescent="0.2">
      <c r="I1651"/>
    </row>
    <row r="1652" spans="9:9" x14ac:dyDescent="0.2">
      <c r="I1652"/>
    </row>
    <row r="1653" spans="9:9" x14ac:dyDescent="0.2">
      <c r="I1653"/>
    </row>
    <row r="1654" spans="9:9" x14ac:dyDescent="0.2">
      <c r="I1654"/>
    </row>
    <row r="1655" spans="9:9" x14ac:dyDescent="0.2">
      <c r="I1655"/>
    </row>
    <row r="1656" spans="9:9" x14ac:dyDescent="0.2">
      <c r="I1656"/>
    </row>
    <row r="1657" spans="9:9" x14ac:dyDescent="0.2">
      <c r="I1657"/>
    </row>
    <row r="1658" spans="9:9" x14ac:dyDescent="0.2">
      <c r="I1658"/>
    </row>
    <row r="1659" spans="9:9" x14ac:dyDescent="0.2">
      <c r="I1659"/>
    </row>
    <row r="1660" spans="9:9" x14ac:dyDescent="0.2">
      <c r="I1660"/>
    </row>
    <row r="1661" spans="9:9" x14ac:dyDescent="0.2">
      <c r="I1661"/>
    </row>
    <row r="1662" spans="9:9" x14ac:dyDescent="0.2">
      <c r="I1662"/>
    </row>
    <row r="1663" spans="9:9" x14ac:dyDescent="0.2">
      <c r="I1663"/>
    </row>
    <row r="1664" spans="9:9" x14ac:dyDescent="0.2">
      <c r="I1664"/>
    </row>
    <row r="1665" spans="9:9" x14ac:dyDescent="0.2">
      <c r="I1665"/>
    </row>
    <row r="1666" spans="9:9" x14ac:dyDescent="0.2">
      <c r="I1666"/>
    </row>
    <row r="1667" spans="9:9" x14ac:dyDescent="0.2">
      <c r="I1667"/>
    </row>
    <row r="1668" spans="9:9" x14ac:dyDescent="0.2">
      <c r="I1668"/>
    </row>
    <row r="1669" spans="9:9" x14ac:dyDescent="0.2">
      <c r="I1669"/>
    </row>
    <row r="1670" spans="9:9" x14ac:dyDescent="0.2">
      <c r="I1670"/>
    </row>
    <row r="1671" spans="9:9" x14ac:dyDescent="0.2">
      <c r="I1671"/>
    </row>
    <row r="1672" spans="9:9" x14ac:dyDescent="0.2">
      <c r="I1672"/>
    </row>
    <row r="1673" spans="9:9" x14ac:dyDescent="0.2">
      <c r="I1673"/>
    </row>
    <row r="1674" spans="9:9" x14ac:dyDescent="0.2">
      <c r="I1674"/>
    </row>
    <row r="1675" spans="9:9" x14ac:dyDescent="0.2">
      <c r="I1675"/>
    </row>
    <row r="1676" spans="9:9" x14ac:dyDescent="0.2">
      <c r="I1676"/>
    </row>
    <row r="1677" spans="9:9" x14ac:dyDescent="0.2">
      <c r="I1677"/>
    </row>
    <row r="1678" spans="9:9" x14ac:dyDescent="0.2">
      <c r="I1678"/>
    </row>
    <row r="1679" spans="9:9" x14ac:dyDescent="0.2">
      <c r="I1679"/>
    </row>
    <row r="1680" spans="9:9" x14ac:dyDescent="0.2">
      <c r="I1680"/>
    </row>
    <row r="1681" spans="9:9" x14ac:dyDescent="0.2">
      <c r="I1681"/>
    </row>
    <row r="1682" spans="9:9" x14ac:dyDescent="0.2">
      <c r="I1682"/>
    </row>
    <row r="1683" spans="9:9" x14ac:dyDescent="0.2">
      <c r="I1683"/>
    </row>
    <row r="1684" spans="9:9" x14ac:dyDescent="0.2">
      <c r="I1684"/>
    </row>
    <row r="1685" spans="9:9" x14ac:dyDescent="0.2">
      <c r="I1685"/>
    </row>
    <row r="1686" spans="9:9" x14ac:dyDescent="0.2">
      <c r="I1686"/>
    </row>
    <row r="1687" spans="9:9" x14ac:dyDescent="0.2">
      <c r="I1687"/>
    </row>
    <row r="1688" spans="9:9" x14ac:dyDescent="0.2">
      <c r="I1688"/>
    </row>
    <row r="1689" spans="9:9" x14ac:dyDescent="0.2">
      <c r="I1689"/>
    </row>
    <row r="1690" spans="9:9" x14ac:dyDescent="0.2">
      <c r="I1690"/>
    </row>
    <row r="1691" spans="9:9" x14ac:dyDescent="0.2">
      <c r="I1691"/>
    </row>
    <row r="1692" spans="9:9" x14ac:dyDescent="0.2">
      <c r="I1692"/>
    </row>
    <row r="1693" spans="9:9" x14ac:dyDescent="0.2">
      <c r="I1693"/>
    </row>
    <row r="1694" spans="9:9" x14ac:dyDescent="0.2">
      <c r="I1694"/>
    </row>
    <row r="1695" spans="9:9" x14ac:dyDescent="0.2">
      <c r="I1695"/>
    </row>
    <row r="1696" spans="9:9" x14ac:dyDescent="0.2">
      <c r="I1696"/>
    </row>
    <row r="1697" spans="9:9" x14ac:dyDescent="0.2">
      <c r="I1697"/>
    </row>
    <row r="1698" spans="9:9" x14ac:dyDescent="0.2">
      <c r="I1698"/>
    </row>
    <row r="1699" spans="9:9" x14ac:dyDescent="0.2">
      <c r="I1699"/>
    </row>
    <row r="1700" spans="9:9" x14ac:dyDescent="0.2">
      <c r="I1700"/>
    </row>
    <row r="1701" spans="9:9" x14ac:dyDescent="0.2">
      <c r="I1701"/>
    </row>
    <row r="1702" spans="9:9" x14ac:dyDescent="0.2">
      <c r="I1702"/>
    </row>
    <row r="1703" spans="9:9" x14ac:dyDescent="0.2">
      <c r="I1703"/>
    </row>
    <row r="1704" spans="9:9" x14ac:dyDescent="0.2">
      <c r="I1704"/>
    </row>
    <row r="1705" spans="9:9" x14ac:dyDescent="0.2">
      <c r="I1705"/>
    </row>
    <row r="1706" spans="9:9" x14ac:dyDescent="0.2">
      <c r="I1706"/>
    </row>
    <row r="1707" spans="9:9" x14ac:dyDescent="0.2">
      <c r="I1707"/>
    </row>
    <row r="1708" spans="9:9" x14ac:dyDescent="0.2">
      <c r="I1708"/>
    </row>
    <row r="1709" spans="9:9" x14ac:dyDescent="0.2">
      <c r="I1709"/>
    </row>
    <row r="1710" spans="9:9" x14ac:dyDescent="0.2">
      <c r="I1710"/>
    </row>
    <row r="1711" spans="9:9" x14ac:dyDescent="0.2">
      <c r="I1711"/>
    </row>
    <row r="1712" spans="9:9" x14ac:dyDescent="0.2">
      <c r="I1712"/>
    </row>
    <row r="1713" spans="9:9" x14ac:dyDescent="0.2">
      <c r="I1713"/>
    </row>
    <row r="1714" spans="9:9" x14ac:dyDescent="0.2">
      <c r="I1714"/>
    </row>
    <row r="1715" spans="9:9" x14ac:dyDescent="0.2">
      <c r="I1715"/>
    </row>
    <row r="1716" spans="9:9" x14ac:dyDescent="0.2">
      <c r="I1716"/>
    </row>
    <row r="1717" spans="9:9" x14ac:dyDescent="0.2">
      <c r="I1717"/>
    </row>
    <row r="1718" spans="9:9" x14ac:dyDescent="0.2">
      <c r="I1718"/>
    </row>
    <row r="1719" spans="9:9" x14ac:dyDescent="0.2">
      <c r="I1719"/>
    </row>
    <row r="1720" spans="9:9" x14ac:dyDescent="0.2">
      <c r="I1720"/>
    </row>
    <row r="1721" spans="9:9" x14ac:dyDescent="0.2">
      <c r="I1721"/>
    </row>
    <row r="1722" spans="9:9" x14ac:dyDescent="0.2">
      <c r="I1722"/>
    </row>
    <row r="1723" spans="9:9" x14ac:dyDescent="0.2">
      <c r="I1723"/>
    </row>
    <row r="1724" spans="9:9" x14ac:dyDescent="0.2">
      <c r="I1724"/>
    </row>
    <row r="1725" spans="9:9" x14ac:dyDescent="0.2">
      <c r="I1725"/>
    </row>
    <row r="1726" spans="9:9" x14ac:dyDescent="0.2">
      <c r="I1726"/>
    </row>
    <row r="1727" spans="9:9" x14ac:dyDescent="0.2">
      <c r="I1727"/>
    </row>
    <row r="1728" spans="9:9" x14ac:dyDescent="0.2">
      <c r="I1728"/>
    </row>
    <row r="1729" spans="9:9" x14ac:dyDescent="0.2">
      <c r="I1729"/>
    </row>
    <row r="1730" spans="9:9" x14ac:dyDescent="0.2">
      <c r="I1730"/>
    </row>
    <row r="1731" spans="9:9" x14ac:dyDescent="0.2">
      <c r="I1731"/>
    </row>
    <row r="1732" spans="9:9" x14ac:dyDescent="0.2">
      <c r="I1732"/>
    </row>
    <row r="1733" spans="9:9" x14ac:dyDescent="0.2">
      <c r="I1733"/>
    </row>
    <row r="1734" spans="9:9" x14ac:dyDescent="0.2">
      <c r="I1734"/>
    </row>
    <row r="1735" spans="9:9" x14ac:dyDescent="0.2">
      <c r="I1735"/>
    </row>
    <row r="1736" spans="9:9" x14ac:dyDescent="0.2">
      <c r="I1736"/>
    </row>
    <row r="1737" spans="9:9" x14ac:dyDescent="0.2">
      <c r="I1737"/>
    </row>
    <row r="1738" spans="9:9" x14ac:dyDescent="0.2">
      <c r="I1738"/>
    </row>
    <row r="1739" spans="9:9" x14ac:dyDescent="0.2">
      <c r="I1739"/>
    </row>
    <row r="1740" spans="9:9" x14ac:dyDescent="0.2">
      <c r="I1740"/>
    </row>
    <row r="1741" spans="9:9" x14ac:dyDescent="0.2">
      <c r="I1741"/>
    </row>
    <row r="1742" spans="9:9" x14ac:dyDescent="0.2">
      <c r="I1742"/>
    </row>
    <row r="1743" spans="9:9" x14ac:dyDescent="0.2">
      <c r="I1743"/>
    </row>
    <row r="1744" spans="9:9" x14ac:dyDescent="0.2">
      <c r="I1744"/>
    </row>
    <row r="1745" spans="9:9" x14ac:dyDescent="0.2">
      <c r="I1745"/>
    </row>
    <row r="1746" spans="9:9" x14ac:dyDescent="0.2">
      <c r="I1746"/>
    </row>
    <row r="1747" spans="9:9" x14ac:dyDescent="0.2">
      <c r="I1747"/>
    </row>
    <row r="1748" spans="9:9" x14ac:dyDescent="0.2">
      <c r="I1748"/>
    </row>
    <row r="1749" spans="9:9" x14ac:dyDescent="0.2">
      <c r="I1749"/>
    </row>
    <row r="1750" spans="9:9" x14ac:dyDescent="0.2">
      <c r="I1750"/>
    </row>
    <row r="1751" spans="9:9" x14ac:dyDescent="0.2">
      <c r="I1751"/>
    </row>
    <row r="1752" spans="9:9" x14ac:dyDescent="0.2">
      <c r="I1752"/>
    </row>
    <row r="1753" spans="9:9" x14ac:dyDescent="0.2">
      <c r="I1753"/>
    </row>
    <row r="1754" spans="9:9" x14ac:dyDescent="0.2">
      <c r="I1754"/>
    </row>
    <row r="1755" spans="9:9" x14ac:dyDescent="0.2">
      <c r="I1755"/>
    </row>
    <row r="1756" spans="9:9" x14ac:dyDescent="0.2">
      <c r="I1756"/>
    </row>
    <row r="1757" spans="9:9" x14ac:dyDescent="0.2">
      <c r="I1757"/>
    </row>
    <row r="1758" spans="9:9" x14ac:dyDescent="0.2">
      <c r="I1758"/>
    </row>
    <row r="1759" spans="9:9" x14ac:dyDescent="0.2">
      <c r="I1759"/>
    </row>
    <row r="1760" spans="9:9" x14ac:dyDescent="0.2">
      <c r="I1760"/>
    </row>
    <row r="1761" spans="9:9" x14ac:dyDescent="0.2">
      <c r="I1761"/>
    </row>
    <row r="1762" spans="9:9" x14ac:dyDescent="0.2">
      <c r="I1762"/>
    </row>
    <row r="1763" spans="9:9" x14ac:dyDescent="0.2">
      <c r="I1763"/>
    </row>
    <row r="1764" spans="9:9" x14ac:dyDescent="0.2">
      <c r="I1764"/>
    </row>
    <row r="1765" spans="9:9" x14ac:dyDescent="0.2">
      <c r="I1765"/>
    </row>
    <row r="1766" spans="9:9" x14ac:dyDescent="0.2">
      <c r="I1766"/>
    </row>
    <row r="1767" spans="9:9" x14ac:dyDescent="0.2">
      <c r="I1767"/>
    </row>
    <row r="1768" spans="9:9" x14ac:dyDescent="0.2">
      <c r="I1768"/>
    </row>
    <row r="1769" spans="9:9" x14ac:dyDescent="0.2">
      <c r="I1769"/>
    </row>
    <row r="1770" spans="9:9" x14ac:dyDescent="0.2">
      <c r="I1770"/>
    </row>
    <row r="1771" spans="9:9" x14ac:dyDescent="0.2">
      <c r="I1771"/>
    </row>
    <row r="1772" spans="9:9" x14ac:dyDescent="0.2">
      <c r="I1772"/>
    </row>
    <row r="1773" spans="9:9" x14ac:dyDescent="0.2">
      <c r="I1773"/>
    </row>
    <row r="1774" spans="9:9" x14ac:dyDescent="0.2">
      <c r="I1774"/>
    </row>
    <row r="1775" spans="9:9" x14ac:dyDescent="0.2">
      <c r="I1775"/>
    </row>
    <row r="1776" spans="9:9" x14ac:dyDescent="0.2">
      <c r="I1776"/>
    </row>
    <row r="1777" spans="9:9" x14ac:dyDescent="0.2">
      <c r="I1777"/>
    </row>
    <row r="1778" spans="9:9" x14ac:dyDescent="0.2">
      <c r="I1778"/>
    </row>
    <row r="1779" spans="9:9" x14ac:dyDescent="0.2">
      <c r="I1779"/>
    </row>
    <row r="1780" spans="9:9" x14ac:dyDescent="0.2">
      <c r="I1780"/>
    </row>
    <row r="1781" spans="9:9" x14ac:dyDescent="0.2">
      <c r="I1781"/>
    </row>
    <row r="1782" spans="9:9" x14ac:dyDescent="0.2">
      <c r="I1782"/>
    </row>
    <row r="1783" spans="9:9" x14ac:dyDescent="0.2">
      <c r="I1783"/>
    </row>
    <row r="1784" spans="9:9" x14ac:dyDescent="0.2">
      <c r="I1784"/>
    </row>
    <row r="1785" spans="9:9" x14ac:dyDescent="0.2">
      <c r="I1785"/>
    </row>
    <row r="1786" spans="9:9" x14ac:dyDescent="0.2">
      <c r="I1786"/>
    </row>
    <row r="1787" spans="9:9" x14ac:dyDescent="0.2">
      <c r="I1787"/>
    </row>
    <row r="1788" spans="9:9" x14ac:dyDescent="0.2">
      <c r="I1788"/>
    </row>
    <row r="1789" spans="9:9" x14ac:dyDescent="0.2">
      <c r="I1789"/>
    </row>
    <row r="1790" spans="9:9" x14ac:dyDescent="0.2">
      <c r="I1790"/>
    </row>
    <row r="1791" spans="9:9" x14ac:dyDescent="0.2">
      <c r="I1791"/>
    </row>
    <row r="1792" spans="9:9" x14ac:dyDescent="0.2">
      <c r="I1792"/>
    </row>
    <row r="1793" spans="9:9" x14ac:dyDescent="0.2">
      <c r="I1793"/>
    </row>
    <row r="1794" spans="9:9" x14ac:dyDescent="0.2">
      <c r="I1794"/>
    </row>
    <row r="1795" spans="9:9" x14ac:dyDescent="0.2">
      <c r="I1795"/>
    </row>
    <row r="1796" spans="9:9" x14ac:dyDescent="0.2">
      <c r="I1796"/>
    </row>
    <row r="1797" spans="9:9" x14ac:dyDescent="0.2">
      <c r="I1797"/>
    </row>
    <row r="1798" spans="9:9" x14ac:dyDescent="0.2">
      <c r="I1798"/>
    </row>
    <row r="1799" spans="9:9" x14ac:dyDescent="0.2">
      <c r="I1799"/>
    </row>
    <row r="1800" spans="9:9" x14ac:dyDescent="0.2">
      <c r="I1800"/>
    </row>
    <row r="1801" spans="9:9" x14ac:dyDescent="0.2">
      <c r="I1801"/>
    </row>
    <row r="1802" spans="9:9" x14ac:dyDescent="0.2">
      <c r="I1802"/>
    </row>
    <row r="1803" spans="9:9" x14ac:dyDescent="0.2">
      <c r="I1803"/>
    </row>
    <row r="1804" spans="9:9" x14ac:dyDescent="0.2">
      <c r="I1804"/>
    </row>
    <row r="1805" spans="9:9" x14ac:dyDescent="0.2">
      <c r="I1805"/>
    </row>
    <row r="1806" spans="9:9" x14ac:dyDescent="0.2">
      <c r="I1806"/>
    </row>
    <row r="1807" spans="9:9" x14ac:dyDescent="0.2">
      <c r="I1807"/>
    </row>
    <row r="1808" spans="9:9" x14ac:dyDescent="0.2">
      <c r="I1808"/>
    </row>
    <row r="1809" spans="9:9" x14ac:dyDescent="0.2">
      <c r="I1809"/>
    </row>
    <row r="1810" spans="9:9" x14ac:dyDescent="0.2">
      <c r="I1810"/>
    </row>
    <row r="1811" spans="9:9" x14ac:dyDescent="0.2">
      <c r="I1811"/>
    </row>
    <row r="1812" spans="9:9" x14ac:dyDescent="0.2">
      <c r="I1812"/>
    </row>
    <row r="1813" spans="9:9" x14ac:dyDescent="0.2">
      <c r="I1813"/>
    </row>
    <row r="1814" spans="9:9" x14ac:dyDescent="0.2">
      <c r="I1814"/>
    </row>
    <row r="1815" spans="9:9" x14ac:dyDescent="0.2">
      <c r="I1815"/>
    </row>
    <row r="1816" spans="9:9" x14ac:dyDescent="0.2">
      <c r="I1816"/>
    </row>
    <row r="1817" spans="9:9" x14ac:dyDescent="0.2">
      <c r="I1817"/>
    </row>
    <row r="1818" spans="9:9" x14ac:dyDescent="0.2">
      <c r="I1818"/>
    </row>
    <row r="1819" spans="9:9" x14ac:dyDescent="0.2">
      <c r="I1819"/>
    </row>
    <row r="1820" spans="9:9" x14ac:dyDescent="0.2">
      <c r="I1820"/>
    </row>
    <row r="1821" spans="9:9" x14ac:dyDescent="0.2">
      <c r="I1821"/>
    </row>
    <row r="1822" spans="9:9" x14ac:dyDescent="0.2">
      <c r="I1822"/>
    </row>
    <row r="1823" spans="9:9" x14ac:dyDescent="0.2">
      <c r="I1823"/>
    </row>
    <row r="1824" spans="9:9" x14ac:dyDescent="0.2">
      <c r="I1824"/>
    </row>
    <row r="1825" spans="9:9" x14ac:dyDescent="0.2">
      <c r="I1825"/>
    </row>
    <row r="1826" spans="9:9" x14ac:dyDescent="0.2">
      <c r="I1826"/>
    </row>
    <row r="1827" spans="9:9" x14ac:dyDescent="0.2">
      <c r="I1827"/>
    </row>
    <row r="1828" spans="9:9" x14ac:dyDescent="0.2">
      <c r="I1828"/>
    </row>
    <row r="1829" spans="9:9" x14ac:dyDescent="0.2">
      <c r="I1829"/>
    </row>
    <row r="1830" spans="9:9" x14ac:dyDescent="0.2">
      <c r="I1830"/>
    </row>
    <row r="1831" spans="9:9" x14ac:dyDescent="0.2">
      <c r="I1831"/>
    </row>
    <row r="1832" spans="9:9" x14ac:dyDescent="0.2">
      <c r="I1832"/>
    </row>
    <row r="1833" spans="9:9" x14ac:dyDescent="0.2">
      <c r="I1833"/>
    </row>
    <row r="1834" spans="9:9" x14ac:dyDescent="0.2">
      <c r="I1834"/>
    </row>
    <row r="1835" spans="9:9" x14ac:dyDescent="0.2">
      <c r="I1835"/>
    </row>
    <row r="1836" spans="9:9" x14ac:dyDescent="0.2">
      <c r="I1836"/>
    </row>
    <row r="1837" spans="9:9" x14ac:dyDescent="0.2">
      <c r="I1837"/>
    </row>
    <row r="1838" spans="9:9" x14ac:dyDescent="0.2">
      <c r="I1838"/>
    </row>
    <row r="1839" spans="9:9" x14ac:dyDescent="0.2">
      <c r="I1839"/>
    </row>
    <row r="1840" spans="9:9" x14ac:dyDescent="0.2">
      <c r="I1840"/>
    </row>
    <row r="1841" spans="9:9" x14ac:dyDescent="0.2">
      <c r="I1841"/>
    </row>
    <row r="1842" spans="9:9" x14ac:dyDescent="0.2">
      <c r="I1842"/>
    </row>
    <row r="1843" spans="9:9" x14ac:dyDescent="0.2">
      <c r="I1843"/>
    </row>
    <row r="1844" spans="9:9" x14ac:dyDescent="0.2">
      <c r="I1844"/>
    </row>
    <row r="1845" spans="9:9" x14ac:dyDescent="0.2">
      <c r="I1845"/>
    </row>
    <row r="1846" spans="9:9" x14ac:dyDescent="0.2">
      <c r="I1846"/>
    </row>
    <row r="1847" spans="9:9" x14ac:dyDescent="0.2">
      <c r="I1847"/>
    </row>
    <row r="1848" spans="9:9" x14ac:dyDescent="0.2">
      <c r="I1848"/>
    </row>
    <row r="1849" spans="9:9" x14ac:dyDescent="0.2">
      <c r="I1849"/>
    </row>
    <row r="1850" spans="9:9" x14ac:dyDescent="0.2">
      <c r="I1850"/>
    </row>
    <row r="1851" spans="9:9" x14ac:dyDescent="0.2">
      <c r="I1851"/>
    </row>
    <row r="1852" spans="9:9" x14ac:dyDescent="0.2">
      <c r="I1852"/>
    </row>
    <row r="1853" spans="9:9" x14ac:dyDescent="0.2">
      <c r="I1853"/>
    </row>
    <row r="1854" spans="9:9" x14ac:dyDescent="0.2">
      <c r="I1854"/>
    </row>
    <row r="1855" spans="9:9" x14ac:dyDescent="0.2">
      <c r="I1855"/>
    </row>
    <row r="1856" spans="9:9" x14ac:dyDescent="0.2">
      <c r="I1856"/>
    </row>
    <row r="1857" spans="9:9" x14ac:dyDescent="0.2">
      <c r="I1857"/>
    </row>
    <row r="1858" spans="9:9" x14ac:dyDescent="0.2">
      <c r="I1858"/>
    </row>
    <row r="1859" spans="9:9" x14ac:dyDescent="0.2">
      <c r="I1859"/>
    </row>
    <row r="1860" spans="9:9" x14ac:dyDescent="0.2">
      <c r="I1860"/>
    </row>
    <row r="1861" spans="9:9" x14ac:dyDescent="0.2">
      <c r="I1861"/>
    </row>
    <row r="1862" spans="9:9" x14ac:dyDescent="0.2">
      <c r="I1862"/>
    </row>
    <row r="1863" spans="9:9" x14ac:dyDescent="0.2">
      <c r="I1863"/>
    </row>
    <row r="1864" spans="9:9" x14ac:dyDescent="0.2">
      <c r="I1864"/>
    </row>
    <row r="1865" spans="9:9" x14ac:dyDescent="0.2">
      <c r="I1865"/>
    </row>
    <row r="1866" spans="9:9" x14ac:dyDescent="0.2">
      <c r="I1866"/>
    </row>
    <row r="1867" spans="9:9" x14ac:dyDescent="0.2">
      <c r="I1867"/>
    </row>
    <row r="1868" spans="9:9" x14ac:dyDescent="0.2">
      <c r="I1868"/>
    </row>
    <row r="1869" spans="9:9" x14ac:dyDescent="0.2">
      <c r="I1869"/>
    </row>
    <row r="1870" spans="9:9" x14ac:dyDescent="0.2">
      <c r="I1870"/>
    </row>
    <row r="1871" spans="9:9" x14ac:dyDescent="0.2">
      <c r="I1871"/>
    </row>
    <row r="1872" spans="9:9" x14ac:dyDescent="0.2">
      <c r="I1872"/>
    </row>
    <row r="1873" spans="9:9" x14ac:dyDescent="0.2">
      <c r="I1873"/>
    </row>
    <row r="1874" spans="9:9" x14ac:dyDescent="0.2">
      <c r="I1874"/>
    </row>
    <row r="1875" spans="9:9" x14ac:dyDescent="0.2">
      <c r="I1875"/>
    </row>
    <row r="1876" spans="9:9" x14ac:dyDescent="0.2">
      <c r="I1876"/>
    </row>
    <row r="1877" spans="9:9" x14ac:dyDescent="0.2">
      <c r="I1877"/>
    </row>
    <row r="1878" spans="9:9" x14ac:dyDescent="0.2">
      <c r="I1878"/>
    </row>
    <row r="1879" spans="9:9" x14ac:dyDescent="0.2">
      <c r="I1879"/>
    </row>
    <row r="1880" spans="9:9" x14ac:dyDescent="0.2">
      <c r="I1880"/>
    </row>
    <row r="1881" spans="9:9" x14ac:dyDescent="0.2">
      <c r="I1881"/>
    </row>
    <row r="1882" spans="9:9" x14ac:dyDescent="0.2">
      <c r="I1882"/>
    </row>
    <row r="1883" spans="9:9" x14ac:dyDescent="0.2">
      <c r="I1883"/>
    </row>
    <row r="1884" spans="9:9" x14ac:dyDescent="0.2">
      <c r="I1884"/>
    </row>
    <row r="1885" spans="9:9" x14ac:dyDescent="0.2">
      <c r="I1885"/>
    </row>
    <row r="1886" spans="9:9" x14ac:dyDescent="0.2">
      <c r="I1886"/>
    </row>
    <row r="1887" spans="9:9" x14ac:dyDescent="0.2">
      <c r="I1887"/>
    </row>
    <row r="1888" spans="9:9" x14ac:dyDescent="0.2">
      <c r="I1888"/>
    </row>
    <row r="1889" spans="9:9" x14ac:dyDescent="0.2">
      <c r="I1889"/>
    </row>
    <row r="1890" spans="9:9" x14ac:dyDescent="0.2">
      <c r="I1890"/>
    </row>
    <row r="1891" spans="9:9" x14ac:dyDescent="0.2">
      <c r="I1891"/>
    </row>
    <row r="1892" spans="9:9" x14ac:dyDescent="0.2">
      <c r="I1892"/>
    </row>
    <row r="1893" spans="9:9" x14ac:dyDescent="0.2">
      <c r="I1893"/>
    </row>
    <row r="1894" spans="9:9" x14ac:dyDescent="0.2">
      <c r="I1894"/>
    </row>
    <row r="1895" spans="9:9" x14ac:dyDescent="0.2">
      <c r="I1895"/>
    </row>
    <row r="1896" spans="9:9" x14ac:dyDescent="0.2">
      <c r="I1896"/>
    </row>
    <row r="1897" spans="9:9" x14ac:dyDescent="0.2">
      <c r="I1897"/>
    </row>
    <row r="1898" spans="9:9" x14ac:dyDescent="0.2">
      <c r="I1898"/>
    </row>
    <row r="1899" spans="9:9" x14ac:dyDescent="0.2">
      <c r="I1899"/>
    </row>
    <row r="1900" spans="9:9" x14ac:dyDescent="0.2">
      <c r="I1900"/>
    </row>
    <row r="1901" spans="9:9" x14ac:dyDescent="0.2">
      <c r="I1901"/>
    </row>
    <row r="1902" spans="9:9" x14ac:dyDescent="0.2">
      <c r="I1902"/>
    </row>
    <row r="1903" spans="9:9" x14ac:dyDescent="0.2">
      <c r="I1903"/>
    </row>
    <row r="1904" spans="9:9" x14ac:dyDescent="0.2">
      <c r="I1904"/>
    </row>
    <row r="1905" spans="9:9" x14ac:dyDescent="0.2">
      <c r="I1905"/>
    </row>
    <row r="1906" spans="9:9" x14ac:dyDescent="0.2">
      <c r="I1906"/>
    </row>
    <row r="1907" spans="9:9" x14ac:dyDescent="0.2">
      <c r="I1907"/>
    </row>
    <row r="1908" spans="9:9" x14ac:dyDescent="0.2">
      <c r="I1908"/>
    </row>
    <row r="1909" spans="9:9" x14ac:dyDescent="0.2">
      <c r="I1909"/>
    </row>
    <row r="1910" spans="9:9" x14ac:dyDescent="0.2">
      <c r="I1910"/>
    </row>
    <row r="1911" spans="9:9" x14ac:dyDescent="0.2">
      <c r="I1911"/>
    </row>
    <row r="1912" spans="9:9" x14ac:dyDescent="0.2">
      <c r="I1912"/>
    </row>
    <row r="1913" spans="9:9" x14ac:dyDescent="0.2">
      <c r="I1913"/>
    </row>
    <row r="1914" spans="9:9" x14ac:dyDescent="0.2">
      <c r="I1914"/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F4D90-E8D2-4D4D-9DEA-113CB87DA5D0}">
  <dimension ref="A1:E1935"/>
  <sheetViews>
    <sheetView workbookViewId="0">
      <selection sqref="A1:E1048576"/>
    </sheetView>
  </sheetViews>
  <sheetFormatPr baseColWidth="10" defaultColWidth="8.83203125" defaultRowHeight="19" x14ac:dyDescent="0.25"/>
  <cols>
    <col min="1" max="1" width="15.5" style="2" bestFit="1" customWidth="1"/>
    <col min="2" max="2" width="11.1640625" style="2" bestFit="1" customWidth="1"/>
    <col min="3" max="3" width="11.33203125" style="2" bestFit="1" customWidth="1"/>
    <col min="4" max="4" width="18.1640625" style="14" bestFit="1" customWidth="1"/>
    <col min="5" max="5" width="17.6640625" style="11" bestFit="1" customWidth="1"/>
    <col min="6" max="16384" width="8.83203125" style="2"/>
  </cols>
  <sheetData>
    <row r="1" spans="1:5" x14ac:dyDescent="0.25">
      <c r="A1" s="8" t="s">
        <v>0</v>
      </c>
      <c r="B1" s="8" t="s">
        <v>1</v>
      </c>
      <c r="C1" s="8" t="s">
        <v>2</v>
      </c>
      <c r="D1" s="13" t="s">
        <v>3</v>
      </c>
      <c r="E1" s="9" t="s">
        <v>2212</v>
      </c>
    </row>
    <row r="2" spans="1:5" x14ac:dyDescent="0.25">
      <c r="A2" s="8" t="s">
        <v>4</v>
      </c>
      <c r="B2" s="8" t="s">
        <v>5</v>
      </c>
      <c r="C2" s="8" t="s">
        <v>27</v>
      </c>
      <c r="D2" s="13">
        <v>45179</v>
      </c>
      <c r="E2" s="9">
        <v>38577</v>
      </c>
    </row>
    <row r="3" spans="1:5" x14ac:dyDescent="0.25">
      <c r="A3" s="8" t="s">
        <v>7</v>
      </c>
      <c r="B3" s="8" t="s">
        <v>5</v>
      </c>
      <c r="C3" s="8" t="s">
        <v>12</v>
      </c>
      <c r="D3" s="13">
        <v>45181</v>
      </c>
      <c r="E3" s="9">
        <v>79555</v>
      </c>
    </row>
    <row r="4" spans="1:5" x14ac:dyDescent="0.25">
      <c r="A4" s="8" t="s">
        <v>9</v>
      </c>
      <c r="B4" s="8" t="s">
        <v>5</v>
      </c>
      <c r="C4" s="8" t="s">
        <v>14</v>
      </c>
      <c r="D4" s="13">
        <v>45184</v>
      </c>
      <c r="E4" s="9">
        <v>73361</v>
      </c>
    </row>
    <row r="5" spans="1:5" x14ac:dyDescent="0.25">
      <c r="A5" s="8" t="s">
        <v>11</v>
      </c>
      <c r="B5" s="8" t="s">
        <v>5</v>
      </c>
      <c r="C5" s="8" t="s">
        <v>6</v>
      </c>
      <c r="D5" s="13">
        <v>45191</v>
      </c>
      <c r="E5" s="9">
        <v>55178</v>
      </c>
    </row>
    <row r="6" spans="1:5" x14ac:dyDescent="0.25">
      <c r="A6" s="8" t="s">
        <v>13</v>
      </c>
      <c r="B6" s="8" t="s">
        <v>5</v>
      </c>
      <c r="C6" s="8" t="s">
        <v>37</v>
      </c>
      <c r="D6" s="13">
        <v>45197</v>
      </c>
      <c r="E6" s="9">
        <v>97145</v>
      </c>
    </row>
    <row r="7" spans="1:5" x14ac:dyDescent="0.25">
      <c r="A7" s="8" t="s">
        <v>15</v>
      </c>
      <c r="B7" s="8" t="s">
        <v>5</v>
      </c>
      <c r="C7" s="8" t="s">
        <v>14</v>
      </c>
      <c r="D7" s="13">
        <v>45201</v>
      </c>
      <c r="E7" s="9">
        <v>97663</v>
      </c>
    </row>
    <row r="8" spans="1:5" x14ac:dyDescent="0.25">
      <c r="A8" s="8" t="s">
        <v>16</v>
      </c>
      <c r="B8" s="8" t="s">
        <v>5</v>
      </c>
      <c r="C8" s="8" t="s">
        <v>108</v>
      </c>
      <c r="D8" s="13">
        <v>45208</v>
      </c>
      <c r="E8" s="9">
        <v>50793</v>
      </c>
    </row>
    <row r="9" spans="1:5" x14ac:dyDescent="0.25">
      <c r="A9" s="8" t="s">
        <v>18</v>
      </c>
      <c r="B9" s="8" t="s">
        <v>5</v>
      </c>
      <c r="C9" s="8" t="s">
        <v>48</v>
      </c>
      <c r="D9" s="13">
        <v>45209</v>
      </c>
      <c r="E9" s="9">
        <v>84554</v>
      </c>
    </row>
    <row r="10" spans="1:5" x14ac:dyDescent="0.25">
      <c r="A10" s="8" t="s">
        <v>20</v>
      </c>
      <c r="B10" s="8" t="s">
        <v>5</v>
      </c>
      <c r="C10" s="8" t="s">
        <v>10</v>
      </c>
      <c r="D10" s="13">
        <v>45213</v>
      </c>
      <c r="E10" s="9">
        <v>60509</v>
      </c>
    </row>
    <row r="11" spans="1:5" x14ac:dyDescent="0.25">
      <c r="A11" s="8" t="s">
        <v>22</v>
      </c>
      <c r="B11" s="8" t="s">
        <v>5</v>
      </c>
      <c r="C11" s="8" t="s">
        <v>91</v>
      </c>
      <c r="D11" s="13">
        <v>45222</v>
      </c>
      <c r="E11" s="9">
        <v>82632</v>
      </c>
    </row>
    <row r="12" spans="1:5" x14ac:dyDescent="0.25">
      <c r="A12" s="8" t="s">
        <v>24</v>
      </c>
      <c r="B12" s="8" t="s">
        <v>5</v>
      </c>
      <c r="C12" s="8" t="s">
        <v>37</v>
      </c>
      <c r="D12" s="13">
        <v>45241</v>
      </c>
      <c r="E12" s="9">
        <v>73839</v>
      </c>
    </row>
    <row r="13" spans="1:5" x14ac:dyDescent="0.25">
      <c r="A13" s="8" t="s">
        <v>26</v>
      </c>
      <c r="B13" s="8" t="s">
        <v>5</v>
      </c>
      <c r="C13" s="8" t="s">
        <v>17</v>
      </c>
      <c r="D13" s="13">
        <v>45245</v>
      </c>
      <c r="E13" s="9">
        <v>161273</v>
      </c>
    </row>
    <row r="14" spans="1:5" x14ac:dyDescent="0.25">
      <c r="A14" s="8" t="s">
        <v>28</v>
      </c>
      <c r="B14" s="8" t="s">
        <v>5</v>
      </c>
      <c r="C14" s="8" t="s">
        <v>8</v>
      </c>
      <c r="D14" s="13">
        <v>45248</v>
      </c>
      <c r="E14" s="9">
        <v>94389</v>
      </c>
    </row>
    <row r="15" spans="1:5" x14ac:dyDescent="0.25">
      <c r="A15" s="8" t="s">
        <v>30</v>
      </c>
      <c r="B15" s="8" t="s">
        <v>5</v>
      </c>
      <c r="C15" s="8" t="s">
        <v>14</v>
      </c>
      <c r="D15" s="13">
        <v>45253</v>
      </c>
      <c r="E15" s="9">
        <v>42353</v>
      </c>
    </row>
    <row r="16" spans="1:5" x14ac:dyDescent="0.25">
      <c r="A16" s="8" t="s">
        <v>31</v>
      </c>
      <c r="B16" s="8" t="s">
        <v>5</v>
      </c>
      <c r="C16" s="8" t="s">
        <v>91</v>
      </c>
      <c r="D16" s="13">
        <v>45272</v>
      </c>
      <c r="E16" s="9">
        <v>48275</v>
      </c>
    </row>
    <row r="17" spans="1:5" x14ac:dyDescent="0.25">
      <c r="A17" s="8" t="s">
        <v>32</v>
      </c>
      <c r="B17" s="8" t="s">
        <v>5</v>
      </c>
      <c r="C17" s="8" t="s">
        <v>27</v>
      </c>
      <c r="D17" s="13">
        <v>45274</v>
      </c>
      <c r="E17" s="9">
        <v>41575</v>
      </c>
    </row>
    <row r="18" spans="1:5" x14ac:dyDescent="0.25">
      <c r="A18" s="8" t="s">
        <v>34</v>
      </c>
      <c r="B18" s="8" t="s">
        <v>5</v>
      </c>
      <c r="C18" s="8" t="s">
        <v>14</v>
      </c>
      <c r="D18" s="13">
        <v>45276</v>
      </c>
      <c r="E18" s="9">
        <v>70901</v>
      </c>
    </row>
    <row r="19" spans="1:5" x14ac:dyDescent="0.25">
      <c r="A19" s="8" t="s">
        <v>36</v>
      </c>
      <c r="B19" s="8" t="s">
        <v>5</v>
      </c>
      <c r="C19" s="8" t="s">
        <v>91</v>
      </c>
      <c r="D19" s="13">
        <v>45290</v>
      </c>
      <c r="E19" s="9">
        <v>46195</v>
      </c>
    </row>
    <row r="20" spans="1:5" x14ac:dyDescent="0.25">
      <c r="A20" s="8" t="s">
        <v>38</v>
      </c>
      <c r="B20" s="8" t="s">
        <v>5</v>
      </c>
      <c r="C20" s="8" t="s">
        <v>55</v>
      </c>
      <c r="D20" s="13">
        <v>45297</v>
      </c>
      <c r="E20" s="9">
        <v>86067</v>
      </c>
    </row>
    <row r="21" spans="1:5" x14ac:dyDescent="0.25">
      <c r="A21" s="8" t="s">
        <v>39</v>
      </c>
      <c r="B21" s="8" t="s">
        <v>5</v>
      </c>
      <c r="C21" s="8" t="s">
        <v>50</v>
      </c>
      <c r="D21" s="13">
        <v>45298</v>
      </c>
      <c r="E21" s="9">
        <v>96538</v>
      </c>
    </row>
    <row r="22" spans="1:5" x14ac:dyDescent="0.25">
      <c r="A22" s="8" t="s">
        <v>40</v>
      </c>
      <c r="B22" s="8" t="s">
        <v>5</v>
      </c>
      <c r="C22" s="8" t="s">
        <v>12</v>
      </c>
      <c r="D22" s="13">
        <v>45329</v>
      </c>
      <c r="E22" s="9">
        <v>105593</v>
      </c>
    </row>
    <row r="23" spans="1:5" x14ac:dyDescent="0.25">
      <c r="A23" s="8" t="s">
        <v>41</v>
      </c>
      <c r="B23" s="8" t="s">
        <v>5</v>
      </c>
      <c r="C23" s="8" t="s">
        <v>35</v>
      </c>
      <c r="D23" s="13">
        <v>45348</v>
      </c>
      <c r="E23" s="9">
        <v>81999</v>
      </c>
    </row>
    <row r="24" spans="1:5" x14ac:dyDescent="0.25">
      <c r="A24" s="8" t="s">
        <v>42</v>
      </c>
      <c r="B24" s="8" t="s">
        <v>5</v>
      </c>
      <c r="C24" s="8" t="s">
        <v>110</v>
      </c>
      <c r="D24" s="13">
        <v>45354</v>
      </c>
      <c r="E24" s="9">
        <v>111562</v>
      </c>
    </row>
    <row r="25" spans="1:5" x14ac:dyDescent="0.25">
      <c r="A25" s="8" t="s">
        <v>43</v>
      </c>
      <c r="B25" s="8" t="s">
        <v>5</v>
      </c>
      <c r="C25" s="8" t="s">
        <v>17</v>
      </c>
      <c r="D25" s="13">
        <v>45357</v>
      </c>
      <c r="E25" s="9">
        <v>53743</v>
      </c>
    </row>
    <row r="26" spans="1:5" x14ac:dyDescent="0.25">
      <c r="A26" s="8" t="s">
        <v>45</v>
      </c>
      <c r="B26" s="8" t="s">
        <v>5</v>
      </c>
      <c r="C26" s="8" t="s">
        <v>6</v>
      </c>
      <c r="D26" s="13">
        <v>45361</v>
      </c>
      <c r="E26" s="9">
        <v>54778</v>
      </c>
    </row>
    <row r="27" spans="1:5" x14ac:dyDescent="0.25">
      <c r="A27" s="8" t="s">
        <v>46</v>
      </c>
      <c r="B27" s="8" t="s">
        <v>5</v>
      </c>
      <c r="C27" s="8" t="s">
        <v>25</v>
      </c>
      <c r="D27" s="13">
        <v>45379</v>
      </c>
      <c r="E27" s="9">
        <v>44920</v>
      </c>
    </row>
    <row r="28" spans="1:5" x14ac:dyDescent="0.25">
      <c r="A28" s="8" t="s">
        <v>47</v>
      </c>
      <c r="B28" s="8" t="s">
        <v>5</v>
      </c>
      <c r="C28" s="8" t="s">
        <v>12</v>
      </c>
      <c r="D28" s="13">
        <v>45381</v>
      </c>
      <c r="E28" s="9">
        <v>173980</v>
      </c>
    </row>
    <row r="29" spans="1:5" x14ac:dyDescent="0.25">
      <c r="A29" s="8" t="s">
        <v>49</v>
      </c>
      <c r="B29" s="8" t="s">
        <v>5</v>
      </c>
      <c r="C29" s="8" t="s">
        <v>44</v>
      </c>
      <c r="D29" s="13">
        <v>45407</v>
      </c>
      <c r="E29" s="9">
        <v>101624</v>
      </c>
    </row>
    <row r="30" spans="1:5" x14ac:dyDescent="0.25">
      <c r="A30" s="8" t="s">
        <v>51</v>
      </c>
      <c r="B30" s="8" t="s">
        <v>5</v>
      </c>
      <c r="C30" s="8" t="s">
        <v>35</v>
      </c>
      <c r="D30" s="13">
        <v>45445</v>
      </c>
      <c r="E30" s="9">
        <v>105102</v>
      </c>
    </row>
    <row r="31" spans="1:5" x14ac:dyDescent="0.25">
      <c r="A31" s="8" t="s">
        <v>52</v>
      </c>
      <c r="B31" s="8" t="s">
        <v>5</v>
      </c>
      <c r="C31" s="8" t="s">
        <v>48</v>
      </c>
      <c r="D31" s="13">
        <v>45460</v>
      </c>
      <c r="E31" s="9">
        <v>83166</v>
      </c>
    </row>
    <row r="32" spans="1:5" x14ac:dyDescent="0.25">
      <c r="A32" s="8" t="s">
        <v>53</v>
      </c>
      <c r="B32" s="8" t="s">
        <v>5</v>
      </c>
      <c r="C32" s="8" t="s">
        <v>33</v>
      </c>
      <c r="D32" s="13">
        <v>45462</v>
      </c>
      <c r="E32" s="9">
        <v>82771</v>
      </c>
    </row>
    <row r="33" spans="1:5" x14ac:dyDescent="0.25">
      <c r="A33" s="8" t="s">
        <v>54</v>
      </c>
      <c r="B33" s="8" t="s">
        <v>5</v>
      </c>
      <c r="C33" s="8" t="s">
        <v>23</v>
      </c>
      <c r="D33" s="13">
        <v>45462</v>
      </c>
      <c r="E33" s="9">
        <v>69195</v>
      </c>
    </row>
    <row r="34" spans="1:5" x14ac:dyDescent="0.25">
      <c r="A34" s="8" t="s">
        <v>56</v>
      </c>
      <c r="B34" s="8" t="s">
        <v>5</v>
      </c>
      <c r="C34" s="8" t="s">
        <v>12</v>
      </c>
      <c r="D34" s="13">
        <v>45490</v>
      </c>
      <c r="E34" s="9">
        <v>73227</v>
      </c>
    </row>
    <row r="35" spans="1:5" x14ac:dyDescent="0.25">
      <c r="A35" s="8" t="s">
        <v>57</v>
      </c>
      <c r="B35" s="8" t="s">
        <v>5</v>
      </c>
      <c r="C35" s="8" t="s">
        <v>50</v>
      </c>
      <c r="D35" s="13">
        <v>45517</v>
      </c>
      <c r="E35" s="9">
        <v>111927</v>
      </c>
    </row>
    <row r="36" spans="1:5" x14ac:dyDescent="0.25">
      <c r="A36" s="8" t="s">
        <v>58</v>
      </c>
      <c r="B36" s="8" t="s">
        <v>5</v>
      </c>
      <c r="C36" s="8" t="s">
        <v>17</v>
      </c>
      <c r="D36" s="13">
        <v>45517</v>
      </c>
      <c r="E36" s="9">
        <v>109126</v>
      </c>
    </row>
    <row r="37" spans="1:5" x14ac:dyDescent="0.25">
      <c r="A37" s="8" t="s">
        <v>59</v>
      </c>
      <c r="B37" s="8" t="s">
        <v>5</v>
      </c>
      <c r="C37" s="8" t="s">
        <v>91</v>
      </c>
      <c r="D37" s="13">
        <v>45544</v>
      </c>
      <c r="E37" s="9">
        <v>164144</v>
      </c>
    </row>
    <row r="38" spans="1:5" x14ac:dyDescent="0.25">
      <c r="A38" s="8" t="s">
        <v>60</v>
      </c>
      <c r="B38" s="8" t="s">
        <v>5</v>
      </c>
      <c r="C38" s="8" t="s">
        <v>33</v>
      </c>
      <c r="D38" s="13">
        <v>45555</v>
      </c>
      <c r="E38" s="9">
        <v>67697</v>
      </c>
    </row>
    <row r="39" spans="1:5" x14ac:dyDescent="0.25">
      <c r="A39" s="8" t="s">
        <v>61</v>
      </c>
      <c r="B39" s="8" t="s">
        <v>5</v>
      </c>
      <c r="C39" s="8" t="s">
        <v>44</v>
      </c>
      <c r="D39" s="13">
        <v>45572</v>
      </c>
      <c r="E39" s="9">
        <v>56366</v>
      </c>
    </row>
    <row r="40" spans="1:5" x14ac:dyDescent="0.25">
      <c r="A40" s="8" t="s">
        <v>62</v>
      </c>
      <c r="B40" s="8" t="s">
        <v>5</v>
      </c>
      <c r="C40" s="8" t="s">
        <v>73</v>
      </c>
      <c r="D40" s="13">
        <v>45576</v>
      </c>
      <c r="E40" s="9">
        <v>98483</v>
      </c>
    </row>
    <row r="41" spans="1:5" x14ac:dyDescent="0.25">
      <c r="A41" s="8" t="s">
        <v>63</v>
      </c>
      <c r="B41" s="8" t="s">
        <v>5</v>
      </c>
      <c r="C41" s="8" t="s">
        <v>29</v>
      </c>
      <c r="D41" s="13">
        <v>45587</v>
      </c>
      <c r="E41" s="9">
        <v>38341</v>
      </c>
    </row>
    <row r="42" spans="1:5" x14ac:dyDescent="0.25">
      <c r="A42" s="8" t="s">
        <v>64</v>
      </c>
      <c r="B42" s="8" t="s">
        <v>5</v>
      </c>
      <c r="C42" s="8" t="s">
        <v>110</v>
      </c>
      <c r="D42" s="13">
        <v>45591</v>
      </c>
      <c r="E42" s="9">
        <v>57137</v>
      </c>
    </row>
    <row r="43" spans="1:5" x14ac:dyDescent="0.25">
      <c r="A43" s="8" t="s">
        <v>65</v>
      </c>
      <c r="B43" s="8" t="s">
        <v>5</v>
      </c>
      <c r="C43" s="8" t="s">
        <v>6</v>
      </c>
      <c r="D43" s="13">
        <v>45627</v>
      </c>
      <c r="E43" s="9">
        <v>52692</v>
      </c>
    </row>
    <row r="44" spans="1:5" x14ac:dyDescent="0.25">
      <c r="A44" s="8" t="s">
        <v>66</v>
      </c>
      <c r="B44" s="8" t="s">
        <v>5</v>
      </c>
      <c r="C44" s="8" t="s">
        <v>55</v>
      </c>
      <c r="D44" s="13">
        <v>45656</v>
      </c>
      <c r="E44" s="9">
        <v>95995</v>
      </c>
    </row>
    <row r="45" spans="1:5" x14ac:dyDescent="0.25">
      <c r="A45" s="8" t="s">
        <v>67</v>
      </c>
      <c r="B45" s="8" t="s">
        <v>5</v>
      </c>
      <c r="C45" s="8" t="s">
        <v>23</v>
      </c>
      <c r="D45" s="13">
        <v>45659</v>
      </c>
      <c r="E45" s="9">
        <v>79020</v>
      </c>
    </row>
    <row r="46" spans="1:5" x14ac:dyDescent="0.25">
      <c r="A46" s="8" t="s">
        <v>68</v>
      </c>
      <c r="B46" s="8" t="s">
        <v>5</v>
      </c>
      <c r="C46" s="8" t="s">
        <v>21</v>
      </c>
      <c r="D46" s="13">
        <v>45682</v>
      </c>
      <c r="E46" s="9">
        <v>84300</v>
      </c>
    </row>
    <row r="47" spans="1:5" x14ac:dyDescent="0.25">
      <c r="A47" s="8" t="s">
        <v>69</v>
      </c>
      <c r="B47" s="8" t="s">
        <v>5</v>
      </c>
      <c r="C47" s="8" t="s">
        <v>37</v>
      </c>
      <c r="D47" s="13">
        <v>45697</v>
      </c>
      <c r="E47" s="9">
        <v>69215</v>
      </c>
    </row>
    <row r="48" spans="1:5" x14ac:dyDescent="0.25">
      <c r="A48" s="8" t="s">
        <v>70</v>
      </c>
      <c r="B48" s="8" t="s">
        <v>5</v>
      </c>
      <c r="C48" s="8" t="s">
        <v>8</v>
      </c>
      <c r="D48" s="13">
        <v>45712</v>
      </c>
      <c r="E48" s="9">
        <v>98447</v>
      </c>
    </row>
    <row r="49" spans="1:5" x14ac:dyDescent="0.25">
      <c r="A49" s="8" t="s">
        <v>72</v>
      </c>
      <c r="B49" s="8" t="s">
        <v>5</v>
      </c>
      <c r="C49" s="8" t="s">
        <v>50</v>
      </c>
      <c r="D49" s="13">
        <v>45722</v>
      </c>
      <c r="E49" s="9">
        <v>51215</v>
      </c>
    </row>
    <row r="50" spans="1:5" x14ac:dyDescent="0.25">
      <c r="A50" s="8" t="s">
        <v>74</v>
      </c>
      <c r="B50" s="8" t="s">
        <v>5</v>
      </c>
      <c r="C50" s="8" t="s">
        <v>10</v>
      </c>
      <c r="D50" s="13">
        <v>45732</v>
      </c>
      <c r="E50" s="9">
        <v>76712</v>
      </c>
    </row>
    <row r="51" spans="1:5" x14ac:dyDescent="0.25">
      <c r="A51" s="8" t="s">
        <v>75</v>
      </c>
      <c r="B51" s="8" t="s">
        <v>5</v>
      </c>
      <c r="C51" s="8" t="s">
        <v>12</v>
      </c>
      <c r="D51" s="13">
        <v>45736</v>
      </c>
      <c r="E51" s="9">
        <v>88716</v>
      </c>
    </row>
    <row r="52" spans="1:5" x14ac:dyDescent="0.25">
      <c r="A52" s="8" t="s">
        <v>76</v>
      </c>
      <c r="B52" s="8" t="s">
        <v>5</v>
      </c>
      <c r="C52" s="8" t="s">
        <v>29</v>
      </c>
      <c r="D52" s="13">
        <v>45747</v>
      </c>
      <c r="E52" s="9">
        <v>61412</v>
      </c>
    </row>
    <row r="53" spans="1:5" x14ac:dyDescent="0.25">
      <c r="A53" s="8" t="s">
        <v>77</v>
      </c>
      <c r="B53" s="8" t="s">
        <v>5</v>
      </c>
      <c r="C53" s="8" t="s">
        <v>48</v>
      </c>
      <c r="D53" s="13">
        <v>45758</v>
      </c>
      <c r="E53" s="9">
        <v>96833</v>
      </c>
    </row>
    <row r="54" spans="1:5" x14ac:dyDescent="0.25">
      <c r="A54" s="8" t="s">
        <v>78</v>
      </c>
      <c r="B54" s="8" t="s">
        <v>5</v>
      </c>
      <c r="C54" s="8" t="s">
        <v>29</v>
      </c>
      <c r="D54" s="13">
        <v>45775</v>
      </c>
      <c r="E54" s="9">
        <v>41436</v>
      </c>
    </row>
    <row r="55" spans="1:5" x14ac:dyDescent="0.25">
      <c r="A55" s="8" t="s">
        <v>79</v>
      </c>
      <c r="B55" s="8" t="s">
        <v>5</v>
      </c>
      <c r="C55" s="8" t="s">
        <v>91</v>
      </c>
      <c r="D55" s="13">
        <v>45788</v>
      </c>
      <c r="E55" s="9">
        <v>84851</v>
      </c>
    </row>
    <row r="56" spans="1:5" x14ac:dyDescent="0.25">
      <c r="A56" s="8" t="s">
        <v>80</v>
      </c>
      <c r="B56" s="8" t="s">
        <v>5</v>
      </c>
      <c r="C56" s="8" t="s">
        <v>110</v>
      </c>
      <c r="D56" s="13">
        <v>45799</v>
      </c>
      <c r="E56" s="9">
        <v>56808</v>
      </c>
    </row>
    <row r="57" spans="1:5" x14ac:dyDescent="0.25">
      <c r="A57" s="8" t="s">
        <v>81</v>
      </c>
      <c r="B57" s="8" t="s">
        <v>5</v>
      </c>
      <c r="C57" s="8" t="s">
        <v>50</v>
      </c>
      <c r="D57" s="13">
        <v>45808</v>
      </c>
      <c r="E57" s="9">
        <v>52404</v>
      </c>
    </row>
    <row r="58" spans="1:5" x14ac:dyDescent="0.25">
      <c r="A58" s="8" t="s">
        <v>82</v>
      </c>
      <c r="B58" s="8" t="s">
        <v>5</v>
      </c>
      <c r="C58" s="8" t="s">
        <v>33</v>
      </c>
      <c r="D58" s="13">
        <v>45821</v>
      </c>
      <c r="E58" s="9">
        <v>50350</v>
      </c>
    </row>
    <row r="59" spans="1:5" x14ac:dyDescent="0.25">
      <c r="A59" s="8" t="s">
        <v>83</v>
      </c>
      <c r="B59" s="8" t="s">
        <v>5</v>
      </c>
      <c r="C59" s="8" t="s">
        <v>50</v>
      </c>
      <c r="D59" s="13">
        <v>45822</v>
      </c>
      <c r="E59" s="9">
        <v>90076</v>
      </c>
    </row>
    <row r="60" spans="1:5" x14ac:dyDescent="0.25">
      <c r="A60" s="8" t="s">
        <v>84</v>
      </c>
      <c r="B60" s="8" t="s">
        <v>5</v>
      </c>
      <c r="C60" s="8" t="s">
        <v>55</v>
      </c>
      <c r="D60" s="13">
        <v>45846</v>
      </c>
      <c r="E60" s="9">
        <v>79258</v>
      </c>
    </row>
    <row r="61" spans="1:5" x14ac:dyDescent="0.25">
      <c r="A61" s="8" t="s">
        <v>85</v>
      </c>
      <c r="B61" s="8" t="s">
        <v>5</v>
      </c>
      <c r="C61" s="8" t="s">
        <v>35</v>
      </c>
      <c r="D61" s="13">
        <v>45859</v>
      </c>
      <c r="E61" s="9">
        <v>204912</v>
      </c>
    </row>
    <row r="62" spans="1:5" x14ac:dyDescent="0.25">
      <c r="A62" s="8" t="s">
        <v>86</v>
      </c>
      <c r="B62" s="8" t="s">
        <v>87</v>
      </c>
      <c r="C62" s="8" t="s">
        <v>44</v>
      </c>
      <c r="D62" s="13">
        <v>45379</v>
      </c>
      <c r="E62" s="9">
        <v>154945</v>
      </c>
    </row>
    <row r="63" spans="1:5" x14ac:dyDescent="0.25">
      <c r="A63" s="8" t="s">
        <v>88</v>
      </c>
      <c r="B63" s="8" t="s">
        <v>87</v>
      </c>
      <c r="C63" s="8" t="s">
        <v>35</v>
      </c>
      <c r="D63" s="13">
        <v>45381</v>
      </c>
      <c r="E63" s="9">
        <v>175730</v>
      </c>
    </row>
    <row r="64" spans="1:5" x14ac:dyDescent="0.25">
      <c r="A64" s="8" t="s">
        <v>89</v>
      </c>
      <c r="B64" s="8" t="s">
        <v>87</v>
      </c>
      <c r="C64" s="8" t="s">
        <v>55</v>
      </c>
      <c r="D64" s="13">
        <v>45389</v>
      </c>
      <c r="E64" s="9">
        <v>269906</v>
      </c>
    </row>
    <row r="65" spans="1:5" x14ac:dyDescent="0.25">
      <c r="A65" s="8" t="s">
        <v>90</v>
      </c>
      <c r="B65" s="8" t="s">
        <v>87</v>
      </c>
      <c r="C65" s="8" t="s">
        <v>8</v>
      </c>
      <c r="D65" s="13">
        <v>45428</v>
      </c>
      <c r="E65" s="9">
        <v>609587</v>
      </c>
    </row>
    <row r="66" spans="1:5" x14ac:dyDescent="0.25">
      <c r="A66" s="8" t="s">
        <v>92</v>
      </c>
      <c r="B66" s="8" t="s">
        <v>87</v>
      </c>
      <c r="C66" s="8" t="s">
        <v>23</v>
      </c>
      <c r="D66" s="13">
        <v>45430</v>
      </c>
      <c r="E66" s="9">
        <v>159231</v>
      </c>
    </row>
    <row r="67" spans="1:5" x14ac:dyDescent="0.25">
      <c r="A67" s="8" t="s">
        <v>93</v>
      </c>
      <c r="B67" s="8" t="s">
        <v>87</v>
      </c>
      <c r="C67" s="8" t="s">
        <v>33</v>
      </c>
      <c r="D67" s="13">
        <v>45440</v>
      </c>
      <c r="E67" s="9">
        <v>221187</v>
      </c>
    </row>
    <row r="68" spans="1:5" x14ac:dyDescent="0.25">
      <c r="A68" s="8" t="s">
        <v>94</v>
      </c>
      <c r="B68" s="8" t="s">
        <v>87</v>
      </c>
      <c r="C68" s="8" t="s">
        <v>55</v>
      </c>
      <c r="D68" s="13">
        <v>45443</v>
      </c>
      <c r="E68" s="9">
        <v>344592</v>
      </c>
    </row>
    <row r="69" spans="1:5" x14ac:dyDescent="0.25">
      <c r="A69" s="8" t="s">
        <v>95</v>
      </c>
      <c r="B69" s="8" t="s">
        <v>87</v>
      </c>
      <c r="C69" s="8" t="s">
        <v>35</v>
      </c>
      <c r="D69" s="13">
        <v>45456</v>
      </c>
      <c r="E69" s="9">
        <v>184281</v>
      </c>
    </row>
    <row r="70" spans="1:5" x14ac:dyDescent="0.25">
      <c r="A70" s="8" t="s">
        <v>96</v>
      </c>
      <c r="B70" s="8" t="s">
        <v>87</v>
      </c>
      <c r="C70" s="8" t="s">
        <v>10</v>
      </c>
      <c r="D70" s="13">
        <v>45477</v>
      </c>
      <c r="E70" s="9">
        <v>329748</v>
      </c>
    </row>
    <row r="71" spans="1:5" x14ac:dyDescent="0.25">
      <c r="A71" s="8" t="s">
        <v>97</v>
      </c>
      <c r="B71" s="8" t="s">
        <v>87</v>
      </c>
      <c r="C71" s="8" t="s">
        <v>8</v>
      </c>
      <c r="D71" s="13">
        <v>45489</v>
      </c>
      <c r="E71" s="9">
        <v>155993</v>
      </c>
    </row>
    <row r="72" spans="1:5" x14ac:dyDescent="0.25">
      <c r="A72" s="8" t="s">
        <v>98</v>
      </c>
      <c r="B72" s="8" t="s">
        <v>87</v>
      </c>
      <c r="C72" s="8" t="s">
        <v>37</v>
      </c>
      <c r="D72" s="13">
        <v>45502</v>
      </c>
      <c r="E72" s="9">
        <v>251512</v>
      </c>
    </row>
    <row r="73" spans="1:5" x14ac:dyDescent="0.25">
      <c r="A73" s="8" t="s">
        <v>99</v>
      </c>
      <c r="B73" s="8" t="s">
        <v>87</v>
      </c>
      <c r="C73" s="8" t="s">
        <v>19</v>
      </c>
      <c r="D73" s="13">
        <v>45509</v>
      </c>
      <c r="E73" s="9">
        <v>283818</v>
      </c>
    </row>
    <row r="74" spans="1:5" x14ac:dyDescent="0.25">
      <c r="A74" s="8" t="s">
        <v>100</v>
      </c>
      <c r="B74" s="8" t="s">
        <v>87</v>
      </c>
      <c r="C74" s="8" t="s">
        <v>17</v>
      </c>
      <c r="D74" s="13">
        <v>45540</v>
      </c>
      <c r="E74" s="9">
        <v>215560</v>
      </c>
    </row>
    <row r="75" spans="1:5" x14ac:dyDescent="0.25">
      <c r="A75" s="8" t="s">
        <v>101</v>
      </c>
      <c r="B75" s="8" t="s">
        <v>87</v>
      </c>
      <c r="C75" s="8" t="s">
        <v>71</v>
      </c>
      <c r="D75" s="13">
        <v>45551</v>
      </c>
      <c r="E75" s="9">
        <v>162635</v>
      </c>
    </row>
    <row r="76" spans="1:5" x14ac:dyDescent="0.25">
      <c r="A76" s="8" t="s">
        <v>102</v>
      </c>
      <c r="B76" s="8" t="s">
        <v>87</v>
      </c>
      <c r="C76" s="8" t="s">
        <v>29</v>
      </c>
      <c r="D76" s="13">
        <v>45560</v>
      </c>
      <c r="E76" s="9">
        <v>195516</v>
      </c>
    </row>
    <row r="77" spans="1:5" x14ac:dyDescent="0.25">
      <c r="A77" s="8" t="s">
        <v>103</v>
      </c>
      <c r="B77" s="8" t="s">
        <v>87</v>
      </c>
      <c r="C77" s="8" t="s">
        <v>33</v>
      </c>
      <c r="D77" s="13">
        <v>45560</v>
      </c>
      <c r="E77" s="9">
        <v>341450</v>
      </c>
    </row>
    <row r="78" spans="1:5" x14ac:dyDescent="0.25">
      <c r="A78" s="8" t="s">
        <v>104</v>
      </c>
      <c r="B78" s="8" t="s">
        <v>87</v>
      </c>
      <c r="C78" s="8" t="s">
        <v>50</v>
      </c>
      <c r="D78" s="13">
        <v>45572</v>
      </c>
      <c r="E78" s="9">
        <v>323636</v>
      </c>
    </row>
    <row r="79" spans="1:5" x14ac:dyDescent="0.25">
      <c r="A79" s="8" t="s">
        <v>105</v>
      </c>
      <c r="B79" s="8" t="s">
        <v>87</v>
      </c>
      <c r="C79" s="8" t="s">
        <v>8</v>
      </c>
      <c r="D79" s="13">
        <v>45576</v>
      </c>
      <c r="E79" s="9">
        <v>157042</v>
      </c>
    </row>
    <row r="80" spans="1:5" x14ac:dyDescent="0.25">
      <c r="A80" s="8" t="s">
        <v>106</v>
      </c>
      <c r="B80" s="8" t="s">
        <v>87</v>
      </c>
      <c r="C80" s="8" t="s">
        <v>14</v>
      </c>
      <c r="D80" s="13">
        <v>45577</v>
      </c>
      <c r="E80" s="9">
        <v>254832</v>
      </c>
    </row>
    <row r="81" spans="1:5" x14ac:dyDescent="0.25">
      <c r="A81" s="8" t="s">
        <v>107</v>
      </c>
      <c r="B81" s="8" t="s">
        <v>87</v>
      </c>
      <c r="C81" s="8" t="s">
        <v>109</v>
      </c>
      <c r="D81" s="13">
        <v>45582</v>
      </c>
      <c r="E81" s="9">
        <v>262109</v>
      </c>
    </row>
    <row r="82" spans="1:5" x14ac:dyDescent="0.25">
      <c r="A82" s="8" t="s">
        <v>111</v>
      </c>
      <c r="B82" s="8" t="s">
        <v>112</v>
      </c>
      <c r="C82" s="8" t="s">
        <v>17</v>
      </c>
      <c r="D82" s="13">
        <v>45190</v>
      </c>
      <c r="E82" s="9">
        <v>117311</v>
      </c>
    </row>
    <row r="83" spans="1:5" x14ac:dyDescent="0.25">
      <c r="A83" s="8" t="s">
        <v>113</v>
      </c>
      <c r="B83" s="8" t="s">
        <v>112</v>
      </c>
      <c r="C83" s="8" t="s">
        <v>108</v>
      </c>
      <c r="D83" s="13">
        <v>45190</v>
      </c>
      <c r="E83" s="9">
        <v>170977</v>
      </c>
    </row>
    <row r="84" spans="1:5" x14ac:dyDescent="0.25">
      <c r="A84" s="8" t="s">
        <v>114</v>
      </c>
      <c r="B84" s="8" t="s">
        <v>112</v>
      </c>
      <c r="C84" s="8" t="s">
        <v>23</v>
      </c>
      <c r="D84" s="13">
        <v>45212</v>
      </c>
      <c r="E84" s="9">
        <v>217857</v>
      </c>
    </row>
    <row r="85" spans="1:5" x14ac:dyDescent="0.25">
      <c r="A85" s="8" t="s">
        <v>115</v>
      </c>
      <c r="B85" s="8" t="s">
        <v>112</v>
      </c>
      <c r="C85" s="8" t="s">
        <v>27</v>
      </c>
      <c r="D85" s="13">
        <v>45225</v>
      </c>
      <c r="E85" s="9">
        <v>184007</v>
      </c>
    </row>
    <row r="86" spans="1:5" x14ac:dyDescent="0.25">
      <c r="A86" s="8" t="s">
        <v>116</v>
      </c>
      <c r="B86" s="8" t="s">
        <v>112</v>
      </c>
      <c r="C86" s="8" t="s">
        <v>50</v>
      </c>
      <c r="D86" s="13">
        <v>45233</v>
      </c>
      <c r="E86" s="9">
        <v>114096</v>
      </c>
    </row>
    <row r="87" spans="1:5" x14ac:dyDescent="0.25">
      <c r="A87" s="8" t="s">
        <v>117</v>
      </c>
      <c r="B87" s="8" t="s">
        <v>112</v>
      </c>
      <c r="C87" s="8" t="s">
        <v>21</v>
      </c>
      <c r="D87" s="13">
        <v>45255</v>
      </c>
      <c r="E87" s="9">
        <v>241785</v>
      </c>
    </row>
    <row r="88" spans="1:5" x14ac:dyDescent="0.25">
      <c r="A88" s="8" t="s">
        <v>118</v>
      </c>
      <c r="B88" s="8" t="s">
        <v>112</v>
      </c>
      <c r="C88" s="8" t="s">
        <v>14</v>
      </c>
      <c r="D88" s="13">
        <v>45279</v>
      </c>
      <c r="E88" s="9">
        <v>108431</v>
      </c>
    </row>
    <row r="89" spans="1:5" x14ac:dyDescent="0.25">
      <c r="A89" s="8" t="s">
        <v>119</v>
      </c>
      <c r="B89" s="8" t="s">
        <v>112</v>
      </c>
      <c r="C89" s="8" t="s">
        <v>50</v>
      </c>
      <c r="D89" s="13">
        <v>45290</v>
      </c>
      <c r="E89" s="9">
        <v>123096</v>
      </c>
    </row>
    <row r="90" spans="1:5" x14ac:dyDescent="0.25">
      <c r="A90" s="8" t="s">
        <v>120</v>
      </c>
      <c r="B90" s="8" t="s">
        <v>112</v>
      </c>
      <c r="C90" s="8" t="s">
        <v>17</v>
      </c>
      <c r="D90" s="13">
        <v>45297</v>
      </c>
      <c r="E90" s="9">
        <v>167422</v>
      </c>
    </row>
    <row r="91" spans="1:5" x14ac:dyDescent="0.25">
      <c r="A91" s="8" t="s">
        <v>121</v>
      </c>
      <c r="B91" s="8" t="s">
        <v>112</v>
      </c>
      <c r="C91" s="8" t="s">
        <v>21</v>
      </c>
      <c r="D91" s="13">
        <v>45323</v>
      </c>
      <c r="E91" s="9">
        <v>115900</v>
      </c>
    </row>
    <row r="92" spans="1:5" x14ac:dyDescent="0.25">
      <c r="A92" s="8" t="s">
        <v>122</v>
      </c>
      <c r="B92" s="8" t="s">
        <v>112</v>
      </c>
      <c r="C92" s="8" t="s">
        <v>21</v>
      </c>
      <c r="D92" s="13">
        <v>45325</v>
      </c>
      <c r="E92" s="9">
        <v>129374</v>
      </c>
    </row>
    <row r="93" spans="1:5" x14ac:dyDescent="0.25">
      <c r="A93" s="8" t="s">
        <v>123</v>
      </c>
      <c r="B93" s="8" t="s">
        <v>112</v>
      </c>
      <c r="C93" s="8" t="s">
        <v>25</v>
      </c>
      <c r="D93" s="13">
        <v>45344</v>
      </c>
      <c r="E93" s="9">
        <v>237885</v>
      </c>
    </row>
    <row r="94" spans="1:5" x14ac:dyDescent="0.25">
      <c r="A94" s="8" t="s">
        <v>124</v>
      </c>
      <c r="B94" s="8" t="s">
        <v>112</v>
      </c>
      <c r="C94" s="8" t="s">
        <v>23</v>
      </c>
      <c r="D94" s="13">
        <v>45354</v>
      </c>
      <c r="E94" s="9">
        <v>257992</v>
      </c>
    </row>
    <row r="95" spans="1:5" x14ac:dyDescent="0.25">
      <c r="A95" s="8" t="s">
        <v>125</v>
      </c>
      <c r="B95" s="8" t="s">
        <v>112</v>
      </c>
      <c r="C95" s="8" t="s">
        <v>91</v>
      </c>
      <c r="D95" s="13">
        <v>45359</v>
      </c>
      <c r="E95" s="9">
        <v>205211</v>
      </c>
    </row>
    <row r="96" spans="1:5" x14ac:dyDescent="0.25">
      <c r="A96" s="8" t="s">
        <v>126</v>
      </c>
      <c r="B96" s="8" t="s">
        <v>112</v>
      </c>
      <c r="C96" s="8" t="s">
        <v>6</v>
      </c>
      <c r="D96" s="13">
        <v>45361</v>
      </c>
      <c r="E96" s="9">
        <v>164623</v>
      </c>
    </row>
    <row r="97" spans="1:5" x14ac:dyDescent="0.25">
      <c r="A97" s="8" t="s">
        <v>127</v>
      </c>
      <c r="B97" s="8" t="s">
        <v>112</v>
      </c>
      <c r="C97" s="8" t="s">
        <v>44</v>
      </c>
      <c r="D97" s="13">
        <v>45399</v>
      </c>
      <c r="E97" s="9">
        <v>236724</v>
      </c>
    </row>
    <row r="98" spans="1:5" x14ac:dyDescent="0.25">
      <c r="A98" s="8" t="s">
        <v>128</v>
      </c>
      <c r="B98" s="8" t="s">
        <v>112</v>
      </c>
      <c r="C98" s="8" t="s">
        <v>12</v>
      </c>
      <c r="D98" s="13">
        <v>45413</v>
      </c>
      <c r="E98" s="9">
        <v>104390</v>
      </c>
    </row>
    <row r="99" spans="1:5" x14ac:dyDescent="0.25">
      <c r="A99" s="8" t="s">
        <v>129</v>
      </c>
      <c r="B99" s="8" t="s">
        <v>112</v>
      </c>
      <c r="C99" s="8" t="s">
        <v>108</v>
      </c>
      <c r="D99" s="13">
        <v>45416</v>
      </c>
      <c r="E99" s="9">
        <v>213455</v>
      </c>
    </row>
    <row r="100" spans="1:5" x14ac:dyDescent="0.25">
      <c r="A100" s="8" t="s">
        <v>130</v>
      </c>
      <c r="B100" s="8" t="s">
        <v>112</v>
      </c>
      <c r="C100" s="8" t="s">
        <v>48</v>
      </c>
      <c r="D100" s="13">
        <v>45449</v>
      </c>
      <c r="E100" s="9">
        <v>140220</v>
      </c>
    </row>
    <row r="101" spans="1:5" x14ac:dyDescent="0.25">
      <c r="A101" s="8" t="s">
        <v>131</v>
      </c>
      <c r="B101" s="8" t="s">
        <v>112</v>
      </c>
      <c r="C101" s="8" t="s">
        <v>21</v>
      </c>
      <c r="D101" s="13">
        <v>45451</v>
      </c>
      <c r="E101" s="9">
        <v>148383</v>
      </c>
    </row>
    <row r="102" spans="1:5" x14ac:dyDescent="0.25">
      <c r="A102" s="8" t="s">
        <v>132</v>
      </c>
      <c r="B102" s="8" t="s">
        <v>112</v>
      </c>
      <c r="C102" s="8" t="s">
        <v>6</v>
      </c>
      <c r="D102" s="13">
        <v>45451</v>
      </c>
      <c r="E102" s="9">
        <v>281944</v>
      </c>
    </row>
    <row r="103" spans="1:5" x14ac:dyDescent="0.25">
      <c r="A103" s="8" t="s">
        <v>133</v>
      </c>
      <c r="B103" s="8" t="s">
        <v>112</v>
      </c>
      <c r="C103" s="8" t="s">
        <v>6</v>
      </c>
      <c r="D103" s="13">
        <v>45465</v>
      </c>
      <c r="E103" s="9">
        <v>295942</v>
      </c>
    </row>
    <row r="104" spans="1:5" x14ac:dyDescent="0.25">
      <c r="A104" s="8" t="s">
        <v>134</v>
      </c>
      <c r="B104" s="8" t="s">
        <v>112</v>
      </c>
      <c r="C104" s="8" t="s">
        <v>33</v>
      </c>
      <c r="D104" s="13">
        <v>45485</v>
      </c>
      <c r="E104" s="9">
        <v>140486</v>
      </c>
    </row>
    <row r="105" spans="1:5" x14ac:dyDescent="0.25">
      <c r="A105" s="8" t="s">
        <v>135</v>
      </c>
      <c r="B105" s="8" t="s">
        <v>112</v>
      </c>
      <c r="C105" s="8" t="s">
        <v>25</v>
      </c>
      <c r="D105" s="13">
        <v>45486</v>
      </c>
      <c r="E105" s="9">
        <v>166607</v>
      </c>
    </row>
    <row r="106" spans="1:5" x14ac:dyDescent="0.25">
      <c r="A106" s="8" t="s">
        <v>136</v>
      </c>
      <c r="B106" s="8" t="s">
        <v>112</v>
      </c>
      <c r="C106" s="8" t="s">
        <v>44</v>
      </c>
      <c r="D106" s="13">
        <v>45495</v>
      </c>
      <c r="E106" s="9">
        <v>195569</v>
      </c>
    </row>
    <row r="107" spans="1:5" x14ac:dyDescent="0.25">
      <c r="A107" s="8" t="s">
        <v>137</v>
      </c>
      <c r="B107" s="8" t="s">
        <v>112</v>
      </c>
      <c r="C107" s="8" t="s">
        <v>109</v>
      </c>
      <c r="D107" s="13">
        <v>45529</v>
      </c>
      <c r="E107" s="9">
        <v>180283</v>
      </c>
    </row>
    <row r="108" spans="1:5" x14ac:dyDescent="0.25">
      <c r="A108" s="8" t="s">
        <v>138</v>
      </c>
      <c r="B108" s="8" t="s">
        <v>112</v>
      </c>
      <c r="C108" s="8" t="s">
        <v>91</v>
      </c>
      <c r="D108" s="13">
        <v>45529</v>
      </c>
      <c r="E108" s="9">
        <v>265163</v>
      </c>
    </row>
    <row r="109" spans="1:5" x14ac:dyDescent="0.25">
      <c r="A109" s="8" t="s">
        <v>139</v>
      </c>
      <c r="B109" s="8" t="s">
        <v>112</v>
      </c>
      <c r="C109" s="8" t="s">
        <v>29</v>
      </c>
      <c r="D109" s="13">
        <v>45530</v>
      </c>
      <c r="E109" s="9">
        <v>278944</v>
      </c>
    </row>
    <row r="110" spans="1:5" x14ac:dyDescent="0.25">
      <c r="A110" s="8" t="s">
        <v>140</v>
      </c>
      <c r="B110" s="8" t="s">
        <v>112</v>
      </c>
      <c r="C110" s="8" t="s">
        <v>71</v>
      </c>
      <c r="D110" s="13">
        <v>45536</v>
      </c>
      <c r="E110" s="9">
        <v>117590</v>
      </c>
    </row>
    <row r="111" spans="1:5" x14ac:dyDescent="0.25">
      <c r="A111" s="8" t="s">
        <v>141</v>
      </c>
      <c r="B111" s="8" t="s">
        <v>112</v>
      </c>
      <c r="C111" s="8" t="s">
        <v>55</v>
      </c>
      <c r="D111" s="13">
        <v>45546</v>
      </c>
      <c r="E111" s="9">
        <v>231244</v>
      </c>
    </row>
    <row r="112" spans="1:5" x14ac:dyDescent="0.25">
      <c r="A112" s="8" t="s">
        <v>142</v>
      </c>
      <c r="B112" s="8" t="s">
        <v>112</v>
      </c>
      <c r="C112" s="8" t="s">
        <v>33</v>
      </c>
      <c r="D112" s="13">
        <v>45558</v>
      </c>
      <c r="E112" s="9">
        <v>286051</v>
      </c>
    </row>
    <row r="113" spans="1:5" x14ac:dyDescent="0.25">
      <c r="A113" s="8" t="s">
        <v>143</v>
      </c>
      <c r="B113" s="8" t="s">
        <v>112</v>
      </c>
      <c r="C113" s="8" t="s">
        <v>17</v>
      </c>
      <c r="D113" s="13">
        <v>45563</v>
      </c>
      <c r="E113" s="9">
        <v>110934</v>
      </c>
    </row>
    <row r="114" spans="1:5" x14ac:dyDescent="0.25">
      <c r="A114" s="8" t="s">
        <v>144</v>
      </c>
      <c r="B114" s="8" t="s">
        <v>112</v>
      </c>
      <c r="C114" s="8" t="s">
        <v>27</v>
      </c>
      <c r="D114" s="13">
        <v>45566</v>
      </c>
      <c r="E114" s="9">
        <v>237542</v>
      </c>
    </row>
    <row r="115" spans="1:5" x14ac:dyDescent="0.25">
      <c r="A115" s="8" t="s">
        <v>145</v>
      </c>
      <c r="B115" s="8" t="s">
        <v>112</v>
      </c>
      <c r="C115" s="8" t="s">
        <v>50</v>
      </c>
      <c r="D115" s="13">
        <v>45569</v>
      </c>
      <c r="E115" s="9">
        <v>727524</v>
      </c>
    </row>
    <row r="116" spans="1:5" x14ac:dyDescent="0.25">
      <c r="A116" s="8" t="s">
        <v>146</v>
      </c>
      <c r="B116" s="8" t="s">
        <v>112</v>
      </c>
      <c r="C116" s="8" t="s">
        <v>55</v>
      </c>
      <c r="D116" s="13">
        <v>45574</v>
      </c>
      <c r="E116" s="9">
        <v>136791</v>
      </c>
    </row>
    <row r="117" spans="1:5" x14ac:dyDescent="0.25">
      <c r="A117" s="8" t="s">
        <v>147</v>
      </c>
      <c r="B117" s="8" t="s">
        <v>148</v>
      </c>
      <c r="C117" s="8" t="s">
        <v>14</v>
      </c>
      <c r="D117" s="13">
        <v>45237</v>
      </c>
      <c r="E117" s="9">
        <v>7351</v>
      </c>
    </row>
    <row r="118" spans="1:5" x14ac:dyDescent="0.25">
      <c r="A118" s="8" t="s">
        <v>149</v>
      </c>
      <c r="B118" s="8" t="s">
        <v>148</v>
      </c>
      <c r="C118" s="8" t="s">
        <v>108</v>
      </c>
      <c r="D118" s="13">
        <v>45238</v>
      </c>
      <c r="E118" s="9">
        <v>11832</v>
      </c>
    </row>
    <row r="119" spans="1:5" x14ac:dyDescent="0.25">
      <c r="A119" s="8" t="s">
        <v>150</v>
      </c>
      <c r="B119" s="8" t="s">
        <v>148</v>
      </c>
      <c r="C119" s="8" t="s">
        <v>6</v>
      </c>
      <c r="D119" s="13">
        <v>45252</v>
      </c>
      <c r="E119" s="9">
        <v>10807</v>
      </c>
    </row>
    <row r="120" spans="1:5" x14ac:dyDescent="0.25">
      <c r="A120" s="8" t="s">
        <v>151</v>
      </c>
      <c r="B120" s="8" t="s">
        <v>148</v>
      </c>
      <c r="C120" s="8" t="s">
        <v>73</v>
      </c>
      <c r="D120" s="13">
        <v>45259</v>
      </c>
      <c r="E120" s="9">
        <v>16714</v>
      </c>
    </row>
    <row r="121" spans="1:5" x14ac:dyDescent="0.25">
      <c r="A121" s="8" t="s">
        <v>152</v>
      </c>
      <c r="B121" s="8" t="s">
        <v>148</v>
      </c>
      <c r="C121" s="8" t="s">
        <v>21</v>
      </c>
      <c r="D121" s="13">
        <v>45261</v>
      </c>
      <c r="E121" s="9">
        <v>8958</v>
      </c>
    </row>
    <row r="122" spans="1:5" x14ac:dyDescent="0.25">
      <c r="A122" s="8" t="s">
        <v>153</v>
      </c>
      <c r="B122" s="8" t="s">
        <v>148</v>
      </c>
      <c r="C122" s="8" t="s">
        <v>29</v>
      </c>
      <c r="D122" s="13">
        <v>45279</v>
      </c>
      <c r="E122" s="9">
        <v>10602</v>
      </c>
    </row>
    <row r="123" spans="1:5" x14ac:dyDescent="0.25">
      <c r="A123" s="8" t="s">
        <v>154</v>
      </c>
      <c r="B123" s="8" t="s">
        <v>148</v>
      </c>
      <c r="C123" s="8" t="s">
        <v>29</v>
      </c>
      <c r="D123" s="13">
        <v>45297</v>
      </c>
      <c r="E123" s="9">
        <v>4971</v>
      </c>
    </row>
    <row r="124" spans="1:5" x14ac:dyDescent="0.25">
      <c r="A124" s="8" t="s">
        <v>155</v>
      </c>
      <c r="B124" s="8" t="s">
        <v>148</v>
      </c>
      <c r="C124" s="8" t="s">
        <v>110</v>
      </c>
      <c r="D124" s="13">
        <v>45306</v>
      </c>
      <c r="E124" s="9">
        <v>9692</v>
      </c>
    </row>
    <row r="125" spans="1:5" x14ac:dyDescent="0.25">
      <c r="A125" s="8" t="s">
        <v>156</v>
      </c>
      <c r="B125" s="8" t="s">
        <v>148</v>
      </c>
      <c r="C125" s="8" t="s">
        <v>6</v>
      </c>
      <c r="D125" s="13">
        <v>45311</v>
      </c>
      <c r="E125" s="9">
        <v>8563</v>
      </c>
    </row>
    <row r="126" spans="1:5" x14ac:dyDescent="0.25">
      <c r="A126" s="8" t="s">
        <v>157</v>
      </c>
      <c r="B126" s="8" t="s">
        <v>148</v>
      </c>
      <c r="C126" s="8" t="s">
        <v>21</v>
      </c>
      <c r="D126" s="13">
        <v>45314</v>
      </c>
      <c r="E126" s="9">
        <v>5777</v>
      </c>
    </row>
    <row r="127" spans="1:5" x14ac:dyDescent="0.25">
      <c r="A127" s="8" t="s">
        <v>158</v>
      </c>
      <c r="B127" s="8" t="s">
        <v>148</v>
      </c>
      <c r="C127" s="8" t="s">
        <v>23</v>
      </c>
      <c r="D127" s="13">
        <v>45341</v>
      </c>
      <c r="E127" s="9">
        <v>32724</v>
      </c>
    </row>
    <row r="128" spans="1:5" x14ac:dyDescent="0.25">
      <c r="A128" s="8" t="s">
        <v>159</v>
      </c>
      <c r="B128" s="8" t="s">
        <v>148</v>
      </c>
      <c r="C128" s="8" t="s">
        <v>14</v>
      </c>
      <c r="D128" s="13">
        <v>45356</v>
      </c>
      <c r="E128" s="9">
        <v>10784</v>
      </c>
    </row>
    <row r="129" spans="1:5" x14ac:dyDescent="0.25">
      <c r="A129" s="8" t="s">
        <v>160</v>
      </c>
      <c r="B129" s="8" t="s">
        <v>148</v>
      </c>
      <c r="C129" s="8" t="s">
        <v>19</v>
      </c>
      <c r="D129" s="13">
        <v>45388</v>
      </c>
      <c r="E129" s="9">
        <v>14813</v>
      </c>
    </row>
    <row r="130" spans="1:5" x14ac:dyDescent="0.25">
      <c r="A130" s="8" t="s">
        <v>161</v>
      </c>
      <c r="B130" s="8" t="s">
        <v>148</v>
      </c>
      <c r="C130" s="8" t="s">
        <v>19</v>
      </c>
      <c r="D130" s="13">
        <v>45394</v>
      </c>
      <c r="E130" s="9">
        <v>8929</v>
      </c>
    </row>
    <row r="131" spans="1:5" x14ac:dyDescent="0.25">
      <c r="A131" s="8" t="s">
        <v>162</v>
      </c>
      <c r="B131" s="8" t="s">
        <v>148</v>
      </c>
      <c r="C131" s="8" t="s">
        <v>73</v>
      </c>
      <c r="D131" s="13">
        <v>45435</v>
      </c>
      <c r="E131" s="9">
        <v>14603</v>
      </c>
    </row>
    <row r="132" spans="1:5" x14ac:dyDescent="0.25">
      <c r="A132" s="8" t="s">
        <v>163</v>
      </c>
      <c r="B132" s="8" t="s">
        <v>148</v>
      </c>
      <c r="C132" s="8" t="s">
        <v>21</v>
      </c>
      <c r="D132" s="13">
        <v>45456</v>
      </c>
      <c r="E132" s="9">
        <v>11800</v>
      </c>
    </row>
    <row r="133" spans="1:5" x14ac:dyDescent="0.25">
      <c r="A133" s="8" t="s">
        <v>164</v>
      </c>
      <c r="B133" s="8" t="s">
        <v>148</v>
      </c>
      <c r="C133" s="8" t="s">
        <v>109</v>
      </c>
      <c r="D133" s="13">
        <v>45457</v>
      </c>
      <c r="E133" s="9">
        <v>10365</v>
      </c>
    </row>
    <row r="134" spans="1:5" x14ac:dyDescent="0.25">
      <c r="A134" s="8" t="s">
        <v>165</v>
      </c>
      <c r="B134" s="8" t="s">
        <v>148</v>
      </c>
      <c r="C134" s="8" t="s">
        <v>12</v>
      </c>
      <c r="D134" s="13">
        <v>45468</v>
      </c>
      <c r="E134" s="9">
        <v>9551</v>
      </c>
    </row>
    <row r="135" spans="1:5" x14ac:dyDescent="0.25">
      <c r="A135" s="8" t="s">
        <v>166</v>
      </c>
      <c r="B135" s="8" t="s">
        <v>148</v>
      </c>
      <c r="C135" s="8" t="s">
        <v>37</v>
      </c>
      <c r="D135" s="13">
        <v>45472</v>
      </c>
      <c r="E135" s="9">
        <v>6016</v>
      </c>
    </row>
    <row r="136" spans="1:5" x14ac:dyDescent="0.25">
      <c r="A136" s="8" t="s">
        <v>167</v>
      </c>
      <c r="B136" s="8" t="s">
        <v>148</v>
      </c>
      <c r="C136" s="8" t="s">
        <v>44</v>
      </c>
      <c r="D136" s="13">
        <v>45476</v>
      </c>
      <c r="E136" s="9">
        <v>12430</v>
      </c>
    </row>
    <row r="137" spans="1:5" x14ac:dyDescent="0.25">
      <c r="A137" s="8" t="s">
        <v>168</v>
      </c>
      <c r="B137" s="8" t="s">
        <v>148</v>
      </c>
      <c r="C137" s="8" t="s">
        <v>17</v>
      </c>
      <c r="D137" s="13">
        <v>45481</v>
      </c>
      <c r="E137" s="9">
        <v>10888</v>
      </c>
    </row>
    <row r="138" spans="1:5" x14ac:dyDescent="0.25">
      <c r="A138" s="8" t="s">
        <v>169</v>
      </c>
      <c r="B138" s="8" t="s">
        <v>148</v>
      </c>
      <c r="C138" s="8" t="s">
        <v>25</v>
      </c>
      <c r="D138" s="13">
        <v>45485</v>
      </c>
      <c r="E138" s="9">
        <v>5821</v>
      </c>
    </row>
    <row r="139" spans="1:5" x14ac:dyDescent="0.25">
      <c r="A139" s="8" t="s">
        <v>170</v>
      </c>
      <c r="B139" s="8" t="s">
        <v>148</v>
      </c>
      <c r="C139" s="8" t="s">
        <v>21</v>
      </c>
      <c r="D139" s="13">
        <v>45511</v>
      </c>
      <c r="E139" s="9">
        <v>8906</v>
      </c>
    </row>
    <row r="140" spans="1:5" x14ac:dyDescent="0.25">
      <c r="A140" s="8" t="s">
        <v>171</v>
      </c>
      <c r="B140" s="8" t="s">
        <v>148</v>
      </c>
      <c r="C140" s="8" t="s">
        <v>27</v>
      </c>
      <c r="D140" s="13">
        <v>45515</v>
      </c>
      <c r="E140" s="9">
        <v>5604</v>
      </c>
    </row>
    <row r="141" spans="1:5" x14ac:dyDescent="0.25">
      <c r="A141" s="8" t="s">
        <v>172</v>
      </c>
      <c r="B141" s="8" t="s">
        <v>148</v>
      </c>
      <c r="C141" s="8" t="s">
        <v>25</v>
      </c>
      <c r="D141" s="13">
        <v>45537</v>
      </c>
      <c r="E141" s="9">
        <v>5740</v>
      </c>
    </row>
    <row r="142" spans="1:5" x14ac:dyDescent="0.25">
      <c r="A142" s="8" t="s">
        <v>173</v>
      </c>
      <c r="B142" s="8" t="s">
        <v>148</v>
      </c>
      <c r="C142" s="8" t="s">
        <v>73</v>
      </c>
      <c r="D142" s="13">
        <v>45549</v>
      </c>
      <c r="E142" s="9">
        <v>10987</v>
      </c>
    </row>
    <row r="143" spans="1:5" x14ac:dyDescent="0.25">
      <c r="A143" s="8" t="s">
        <v>174</v>
      </c>
      <c r="B143" s="8" t="s">
        <v>148</v>
      </c>
      <c r="C143" s="8" t="s">
        <v>91</v>
      </c>
      <c r="D143" s="13">
        <v>45559</v>
      </c>
      <c r="E143" s="9">
        <v>13221</v>
      </c>
    </row>
    <row r="144" spans="1:5" x14ac:dyDescent="0.25">
      <c r="A144" s="8" t="s">
        <v>175</v>
      </c>
      <c r="B144" s="8" t="s">
        <v>148</v>
      </c>
      <c r="C144" s="8" t="s">
        <v>109</v>
      </c>
      <c r="D144" s="13">
        <v>45570</v>
      </c>
      <c r="E144" s="9">
        <v>9549</v>
      </c>
    </row>
    <row r="145" spans="1:5" x14ac:dyDescent="0.25">
      <c r="A145" s="8" t="s">
        <v>176</v>
      </c>
      <c r="B145" s="8" t="s">
        <v>148</v>
      </c>
      <c r="C145" s="8" t="s">
        <v>71</v>
      </c>
      <c r="D145" s="13">
        <v>45625</v>
      </c>
      <c r="E145" s="9">
        <v>10606</v>
      </c>
    </row>
    <row r="146" spans="1:5" x14ac:dyDescent="0.25">
      <c r="A146" s="8" t="s">
        <v>177</v>
      </c>
      <c r="B146" s="8" t="s">
        <v>148</v>
      </c>
      <c r="C146" s="8" t="s">
        <v>110</v>
      </c>
      <c r="D146" s="13">
        <v>45635</v>
      </c>
      <c r="E146" s="9">
        <v>9203</v>
      </c>
    </row>
    <row r="147" spans="1:5" x14ac:dyDescent="0.25">
      <c r="A147" s="8" t="s">
        <v>178</v>
      </c>
      <c r="B147" s="8" t="s">
        <v>148</v>
      </c>
      <c r="C147" s="8" t="s">
        <v>55</v>
      </c>
      <c r="D147" s="13">
        <v>45646</v>
      </c>
      <c r="E147" s="9">
        <v>10755</v>
      </c>
    </row>
    <row r="148" spans="1:5" x14ac:dyDescent="0.25">
      <c r="A148" s="8" t="s">
        <v>179</v>
      </c>
      <c r="B148" s="8" t="s">
        <v>148</v>
      </c>
      <c r="C148" s="8" t="s">
        <v>109</v>
      </c>
      <c r="D148" s="13">
        <v>45657</v>
      </c>
      <c r="E148" s="9">
        <v>10264</v>
      </c>
    </row>
    <row r="149" spans="1:5" x14ac:dyDescent="0.25">
      <c r="A149" s="8" t="s">
        <v>180</v>
      </c>
      <c r="B149" s="8" t="s">
        <v>148</v>
      </c>
      <c r="C149" s="8" t="s">
        <v>25</v>
      </c>
      <c r="D149" s="13">
        <v>45661</v>
      </c>
      <c r="E149" s="9">
        <v>10717</v>
      </c>
    </row>
    <row r="150" spans="1:5" x14ac:dyDescent="0.25">
      <c r="A150" s="8" t="s">
        <v>181</v>
      </c>
      <c r="B150" s="8" t="s">
        <v>148</v>
      </c>
      <c r="C150" s="8" t="s">
        <v>25</v>
      </c>
      <c r="D150" s="13">
        <v>45662</v>
      </c>
      <c r="E150" s="9">
        <v>11308</v>
      </c>
    </row>
    <row r="151" spans="1:5" x14ac:dyDescent="0.25">
      <c r="A151" s="8" t="s">
        <v>182</v>
      </c>
      <c r="B151" s="8" t="s">
        <v>148</v>
      </c>
      <c r="C151" s="8" t="s">
        <v>19</v>
      </c>
      <c r="D151" s="13">
        <v>45670</v>
      </c>
      <c r="E151" s="9">
        <v>12207</v>
      </c>
    </row>
    <row r="152" spans="1:5" x14ac:dyDescent="0.25">
      <c r="A152" s="8" t="s">
        <v>183</v>
      </c>
      <c r="B152" s="8" t="s">
        <v>148</v>
      </c>
      <c r="C152" s="8" t="s">
        <v>44</v>
      </c>
      <c r="D152" s="13">
        <v>45685</v>
      </c>
      <c r="E152" s="9">
        <v>6492</v>
      </c>
    </row>
    <row r="153" spans="1:5" x14ac:dyDescent="0.25">
      <c r="A153" s="8" t="s">
        <v>184</v>
      </c>
      <c r="B153" s="8" t="s">
        <v>148</v>
      </c>
      <c r="C153" s="8" t="s">
        <v>35</v>
      </c>
      <c r="D153" s="13">
        <v>45704</v>
      </c>
      <c r="E153" s="9">
        <v>10179</v>
      </c>
    </row>
    <row r="154" spans="1:5" x14ac:dyDescent="0.25">
      <c r="A154" s="8" t="s">
        <v>185</v>
      </c>
      <c r="B154" s="8" t="s">
        <v>148</v>
      </c>
      <c r="C154" s="8" t="s">
        <v>73</v>
      </c>
      <c r="D154" s="13">
        <v>45707</v>
      </c>
      <c r="E154" s="9">
        <v>10171</v>
      </c>
    </row>
    <row r="155" spans="1:5" x14ac:dyDescent="0.25">
      <c r="A155" s="8" t="s">
        <v>186</v>
      </c>
      <c r="B155" s="8" t="s">
        <v>148</v>
      </c>
      <c r="C155" s="8" t="s">
        <v>25</v>
      </c>
      <c r="D155" s="13">
        <v>45710</v>
      </c>
      <c r="E155" s="9">
        <v>11079</v>
      </c>
    </row>
    <row r="156" spans="1:5" x14ac:dyDescent="0.25">
      <c r="A156" s="8" t="s">
        <v>187</v>
      </c>
      <c r="B156" s="8" t="s">
        <v>148</v>
      </c>
      <c r="C156" s="8" t="s">
        <v>108</v>
      </c>
      <c r="D156" s="13">
        <v>45718</v>
      </c>
      <c r="E156" s="9">
        <v>12437</v>
      </c>
    </row>
    <row r="157" spans="1:5" x14ac:dyDescent="0.25">
      <c r="A157" s="8" t="s">
        <v>188</v>
      </c>
      <c r="B157" s="8" t="s">
        <v>148</v>
      </c>
      <c r="C157" s="8" t="s">
        <v>12</v>
      </c>
      <c r="D157" s="13">
        <v>45718</v>
      </c>
      <c r="E157" s="9">
        <v>9232</v>
      </c>
    </row>
    <row r="158" spans="1:5" x14ac:dyDescent="0.25">
      <c r="A158" s="8" t="s">
        <v>189</v>
      </c>
      <c r="B158" s="8" t="s">
        <v>148</v>
      </c>
      <c r="C158" s="8" t="s">
        <v>37</v>
      </c>
      <c r="D158" s="13">
        <v>45748</v>
      </c>
      <c r="E158" s="9">
        <v>8190</v>
      </c>
    </row>
    <row r="159" spans="1:5" x14ac:dyDescent="0.25">
      <c r="A159" s="8" t="s">
        <v>190</v>
      </c>
      <c r="B159" s="8" t="s">
        <v>148</v>
      </c>
      <c r="C159" s="8" t="s">
        <v>109</v>
      </c>
      <c r="D159" s="13">
        <v>45762</v>
      </c>
      <c r="E159" s="9">
        <v>6558</v>
      </c>
    </row>
    <row r="160" spans="1:5" x14ac:dyDescent="0.25">
      <c r="A160" s="8" t="s">
        <v>191</v>
      </c>
      <c r="B160" s="8" t="s">
        <v>148</v>
      </c>
      <c r="C160" s="8" t="s">
        <v>23</v>
      </c>
      <c r="D160" s="13">
        <v>45765</v>
      </c>
      <c r="E160" s="9">
        <v>5826</v>
      </c>
    </row>
    <row r="161" spans="1:5" x14ac:dyDescent="0.25">
      <c r="A161" s="8" t="s">
        <v>192</v>
      </c>
      <c r="B161" s="8" t="s">
        <v>148</v>
      </c>
      <c r="C161" s="8" t="s">
        <v>8</v>
      </c>
      <c r="D161" s="13">
        <v>45778</v>
      </c>
      <c r="E161" s="9">
        <v>7422</v>
      </c>
    </row>
    <row r="162" spans="1:5" x14ac:dyDescent="0.25">
      <c r="A162" s="8" t="s">
        <v>193</v>
      </c>
      <c r="B162" s="8" t="s">
        <v>148</v>
      </c>
      <c r="C162" s="8" t="s">
        <v>110</v>
      </c>
      <c r="D162" s="13">
        <v>45791</v>
      </c>
      <c r="E162" s="9">
        <v>6020</v>
      </c>
    </row>
    <row r="163" spans="1:5" x14ac:dyDescent="0.25">
      <c r="A163" s="8" t="s">
        <v>194</v>
      </c>
      <c r="B163" s="8" t="s">
        <v>148</v>
      </c>
      <c r="C163" s="8" t="s">
        <v>10</v>
      </c>
      <c r="D163" s="13">
        <v>45793</v>
      </c>
      <c r="E163" s="9">
        <v>8384</v>
      </c>
    </row>
    <row r="164" spans="1:5" x14ac:dyDescent="0.25">
      <c r="A164" s="8" t="s">
        <v>195</v>
      </c>
      <c r="B164" s="8" t="s">
        <v>148</v>
      </c>
      <c r="C164" s="8" t="s">
        <v>50</v>
      </c>
      <c r="D164" s="13">
        <v>45802</v>
      </c>
      <c r="E164" s="9">
        <v>11789</v>
      </c>
    </row>
    <row r="165" spans="1:5" x14ac:dyDescent="0.25">
      <c r="A165" s="8" t="s">
        <v>196</v>
      </c>
      <c r="B165" s="8" t="s">
        <v>148</v>
      </c>
      <c r="C165" s="8" t="s">
        <v>50</v>
      </c>
      <c r="D165" s="13">
        <v>45804</v>
      </c>
      <c r="E165" s="9">
        <v>15263</v>
      </c>
    </row>
    <row r="166" spans="1:5" x14ac:dyDescent="0.25">
      <c r="A166" s="8" t="s">
        <v>197</v>
      </c>
      <c r="B166" s="8" t="s">
        <v>148</v>
      </c>
      <c r="C166" s="8" t="s">
        <v>91</v>
      </c>
      <c r="D166" s="13">
        <v>45821</v>
      </c>
      <c r="E166" s="9">
        <v>10433</v>
      </c>
    </row>
    <row r="167" spans="1:5" x14ac:dyDescent="0.25">
      <c r="A167" s="8" t="s">
        <v>198</v>
      </c>
      <c r="B167" s="8" t="s">
        <v>148</v>
      </c>
      <c r="C167" s="8" t="s">
        <v>21</v>
      </c>
      <c r="D167" s="13">
        <v>45821</v>
      </c>
      <c r="E167" s="9">
        <v>9003</v>
      </c>
    </row>
    <row r="168" spans="1:5" x14ac:dyDescent="0.25">
      <c r="A168" s="8" t="s">
        <v>199</v>
      </c>
      <c r="B168" s="8" t="s">
        <v>148</v>
      </c>
      <c r="C168" s="8" t="s">
        <v>23</v>
      </c>
      <c r="D168" s="13">
        <v>45830</v>
      </c>
      <c r="E168" s="9">
        <v>4572</v>
      </c>
    </row>
    <row r="169" spans="1:5" x14ac:dyDescent="0.25">
      <c r="A169" s="8" t="s">
        <v>200</v>
      </c>
      <c r="B169" s="8" t="s">
        <v>201</v>
      </c>
      <c r="C169" s="8" t="s">
        <v>29</v>
      </c>
      <c r="D169" s="13">
        <v>45212</v>
      </c>
      <c r="E169" s="9">
        <v>253420</v>
      </c>
    </row>
    <row r="170" spans="1:5" x14ac:dyDescent="0.25">
      <c r="A170" s="8" t="s">
        <v>202</v>
      </c>
      <c r="B170" s="8" t="s">
        <v>201</v>
      </c>
      <c r="C170" s="8" t="s">
        <v>48</v>
      </c>
      <c r="D170" s="13">
        <v>45233</v>
      </c>
      <c r="E170" s="9">
        <v>171221</v>
      </c>
    </row>
    <row r="171" spans="1:5" x14ac:dyDescent="0.25">
      <c r="A171" s="8" t="s">
        <v>203</v>
      </c>
      <c r="B171" s="8" t="s">
        <v>201</v>
      </c>
      <c r="C171" s="8" t="s">
        <v>35</v>
      </c>
      <c r="D171" s="13">
        <v>45234</v>
      </c>
      <c r="E171" s="9">
        <v>125293</v>
      </c>
    </row>
    <row r="172" spans="1:5" x14ac:dyDescent="0.25">
      <c r="A172" s="8" t="s">
        <v>204</v>
      </c>
      <c r="B172" s="8" t="s">
        <v>201</v>
      </c>
      <c r="C172" s="8" t="s">
        <v>35</v>
      </c>
      <c r="D172" s="13">
        <v>45245</v>
      </c>
      <c r="E172" s="9">
        <v>159629</v>
      </c>
    </row>
    <row r="173" spans="1:5" x14ac:dyDescent="0.25">
      <c r="A173" s="8" t="s">
        <v>205</v>
      </c>
      <c r="B173" s="8" t="s">
        <v>201</v>
      </c>
      <c r="C173" s="8" t="s">
        <v>23</v>
      </c>
      <c r="D173" s="13">
        <v>45262</v>
      </c>
      <c r="E173" s="9">
        <v>559874</v>
      </c>
    </row>
    <row r="174" spans="1:5" x14ac:dyDescent="0.25">
      <c r="A174" s="8" t="s">
        <v>206</v>
      </c>
      <c r="B174" s="8" t="s">
        <v>201</v>
      </c>
      <c r="C174" s="8" t="s">
        <v>71</v>
      </c>
      <c r="D174" s="13">
        <v>45262</v>
      </c>
      <c r="E174" s="9">
        <v>177637</v>
      </c>
    </row>
    <row r="175" spans="1:5" x14ac:dyDescent="0.25">
      <c r="A175" s="8" t="s">
        <v>207</v>
      </c>
      <c r="B175" s="8" t="s">
        <v>201</v>
      </c>
      <c r="C175" s="8" t="s">
        <v>14</v>
      </c>
      <c r="D175" s="13">
        <v>45275</v>
      </c>
      <c r="E175" s="9">
        <v>204414</v>
      </c>
    </row>
    <row r="176" spans="1:5" x14ac:dyDescent="0.25">
      <c r="A176" s="8" t="s">
        <v>208</v>
      </c>
      <c r="B176" s="8" t="s">
        <v>201</v>
      </c>
      <c r="C176" s="8" t="s">
        <v>91</v>
      </c>
      <c r="D176" s="13">
        <v>45280</v>
      </c>
      <c r="E176" s="9">
        <v>155220</v>
      </c>
    </row>
    <row r="177" spans="1:5" x14ac:dyDescent="0.25">
      <c r="A177" s="8" t="s">
        <v>209</v>
      </c>
      <c r="B177" s="8" t="s">
        <v>201</v>
      </c>
      <c r="C177" s="8" t="s">
        <v>71</v>
      </c>
      <c r="D177" s="13">
        <v>45300</v>
      </c>
      <c r="E177" s="9">
        <v>110240</v>
      </c>
    </row>
    <row r="178" spans="1:5" x14ac:dyDescent="0.25">
      <c r="A178" s="8" t="s">
        <v>210</v>
      </c>
      <c r="B178" s="8" t="s">
        <v>201</v>
      </c>
      <c r="C178" s="8" t="s">
        <v>19</v>
      </c>
      <c r="D178" s="13">
        <v>45302</v>
      </c>
      <c r="E178" s="9">
        <v>293448</v>
      </c>
    </row>
    <row r="179" spans="1:5" x14ac:dyDescent="0.25">
      <c r="A179" s="8" t="s">
        <v>211</v>
      </c>
      <c r="B179" s="8" t="s">
        <v>201</v>
      </c>
      <c r="C179" s="8" t="s">
        <v>21</v>
      </c>
      <c r="D179" s="13">
        <v>45309</v>
      </c>
      <c r="E179" s="9">
        <v>243984</v>
      </c>
    </row>
    <row r="180" spans="1:5" x14ac:dyDescent="0.25">
      <c r="A180" s="8" t="s">
        <v>212</v>
      </c>
      <c r="B180" s="8" t="s">
        <v>201</v>
      </c>
      <c r="C180" s="8" t="s">
        <v>44</v>
      </c>
      <c r="D180" s="13">
        <v>45309</v>
      </c>
      <c r="E180" s="9">
        <v>180971</v>
      </c>
    </row>
    <row r="181" spans="1:5" x14ac:dyDescent="0.25">
      <c r="A181" s="8" t="s">
        <v>213</v>
      </c>
      <c r="B181" s="8" t="s">
        <v>201</v>
      </c>
      <c r="C181" s="8" t="s">
        <v>71</v>
      </c>
      <c r="D181" s="13">
        <v>45315</v>
      </c>
      <c r="E181" s="9">
        <v>136186</v>
      </c>
    </row>
    <row r="182" spans="1:5" x14ac:dyDescent="0.25">
      <c r="A182" s="8" t="s">
        <v>214</v>
      </c>
      <c r="B182" s="8" t="s">
        <v>201</v>
      </c>
      <c r="C182" s="8" t="s">
        <v>110</v>
      </c>
      <c r="D182" s="13">
        <v>45359</v>
      </c>
      <c r="E182" s="9">
        <v>292804</v>
      </c>
    </row>
    <row r="183" spans="1:5" x14ac:dyDescent="0.25">
      <c r="A183" s="8" t="s">
        <v>215</v>
      </c>
      <c r="B183" s="8" t="s">
        <v>201</v>
      </c>
      <c r="C183" s="8" t="s">
        <v>73</v>
      </c>
      <c r="D183" s="13">
        <v>45363</v>
      </c>
      <c r="E183" s="9">
        <v>723079</v>
      </c>
    </row>
    <row r="184" spans="1:5" x14ac:dyDescent="0.25">
      <c r="A184" s="8" t="s">
        <v>216</v>
      </c>
      <c r="B184" s="8" t="s">
        <v>201</v>
      </c>
      <c r="C184" s="8" t="s">
        <v>19</v>
      </c>
      <c r="D184" s="13">
        <v>45378</v>
      </c>
      <c r="E184" s="9">
        <v>192070</v>
      </c>
    </row>
    <row r="185" spans="1:5" x14ac:dyDescent="0.25">
      <c r="A185" s="8" t="s">
        <v>217</v>
      </c>
      <c r="B185" s="8" t="s">
        <v>201</v>
      </c>
      <c r="C185" s="8" t="s">
        <v>29</v>
      </c>
      <c r="D185" s="13">
        <v>45395</v>
      </c>
      <c r="E185" s="9">
        <v>184231</v>
      </c>
    </row>
    <row r="186" spans="1:5" x14ac:dyDescent="0.25">
      <c r="A186" s="8" t="s">
        <v>218</v>
      </c>
      <c r="B186" s="8" t="s">
        <v>201</v>
      </c>
      <c r="C186" s="8" t="s">
        <v>29</v>
      </c>
      <c r="D186" s="13">
        <v>45408</v>
      </c>
      <c r="E186" s="9">
        <v>248400</v>
      </c>
    </row>
    <row r="187" spans="1:5" x14ac:dyDescent="0.25">
      <c r="A187" s="8" t="s">
        <v>219</v>
      </c>
      <c r="B187" s="8" t="s">
        <v>201</v>
      </c>
      <c r="C187" s="8" t="s">
        <v>12</v>
      </c>
      <c r="D187" s="13">
        <v>45415</v>
      </c>
      <c r="E187" s="9">
        <v>141286</v>
      </c>
    </row>
    <row r="188" spans="1:5" x14ac:dyDescent="0.25">
      <c r="A188" s="8" t="s">
        <v>220</v>
      </c>
      <c r="B188" s="8" t="s">
        <v>201</v>
      </c>
      <c r="C188" s="8" t="s">
        <v>6</v>
      </c>
      <c r="D188" s="13">
        <v>45436</v>
      </c>
      <c r="E188" s="9">
        <v>119990</v>
      </c>
    </row>
    <row r="189" spans="1:5" x14ac:dyDescent="0.25">
      <c r="A189" s="8" t="s">
        <v>221</v>
      </c>
      <c r="B189" s="8" t="s">
        <v>201</v>
      </c>
      <c r="C189" s="8" t="s">
        <v>14</v>
      </c>
      <c r="D189" s="13">
        <v>45440</v>
      </c>
      <c r="E189" s="9">
        <v>120809</v>
      </c>
    </row>
    <row r="190" spans="1:5" x14ac:dyDescent="0.25">
      <c r="A190" s="8" t="s">
        <v>222</v>
      </c>
      <c r="B190" s="8" t="s">
        <v>201</v>
      </c>
      <c r="C190" s="8" t="s">
        <v>37</v>
      </c>
      <c r="D190" s="13">
        <v>45443</v>
      </c>
      <c r="E190" s="9">
        <v>250278</v>
      </c>
    </row>
    <row r="191" spans="1:5" x14ac:dyDescent="0.25">
      <c r="A191" s="8" t="s">
        <v>223</v>
      </c>
      <c r="B191" s="8" t="s">
        <v>201</v>
      </c>
      <c r="C191" s="8" t="s">
        <v>109</v>
      </c>
      <c r="D191" s="13">
        <v>45445</v>
      </c>
      <c r="E191" s="9">
        <v>142652</v>
      </c>
    </row>
    <row r="192" spans="1:5" x14ac:dyDescent="0.25">
      <c r="A192" s="8" t="s">
        <v>224</v>
      </c>
      <c r="B192" s="8" t="s">
        <v>201</v>
      </c>
      <c r="C192" s="8" t="s">
        <v>29</v>
      </c>
      <c r="D192" s="13">
        <v>45454</v>
      </c>
      <c r="E192" s="9">
        <v>220912</v>
      </c>
    </row>
    <row r="193" spans="1:5" x14ac:dyDescent="0.25">
      <c r="A193" s="8" t="s">
        <v>225</v>
      </c>
      <c r="B193" s="8" t="s">
        <v>201</v>
      </c>
      <c r="C193" s="8" t="s">
        <v>44</v>
      </c>
      <c r="D193" s="13">
        <v>45458</v>
      </c>
      <c r="E193" s="9">
        <v>199956</v>
      </c>
    </row>
    <row r="194" spans="1:5" x14ac:dyDescent="0.25">
      <c r="A194" s="8" t="s">
        <v>226</v>
      </c>
      <c r="B194" s="8" t="s">
        <v>201</v>
      </c>
      <c r="C194" s="8" t="s">
        <v>73</v>
      </c>
      <c r="D194" s="13">
        <v>45466</v>
      </c>
      <c r="E194" s="9">
        <v>153339</v>
      </c>
    </row>
    <row r="195" spans="1:5" x14ac:dyDescent="0.25">
      <c r="A195" s="8" t="s">
        <v>227</v>
      </c>
      <c r="B195" s="8" t="s">
        <v>201</v>
      </c>
      <c r="C195" s="8" t="s">
        <v>17</v>
      </c>
      <c r="D195" s="13">
        <v>45468</v>
      </c>
      <c r="E195" s="9">
        <v>119513</v>
      </c>
    </row>
    <row r="196" spans="1:5" x14ac:dyDescent="0.25">
      <c r="A196" s="8" t="s">
        <v>228</v>
      </c>
      <c r="B196" s="8" t="s">
        <v>201</v>
      </c>
      <c r="C196" s="8" t="s">
        <v>19</v>
      </c>
      <c r="D196" s="13">
        <v>45500</v>
      </c>
      <c r="E196" s="9">
        <v>187156</v>
      </c>
    </row>
    <row r="197" spans="1:5" x14ac:dyDescent="0.25">
      <c r="A197" s="8" t="s">
        <v>229</v>
      </c>
      <c r="B197" s="8" t="s">
        <v>201</v>
      </c>
      <c r="C197" s="8" t="s">
        <v>37</v>
      </c>
      <c r="D197" s="13">
        <v>45511</v>
      </c>
      <c r="E197" s="9">
        <v>152143</v>
      </c>
    </row>
    <row r="198" spans="1:5" x14ac:dyDescent="0.25">
      <c r="A198" s="8" t="s">
        <v>230</v>
      </c>
      <c r="B198" s="8" t="s">
        <v>201</v>
      </c>
      <c r="C198" s="8" t="s">
        <v>14</v>
      </c>
      <c r="D198" s="13">
        <v>45537</v>
      </c>
      <c r="E198" s="9">
        <v>167838</v>
      </c>
    </row>
    <row r="199" spans="1:5" x14ac:dyDescent="0.25">
      <c r="A199" s="8" t="s">
        <v>231</v>
      </c>
      <c r="B199" s="8" t="s">
        <v>201</v>
      </c>
      <c r="C199" s="8" t="s">
        <v>14</v>
      </c>
      <c r="D199" s="13">
        <v>45541</v>
      </c>
      <c r="E199" s="9">
        <v>268552</v>
      </c>
    </row>
    <row r="200" spans="1:5" x14ac:dyDescent="0.25">
      <c r="A200" s="8" t="s">
        <v>232</v>
      </c>
      <c r="B200" s="8" t="s">
        <v>201</v>
      </c>
      <c r="C200" s="8" t="s">
        <v>33</v>
      </c>
      <c r="D200" s="13">
        <v>45550</v>
      </c>
      <c r="E200" s="9">
        <v>222787</v>
      </c>
    </row>
    <row r="201" spans="1:5" x14ac:dyDescent="0.25">
      <c r="A201" s="8" t="s">
        <v>233</v>
      </c>
      <c r="B201" s="8" t="s">
        <v>201</v>
      </c>
      <c r="C201" s="8" t="s">
        <v>8</v>
      </c>
      <c r="D201" s="13">
        <v>45562</v>
      </c>
      <c r="E201" s="9">
        <v>293287</v>
      </c>
    </row>
    <row r="202" spans="1:5" x14ac:dyDescent="0.25">
      <c r="A202" s="8" t="s">
        <v>234</v>
      </c>
      <c r="B202" s="8" t="s">
        <v>201</v>
      </c>
      <c r="C202" s="8" t="s">
        <v>110</v>
      </c>
      <c r="D202" s="13">
        <v>45576</v>
      </c>
      <c r="E202" s="9">
        <v>176905</v>
      </c>
    </row>
    <row r="203" spans="1:5" x14ac:dyDescent="0.25">
      <c r="A203" s="8" t="s">
        <v>235</v>
      </c>
      <c r="B203" s="8" t="s">
        <v>201</v>
      </c>
      <c r="C203" s="8" t="s">
        <v>35</v>
      </c>
      <c r="D203" s="13">
        <v>45580</v>
      </c>
      <c r="E203" s="9">
        <v>153055</v>
      </c>
    </row>
    <row r="204" spans="1:5" x14ac:dyDescent="0.25">
      <c r="A204" s="8" t="s">
        <v>236</v>
      </c>
      <c r="B204" s="8" t="s">
        <v>201</v>
      </c>
      <c r="C204" s="8" t="s">
        <v>6</v>
      </c>
      <c r="D204" s="13">
        <v>45580</v>
      </c>
      <c r="E204" s="9">
        <v>234895</v>
      </c>
    </row>
    <row r="205" spans="1:5" x14ac:dyDescent="0.25">
      <c r="A205" s="8" t="s">
        <v>237</v>
      </c>
      <c r="B205" s="8" t="s">
        <v>201</v>
      </c>
      <c r="C205" s="8" t="s">
        <v>25</v>
      </c>
      <c r="D205" s="13">
        <v>45622</v>
      </c>
      <c r="E205" s="9">
        <v>88648</v>
      </c>
    </row>
    <row r="206" spans="1:5" x14ac:dyDescent="0.25">
      <c r="A206" s="8" t="s">
        <v>238</v>
      </c>
      <c r="B206" s="8" t="s">
        <v>201</v>
      </c>
      <c r="C206" s="8" t="s">
        <v>91</v>
      </c>
      <c r="D206" s="13">
        <v>45623</v>
      </c>
      <c r="E206" s="9">
        <v>142599</v>
      </c>
    </row>
    <row r="207" spans="1:5" x14ac:dyDescent="0.25">
      <c r="A207" s="8" t="s">
        <v>239</v>
      </c>
      <c r="B207" s="8" t="s">
        <v>201</v>
      </c>
      <c r="C207" s="8" t="s">
        <v>33</v>
      </c>
      <c r="D207" s="13">
        <v>45630</v>
      </c>
      <c r="E207" s="9">
        <v>110002</v>
      </c>
    </row>
    <row r="208" spans="1:5" x14ac:dyDescent="0.25">
      <c r="A208" s="8" t="s">
        <v>240</v>
      </c>
      <c r="B208" s="8" t="s">
        <v>201</v>
      </c>
      <c r="C208" s="8" t="s">
        <v>14</v>
      </c>
      <c r="D208" s="13">
        <v>45637</v>
      </c>
      <c r="E208" s="9">
        <v>104695</v>
      </c>
    </row>
    <row r="209" spans="1:5" x14ac:dyDescent="0.25">
      <c r="A209" s="8" t="s">
        <v>241</v>
      </c>
      <c r="B209" s="8" t="s">
        <v>201</v>
      </c>
      <c r="C209" s="8" t="s">
        <v>12</v>
      </c>
      <c r="D209" s="13">
        <v>45653</v>
      </c>
      <c r="E209" s="9">
        <v>232293</v>
      </c>
    </row>
    <row r="210" spans="1:5" x14ac:dyDescent="0.25">
      <c r="A210" s="8" t="s">
        <v>242</v>
      </c>
      <c r="B210" s="8" t="s">
        <v>201</v>
      </c>
      <c r="C210" s="8" t="s">
        <v>8</v>
      </c>
      <c r="D210" s="13">
        <v>45662</v>
      </c>
      <c r="E210" s="9">
        <v>236456</v>
      </c>
    </row>
    <row r="211" spans="1:5" x14ac:dyDescent="0.25">
      <c r="A211" s="8" t="s">
        <v>243</v>
      </c>
      <c r="B211" s="8" t="s">
        <v>201</v>
      </c>
      <c r="C211" s="8" t="s">
        <v>8</v>
      </c>
      <c r="D211" s="13">
        <v>45667</v>
      </c>
      <c r="E211" s="9">
        <v>98766</v>
      </c>
    </row>
    <row r="212" spans="1:5" x14ac:dyDescent="0.25">
      <c r="A212" s="8" t="s">
        <v>244</v>
      </c>
      <c r="B212" s="8" t="s">
        <v>201</v>
      </c>
      <c r="C212" s="8" t="s">
        <v>25</v>
      </c>
      <c r="D212" s="13">
        <v>45687</v>
      </c>
      <c r="E212" s="9">
        <v>104766</v>
      </c>
    </row>
    <row r="213" spans="1:5" x14ac:dyDescent="0.25">
      <c r="A213" s="8" t="s">
        <v>245</v>
      </c>
      <c r="B213" s="8" t="s">
        <v>201</v>
      </c>
      <c r="C213" s="8" t="s">
        <v>17</v>
      </c>
      <c r="D213" s="13">
        <v>45698</v>
      </c>
      <c r="E213" s="9">
        <v>173510</v>
      </c>
    </row>
    <row r="214" spans="1:5" x14ac:dyDescent="0.25">
      <c r="A214" s="8" t="s">
        <v>246</v>
      </c>
      <c r="B214" s="8" t="s">
        <v>247</v>
      </c>
      <c r="C214" s="8" t="s">
        <v>71</v>
      </c>
      <c r="D214" s="13">
        <v>45141</v>
      </c>
      <c r="E214" s="9">
        <v>208476</v>
      </c>
    </row>
    <row r="215" spans="1:5" x14ac:dyDescent="0.25">
      <c r="A215" s="8" t="s">
        <v>248</v>
      </c>
      <c r="B215" s="8" t="s">
        <v>247</v>
      </c>
      <c r="C215" s="8" t="s">
        <v>33</v>
      </c>
      <c r="D215" s="13">
        <v>45151</v>
      </c>
      <c r="E215" s="9">
        <v>86071</v>
      </c>
    </row>
    <row r="216" spans="1:5" x14ac:dyDescent="0.25">
      <c r="A216" s="8" t="s">
        <v>249</v>
      </c>
      <c r="B216" s="8" t="s">
        <v>247</v>
      </c>
      <c r="C216" s="8" t="s">
        <v>71</v>
      </c>
      <c r="D216" s="13">
        <v>45191</v>
      </c>
      <c r="E216" s="9">
        <v>59491</v>
      </c>
    </row>
    <row r="217" spans="1:5" x14ac:dyDescent="0.25">
      <c r="A217" s="8" t="s">
        <v>250</v>
      </c>
      <c r="B217" s="8" t="s">
        <v>247</v>
      </c>
      <c r="C217" s="8" t="s">
        <v>17</v>
      </c>
      <c r="D217" s="13">
        <v>45194</v>
      </c>
      <c r="E217" s="9">
        <v>84472</v>
      </c>
    </row>
    <row r="218" spans="1:5" x14ac:dyDescent="0.25">
      <c r="A218" s="8" t="s">
        <v>251</v>
      </c>
      <c r="B218" s="8" t="s">
        <v>247</v>
      </c>
      <c r="C218" s="8" t="s">
        <v>17</v>
      </c>
      <c r="D218" s="13">
        <v>45200</v>
      </c>
      <c r="E218" s="9">
        <v>92903</v>
      </c>
    </row>
    <row r="219" spans="1:5" x14ac:dyDescent="0.25">
      <c r="A219" s="8" t="s">
        <v>252</v>
      </c>
      <c r="B219" s="8" t="s">
        <v>247</v>
      </c>
      <c r="C219" s="8" t="s">
        <v>10</v>
      </c>
      <c r="D219" s="13">
        <v>45205</v>
      </c>
      <c r="E219" s="9">
        <v>101889</v>
      </c>
    </row>
    <row r="220" spans="1:5" x14ac:dyDescent="0.25">
      <c r="A220" s="8" t="s">
        <v>253</v>
      </c>
      <c r="B220" s="8" t="s">
        <v>247</v>
      </c>
      <c r="C220" s="8" t="s">
        <v>37</v>
      </c>
      <c r="D220" s="13">
        <v>45214</v>
      </c>
      <c r="E220" s="9">
        <v>64599</v>
      </c>
    </row>
    <row r="221" spans="1:5" x14ac:dyDescent="0.25">
      <c r="A221" s="8" t="s">
        <v>254</v>
      </c>
      <c r="B221" s="8" t="s">
        <v>247</v>
      </c>
      <c r="C221" s="8" t="s">
        <v>91</v>
      </c>
      <c r="D221" s="13">
        <v>45226</v>
      </c>
      <c r="E221" s="9">
        <v>315709</v>
      </c>
    </row>
    <row r="222" spans="1:5" x14ac:dyDescent="0.25">
      <c r="A222" s="8" t="s">
        <v>255</v>
      </c>
      <c r="B222" s="8" t="s">
        <v>247</v>
      </c>
      <c r="C222" s="8" t="s">
        <v>14</v>
      </c>
      <c r="D222" s="13">
        <v>45234</v>
      </c>
      <c r="E222" s="9">
        <v>74921</v>
      </c>
    </row>
    <row r="223" spans="1:5" x14ac:dyDescent="0.25">
      <c r="A223" s="8" t="s">
        <v>256</v>
      </c>
      <c r="B223" s="8" t="s">
        <v>247</v>
      </c>
      <c r="C223" s="8" t="s">
        <v>19</v>
      </c>
      <c r="D223" s="13">
        <v>45241</v>
      </c>
      <c r="E223" s="9">
        <v>57283</v>
      </c>
    </row>
    <row r="224" spans="1:5" x14ac:dyDescent="0.25">
      <c r="A224" s="8" t="s">
        <v>257</v>
      </c>
      <c r="B224" s="8" t="s">
        <v>247</v>
      </c>
      <c r="C224" s="8" t="s">
        <v>55</v>
      </c>
      <c r="D224" s="13">
        <v>45262</v>
      </c>
      <c r="E224" s="9">
        <v>60875</v>
      </c>
    </row>
    <row r="225" spans="1:5" x14ac:dyDescent="0.25">
      <c r="A225" s="8" t="s">
        <v>258</v>
      </c>
      <c r="B225" s="8" t="s">
        <v>247</v>
      </c>
      <c r="C225" s="8" t="s">
        <v>27</v>
      </c>
      <c r="D225" s="13">
        <v>45291</v>
      </c>
      <c r="E225" s="9">
        <v>88912</v>
      </c>
    </row>
    <row r="226" spans="1:5" x14ac:dyDescent="0.25">
      <c r="A226" s="8" t="s">
        <v>259</v>
      </c>
      <c r="B226" s="8" t="s">
        <v>247</v>
      </c>
      <c r="C226" s="8" t="s">
        <v>12</v>
      </c>
      <c r="D226" s="13">
        <v>45299</v>
      </c>
      <c r="E226" s="9">
        <v>47883</v>
      </c>
    </row>
    <row r="227" spans="1:5" x14ac:dyDescent="0.25">
      <c r="A227" s="8" t="s">
        <v>260</v>
      </c>
      <c r="B227" s="8" t="s">
        <v>247</v>
      </c>
      <c r="C227" s="8" t="s">
        <v>21</v>
      </c>
      <c r="D227" s="13">
        <v>45322</v>
      </c>
      <c r="E227" s="9">
        <v>110321</v>
      </c>
    </row>
    <row r="228" spans="1:5" x14ac:dyDescent="0.25">
      <c r="A228" s="8" t="s">
        <v>261</v>
      </c>
      <c r="B228" s="8" t="s">
        <v>247</v>
      </c>
      <c r="C228" s="8" t="s">
        <v>21</v>
      </c>
      <c r="D228" s="13">
        <v>45351</v>
      </c>
      <c r="E228" s="9">
        <v>92093</v>
      </c>
    </row>
    <row r="229" spans="1:5" x14ac:dyDescent="0.25">
      <c r="A229" s="8" t="s">
        <v>262</v>
      </c>
      <c r="B229" s="8" t="s">
        <v>247</v>
      </c>
      <c r="C229" s="8" t="s">
        <v>73</v>
      </c>
      <c r="D229" s="13">
        <v>45360</v>
      </c>
      <c r="E229" s="9">
        <v>51423</v>
      </c>
    </row>
    <row r="230" spans="1:5" x14ac:dyDescent="0.25">
      <c r="A230" s="8" t="s">
        <v>263</v>
      </c>
      <c r="B230" s="8" t="s">
        <v>247</v>
      </c>
      <c r="C230" s="8" t="s">
        <v>71</v>
      </c>
      <c r="D230" s="13">
        <v>45385</v>
      </c>
      <c r="E230" s="9">
        <v>73703</v>
      </c>
    </row>
    <row r="231" spans="1:5" x14ac:dyDescent="0.25">
      <c r="A231" s="8" t="s">
        <v>264</v>
      </c>
      <c r="B231" s="8" t="s">
        <v>247</v>
      </c>
      <c r="C231" s="8" t="s">
        <v>29</v>
      </c>
      <c r="D231" s="13">
        <v>45393</v>
      </c>
      <c r="E231" s="9">
        <v>70540</v>
      </c>
    </row>
    <row r="232" spans="1:5" x14ac:dyDescent="0.25">
      <c r="A232" s="8" t="s">
        <v>265</v>
      </c>
      <c r="B232" s="8" t="s">
        <v>247</v>
      </c>
      <c r="C232" s="8" t="s">
        <v>17</v>
      </c>
      <c r="D232" s="13">
        <v>45409</v>
      </c>
      <c r="E232" s="9">
        <v>82520</v>
      </c>
    </row>
    <row r="233" spans="1:5" x14ac:dyDescent="0.25">
      <c r="A233" s="8" t="s">
        <v>266</v>
      </c>
      <c r="B233" s="8" t="s">
        <v>247</v>
      </c>
      <c r="C233" s="8" t="s">
        <v>71</v>
      </c>
      <c r="D233" s="13">
        <v>45419</v>
      </c>
      <c r="E233" s="9">
        <v>90975</v>
      </c>
    </row>
    <row r="234" spans="1:5" x14ac:dyDescent="0.25">
      <c r="A234" s="8" t="s">
        <v>267</v>
      </c>
      <c r="B234" s="8" t="s">
        <v>247</v>
      </c>
      <c r="C234" s="8" t="s">
        <v>91</v>
      </c>
      <c r="D234" s="13">
        <v>45421</v>
      </c>
      <c r="E234" s="9">
        <v>49688</v>
      </c>
    </row>
    <row r="235" spans="1:5" x14ac:dyDescent="0.25">
      <c r="A235" s="8" t="s">
        <v>268</v>
      </c>
      <c r="B235" s="8" t="s">
        <v>247</v>
      </c>
      <c r="C235" s="8" t="s">
        <v>6</v>
      </c>
      <c r="D235" s="13">
        <v>45422</v>
      </c>
      <c r="E235" s="9">
        <v>60434</v>
      </c>
    </row>
    <row r="236" spans="1:5" x14ac:dyDescent="0.25">
      <c r="A236" s="8" t="s">
        <v>269</v>
      </c>
      <c r="B236" s="8" t="s">
        <v>247</v>
      </c>
      <c r="C236" s="8" t="s">
        <v>55</v>
      </c>
      <c r="D236" s="13">
        <v>45437</v>
      </c>
      <c r="E236" s="9">
        <v>42080</v>
      </c>
    </row>
    <row r="237" spans="1:5" x14ac:dyDescent="0.25">
      <c r="A237" s="8" t="s">
        <v>270</v>
      </c>
      <c r="B237" s="8" t="s">
        <v>247</v>
      </c>
      <c r="C237" s="8" t="s">
        <v>6</v>
      </c>
      <c r="D237" s="13">
        <v>45442</v>
      </c>
      <c r="E237" s="9">
        <v>84739</v>
      </c>
    </row>
    <row r="238" spans="1:5" x14ac:dyDescent="0.25">
      <c r="A238" s="8" t="s">
        <v>271</v>
      </c>
      <c r="B238" s="8" t="s">
        <v>247</v>
      </c>
      <c r="C238" s="8" t="s">
        <v>73</v>
      </c>
      <c r="D238" s="13">
        <v>45450</v>
      </c>
      <c r="E238" s="9">
        <v>99332</v>
      </c>
    </row>
    <row r="239" spans="1:5" x14ac:dyDescent="0.25">
      <c r="A239" s="8" t="s">
        <v>272</v>
      </c>
      <c r="B239" s="8" t="s">
        <v>247</v>
      </c>
      <c r="C239" s="8" t="s">
        <v>25</v>
      </c>
      <c r="D239" s="13">
        <v>45451</v>
      </c>
      <c r="E239" s="9">
        <v>39417</v>
      </c>
    </row>
    <row r="240" spans="1:5" x14ac:dyDescent="0.25">
      <c r="A240" s="8" t="s">
        <v>273</v>
      </c>
      <c r="B240" s="8" t="s">
        <v>247</v>
      </c>
      <c r="C240" s="8" t="s">
        <v>108</v>
      </c>
      <c r="D240" s="13">
        <v>45452</v>
      </c>
      <c r="E240" s="9">
        <v>61072</v>
      </c>
    </row>
    <row r="241" spans="1:5" x14ac:dyDescent="0.25">
      <c r="A241" s="8" t="s">
        <v>274</v>
      </c>
      <c r="B241" s="8" t="s">
        <v>247</v>
      </c>
      <c r="C241" s="8" t="s">
        <v>10</v>
      </c>
      <c r="D241" s="13">
        <v>45452</v>
      </c>
      <c r="E241" s="9">
        <v>41092</v>
      </c>
    </row>
    <row r="242" spans="1:5" x14ac:dyDescent="0.25">
      <c r="A242" s="8" t="s">
        <v>275</v>
      </c>
      <c r="B242" s="8" t="s">
        <v>247</v>
      </c>
      <c r="C242" s="8" t="s">
        <v>17</v>
      </c>
      <c r="D242" s="13">
        <v>45462</v>
      </c>
      <c r="E242" s="9">
        <v>59140</v>
      </c>
    </row>
    <row r="243" spans="1:5" x14ac:dyDescent="0.25">
      <c r="A243" s="8" t="s">
        <v>276</v>
      </c>
      <c r="B243" s="8" t="s">
        <v>247</v>
      </c>
      <c r="C243" s="8" t="s">
        <v>37</v>
      </c>
      <c r="D243" s="13">
        <v>45487</v>
      </c>
      <c r="E243" s="9">
        <v>42778</v>
      </c>
    </row>
    <row r="244" spans="1:5" x14ac:dyDescent="0.25">
      <c r="A244" s="8" t="s">
        <v>277</v>
      </c>
      <c r="B244" s="8" t="s">
        <v>247</v>
      </c>
      <c r="C244" s="8" t="s">
        <v>50</v>
      </c>
      <c r="D244" s="13">
        <v>45487</v>
      </c>
      <c r="E244" s="9">
        <v>92008</v>
      </c>
    </row>
    <row r="245" spans="1:5" x14ac:dyDescent="0.25">
      <c r="A245" s="8" t="s">
        <v>278</v>
      </c>
      <c r="B245" s="8" t="s">
        <v>247</v>
      </c>
      <c r="C245" s="8" t="s">
        <v>55</v>
      </c>
      <c r="D245" s="13">
        <v>45502</v>
      </c>
      <c r="E245" s="9">
        <v>100128</v>
      </c>
    </row>
    <row r="246" spans="1:5" x14ac:dyDescent="0.25">
      <c r="A246" s="8" t="s">
        <v>279</v>
      </c>
      <c r="B246" s="8" t="s">
        <v>247</v>
      </c>
      <c r="C246" s="8" t="s">
        <v>17</v>
      </c>
      <c r="D246" s="13">
        <v>45516</v>
      </c>
      <c r="E246" s="9">
        <v>82076</v>
      </c>
    </row>
    <row r="247" spans="1:5" x14ac:dyDescent="0.25">
      <c r="A247" s="8" t="s">
        <v>280</v>
      </c>
      <c r="B247" s="8" t="s">
        <v>247</v>
      </c>
      <c r="C247" s="8" t="s">
        <v>12</v>
      </c>
      <c r="D247" s="13">
        <v>45553</v>
      </c>
      <c r="E247" s="9">
        <v>76155</v>
      </c>
    </row>
    <row r="248" spans="1:5" x14ac:dyDescent="0.25">
      <c r="A248" s="8" t="s">
        <v>281</v>
      </c>
      <c r="B248" s="8" t="s">
        <v>247</v>
      </c>
      <c r="C248" s="8" t="s">
        <v>55</v>
      </c>
      <c r="D248" s="13">
        <v>45555</v>
      </c>
      <c r="E248" s="9">
        <v>90877</v>
      </c>
    </row>
    <row r="249" spans="1:5" x14ac:dyDescent="0.25">
      <c r="A249" s="8" t="s">
        <v>282</v>
      </c>
      <c r="B249" s="8" t="s">
        <v>247</v>
      </c>
      <c r="C249" s="8" t="s">
        <v>91</v>
      </c>
      <c r="D249" s="13">
        <v>45565</v>
      </c>
      <c r="E249" s="9">
        <v>40559</v>
      </c>
    </row>
    <row r="250" spans="1:5" x14ac:dyDescent="0.25">
      <c r="A250" s="8" t="s">
        <v>283</v>
      </c>
      <c r="B250" s="8" t="s">
        <v>247</v>
      </c>
      <c r="C250" s="8" t="s">
        <v>50</v>
      </c>
      <c r="D250" s="13">
        <v>45592</v>
      </c>
      <c r="E250" s="9">
        <v>84287</v>
      </c>
    </row>
    <row r="251" spans="1:5" x14ac:dyDescent="0.25">
      <c r="A251" s="8" t="s">
        <v>284</v>
      </c>
      <c r="B251" s="8" t="s">
        <v>247</v>
      </c>
      <c r="C251" s="8" t="s">
        <v>35</v>
      </c>
      <c r="D251" s="13">
        <v>45597</v>
      </c>
      <c r="E251" s="9">
        <v>77717</v>
      </c>
    </row>
    <row r="252" spans="1:5" x14ac:dyDescent="0.25">
      <c r="A252" s="8" t="s">
        <v>285</v>
      </c>
      <c r="B252" s="8" t="s">
        <v>247</v>
      </c>
      <c r="C252" s="8" t="s">
        <v>110</v>
      </c>
      <c r="D252" s="13">
        <v>45619</v>
      </c>
      <c r="E252" s="9">
        <v>86286</v>
      </c>
    </row>
    <row r="253" spans="1:5" x14ac:dyDescent="0.25">
      <c r="A253" s="8" t="s">
        <v>286</v>
      </c>
      <c r="B253" s="8" t="s">
        <v>247</v>
      </c>
      <c r="C253" s="8" t="s">
        <v>109</v>
      </c>
      <c r="D253" s="13">
        <v>45628</v>
      </c>
      <c r="E253" s="9">
        <v>62590</v>
      </c>
    </row>
    <row r="254" spans="1:5" x14ac:dyDescent="0.25">
      <c r="A254" s="8" t="s">
        <v>287</v>
      </c>
      <c r="B254" s="8" t="s">
        <v>247</v>
      </c>
      <c r="C254" s="8" t="s">
        <v>25</v>
      </c>
      <c r="D254" s="13">
        <v>45641</v>
      </c>
      <c r="E254" s="9">
        <v>40563</v>
      </c>
    </row>
    <row r="255" spans="1:5" x14ac:dyDescent="0.25">
      <c r="A255" s="8" t="s">
        <v>288</v>
      </c>
      <c r="B255" s="8" t="s">
        <v>247</v>
      </c>
      <c r="C255" s="8" t="s">
        <v>33</v>
      </c>
      <c r="D255" s="13">
        <v>45668</v>
      </c>
      <c r="E255" s="9">
        <v>84551</v>
      </c>
    </row>
    <row r="256" spans="1:5" x14ac:dyDescent="0.25">
      <c r="A256" s="8" t="s">
        <v>289</v>
      </c>
      <c r="B256" s="8" t="s">
        <v>247</v>
      </c>
      <c r="C256" s="8" t="s">
        <v>12</v>
      </c>
      <c r="D256" s="13">
        <v>45674</v>
      </c>
      <c r="E256" s="9">
        <v>89590</v>
      </c>
    </row>
    <row r="257" spans="1:5" x14ac:dyDescent="0.25">
      <c r="A257" s="8" t="s">
        <v>290</v>
      </c>
      <c r="B257" s="8" t="s">
        <v>247</v>
      </c>
      <c r="C257" s="8" t="s">
        <v>27</v>
      </c>
      <c r="D257" s="13">
        <v>45676</v>
      </c>
      <c r="E257" s="9">
        <v>44430</v>
      </c>
    </row>
    <row r="258" spans="1:5" x14ac:dyDescent="0.25">
      <c r="A258" s="8" t="s">
        <v>291</v>
      </c>
      <c r="B258" s="8" t="s">
        <v>247</v>
      </c>
      <c r="C258" s="8" t="s">
        <v>23</v>
      </c>
      <c r="D258" s="13">
        <v>45682</v>
      </c>
      <c r="E258" s="9">
        <v>40495</v>
      </c>
    </row>
    <row r="259" spans="1:5" x14ac:dyDescent="0.25">
      <c r="A259" s="8" t="s">
        <v>292</v>
      </c>
      <c r="B259" s="8" t="s">
        <v>247</v>
      </c>
      <c r="C259" s="8" t="s">
        <v>48</v>
      </c>
      <c r="D259" s="13">
        <v>45687</v>
      </c>
      <c r="E259" s="9">
        <v>49214</v>
      </c>
    </row>
    <row r="260" spans="1:5" x14ac:dyDescent="0.25">
      <c r="A260" s="8" t="s">
        <v>293</v>
      </c>
      <c r="B260" s="8" t="s">
        <v>247</v>
      </c>
      <c r="C260" s="8" t="s">
        <v>73</v>
      </c>
      <c r="D260" s="13">
        <v>45702</v>
      </c>
      <c r="E260" s="9">
        <v>92738</v>
      </c>
    </row>
    <row r="261" spans="1:5" x14ac:dyDescent="0.25">
      <c r="A261" s="8" t="s">
        <v>294</v>
      </c>
      <c r="B261" s="8" t="s">
        <v>247</v>
      </c>
      <c r="C261" s="8" t="s">
        <v>8</v>
      </c>
      <c r="D261" s="13">
        <v>45704</v>
      </c>
      <c r="E261" s="9">
        <v>75474</v>
      </c>
    </row>
    <row r="262" spans="1:5" x14ac:dyDescent="0.25">
      <c r="A262" s="8" t="s">
        <v>295</v>
      </c>
      <c r="B262" s="8" t="s">
        <v>247</v>
      </c>
      <c r="C262" s="8" t="s">
        <v>14</v>
      </c>
      <c r="D262" s="13">
        <v>45741</v>
      </c>
      <c r="E262" s="9">
        <v>36556</v>
      </c>
    </row>
    <row r="263" spans="1:5" x14ac:dyDescent="0.25">
      <c r="A263" s="8" t="s">
        <v>296</v>
      </c>
      <c r="B263" s="8" t="s">
        <v>247</v>
      </c>
      <c r="C263" s="8" t="s">
        <v>23</v>
      </c>
      <c r="D263" s="13">
        <v>45749</v>
      </c>
      <c r="E263" s="9">
        <v>82382</v>
      </c>
    </row>
    <row r="264" spans="1:5" x14ac:dyDescent="0.25">
      <c r="A264" s="8" t="s">
        <v>297</v>
      </c>
      <c r="B264" s="8" t="s">
        <v>247</v>
      </c>
      <c r="C264" s="8" t="s">
        <v>48</v>
      </c>
      <c r="D264" s="13">
        <v>45772</v>
      </c>
      <c r="E264" s="9">
        <v>57187</v>
      </c>
    </row>
    <row r="265" spans="1:5" x14ac:dyDescent="0.25">
      <c r="A265" s="8" t="s">
        <v>298</v>
      </c>
      <c r="B265" s="8" t="s">
        <v>247</v>
      </c>
      <c r="C265" s="8" t="s">
        <v>35</v>
      </c>
      <c r="D265" s="13">
        <v>45792</v>
      </c>
      <c r="E265" s="9">
        <v>65535</v>
      </c>
    </row>
    <row r="266" spans="1:5" x14ac:dyDescent="0.25">
      <c r="A266" s="8" t="s">
        <v>299</v>
      </c>
      <c r="B266" s="8" t="s">
        <v>247</v>
      </c>
      <c r="C266" s="8" t="s">
        <v>55</v>
      </c>
      <c r="D266" s="13">
        <v>45800</v>
      </c>
      <c r="E266" s="9">
        <v>69702</v>
      </c>
    </row>
    <row r="267" spans="1:5" x14ac:dyDescent="0.25">
      <c r="A267" s="8" t="s">
        <v>300</v>
      </c>
      <c r="B267" s="8" t="s">
        <v>247</v>
      </c>
      <c r="C267" s="8" t="s">
        <v>14</v>
      </c>
      <c r="D267" s="13">
        <v>45841</v>
      </c>
      <c r="E267" s="9">
        <v>85912</v>
      </c>
    </row>
    <row r="268" spans="1:5" x14ac:dyDescent="0.25">
      <c r="A268" s="8" t="s">
        <v>301</v>
      </c>
      <c r="B268" s="8" t="s">
        <v>247</v>
      </c>
      <c r="C268" s="8" t="s">
        <v>23</v>
      </c>
      <c r="D268" s="13">
        <v>45844</v>
      </c>
      <c r="E268" s="9">
        <v>44422</v>
      </c>
    </row>
    <row r="269" spans="1:5" x14ac:dyDescent="0.25">
      <c r="A269" s="8" t="s">
        <v>302</v>
      </c>
      <c r="B269" s="8" t="s">
        <v>247</v>
      </c>
      <c r="C269" s="8" t="s">
        <v>6</v>
      </c>
      <c r="D269" s="13">
        <v>45845</v>
      </c>
      <c r="E269" s="9">
        <v>49528</v>
      </c>
    </row>
    <row r="270" spans="1:5" x14ac:dyDescent="0.25">
      <c r="A270" s="8" t="s">
        <v>303</v>
      </c>
      <c r="B270" s="8" t="s">
        <v>247</v>
      </c>
      <c r="C270" s="8" t="s">
        <v>55</v>
      </c>
      <c r="D270" s="13">
        <v>45853</v>
      </c>
      <c r="E270" s="9">
        <v>56874</v>
      </c>
    </row>
    <row r="271" spans="1:5" x14ac:dyDescent="0.25">
      <c r="A271" s="8" t="s">
        <v>304</v>
      </c>
      <c r="B271" s="8" t="s">
        <v>247</v>
      </c>
      <c r="C271" s="8" t="s">
        <v>35</v>
      </c>
      <c r="D271" s="13">
        <v>45858</v>
      </c>
      <c r="E271" s="9">
        <v>76062</v>
      </c>
    </row>
    <row r="272" spans="1:5" x14ac:dyDescent="0.25">
      <c r="A272" s="8" t="s">
        <v>305</v>
      </c>
      <c r="B272" s="8" t="s">
        <v>247</v>
      </c>
      <c r="C272" s="8" t="s">
        <v>23</v>
      </c>
      <c r="D272" s="13">
        <v>45864</v>
      </c>
      <c r="E272" s="9">
        <v>56350</v>
      </c>
    </row>
    <row r="273" spans="1:5" x14ac:dyDescent="0.25">
      <c r="A273" s="8" t="s">
        <v>306</v>
      </c>
      <c r="B273" s="8" t="s">
        <v>247</v>
      </c>
      <c r="C273" s="8" t="s">
        <v>110</v>
      </c>
      <c r="D273" s="13">
        <v>45896</v>
      </c>
      <c r="E273" s="9">
        <v>51038</v>
      </c>
    </row>
    <row r="274" spans="1:5" x14ac:dyDescent="0.25">
      <c r="A274" s="8" t="s">
        <v>307</v>
      </c>
      <c r="B274" s="8" t="s">
        <v>308</v>
      </c>
      <c r="C274" s="8" t="s">
        <v>73</v>
      </c>
      <c r="D274" s="13">
        <v>45237</v>
      </c>
      <c r="E274" s="9">
        <v>59362</v>
      </c>
    </row>
    <row r="275" spans="1:5" x14ac:dyDescent="0.25">
      <c r="A275" s="8" t="s">
        <v>309</v>
      </c>
      <c r="B275" s="8" t="s">
        <v>308</v>
      </c>
      <c r="C275" s="8" t="s">
        <v>50</v>
      </c>
      <c r="D275" s="13">
        <v>45257</v>
      </c>
      <c r="E275" s="9">
        <v>33769</v>
      </c>
    </row>
    <row r="276" spans="1:5" x14ac:dyDescent="0.25">
      <c r="A276" s="8" t="s">
        <v>310</v>
      </c>
      <c r="B276" s="8" t="s">
        <v>308</v>
      </c>
      <c r="C276" s="8" t="s">
        <v>10</v>
      </c>
      <c r="D276" s="13">
        <v>45262</v>
      </c>
      <c r="E276" s="9">
        <v>50307</v>
      </c>
    </row>
    <row r="277" spans="1:5" x14ac:dyDescent="0.25">
      <c r="A277" s="8" t="s">
        <v>311</v>
      </c>
      <c r="B277" s="8" t="s">
        <v>308</v>
      </c>
      <c r="C277" s="8" t="s">
        <v>17</v>
      </c>
      <c r="D277" s="13">
        <v>45276</v>
      </c>
      <c r="E277" s="9">
        <v>89751</v>
      </c>
    </row>
    <row r="278" spans="1:5" x14ac:dyDescent="0.25">
      <c r="A278" s="8" t="s">
        <v>312</v>
      </c>
      <c r="B278" s="8" t="s">
        <v>308</v>
      </c>
      <c r="C278" s="8" t="s">
        <v>91</v>
      </c>
      <c r="D278" s="13">
        <v>45288</v>
      </c>
      <c r="E278" s="9">
        <v>56507</v>
      </c>
    </row>
    <row r="279" spans="1:5" x14ac:dyDescent="0.25">
      <c r="A279" s="8" t="s">
        <v>313</v>
      </c>
      <c r="B279" s="8" t="s">
        <v>308</v>
      </c>
      <c r="C279" s="8" t="s">
        <v>27</v>
      </c>
      <c r="D279" s="13">
        <v>45291</v>
      </c>
      <c r="E279" s="9">
        <v>28237</v>
      </c>
    </row>
    <row r="280" spans="1:5" x14ac:dyDescent="0.25">
      <c r="A280" s="8" t="s">
        <v>314</v>
      </c>
      <c r="B280" s="8" t="s">
        <v>308</v>
      </c>
      <c r="C280" s="8" t="s">
        <v>109</v>
      </c>
      <c r="D280" s="13">
        <v>45326</v>
      </c>
      <c r="E280" s="9">
        <v>42779</v>
      </c>
    </row>
    <row r="281" spans="1:5" x14ac:dyDescent="0.25">
      <c r="A281" s="8" t="s">
        <v>315</v>
      </c>
      <c r="B281" s="8" t="s">
        <v>308</v>
      </c>
      <c r="C281" s="8" t="s">
        <v>44</v>
      </c>
      <c r="D281" s="13">
        <v>45343</v>
      </c>
      <c r="E281" s="9">
        <v>75439</v>
      </c>
    </row>
    <row r="282" spans="1:5" x14ac:dyDescent="0.25">
      <c r="A282" s="8" t="s">
        <v>316</v>
      </c>
      <c r="B282" s="8" t="s">
        <v>308</v>
      </c>
      <c r="C282" s="8" t="s">
        <v>8</v>
      </c>
      <c r="D282" s="13">
        <v>45352</v>
      </c>
      <c r="E282" s="9">
        <v>56104</v>
      </c>
    </row>
    <row r="283" spans="1:5" x14ac:dyDescent="0.25">
      <c r="A283" s="8" t="s">
        <v>317</v>
      </c>
      <c r="B283" s="8" t="s">
        <v>308</v>
      </c>
      <c r="C283" s="8" t="s">
        <v>73</v>
      </c>
      <c r="D283" s="13">
        <v>45356</v>
      </c>
      <c r="E283" s="9">
        <v>73334</v>
      </c>
    </row>
    <row r="284" spans="1:5" x14ac:dyDescent="0.25">
      <c r="A284" s="8" t="s">
        <v>318</v>
      </c>
      <c r="B284" s="8" t="s">
        <v>308</v>
      </c>
      <c r="C284" s="8" t="s">
        <v>29</v>
      </c>
      <c r="D284" s="13">
        <v>45381</v>
      </c>
      <c r="E284" s="9">
        <v>64520</v>
      </c>
    </row>
    <row r="285" spans="1:5" x14ac:dyDescent="0.25">
      <c r="A285" s="8" t="s">
        <v>319</v>
      </c>
      <c r="B285" s="8" t="s">
        <v>308</v>
      </c>
      <c r="C285" s="8" t="s">
        <v>50</v>
      </c>
      <c r="D285" s="13">
        <v>45388</v>
      </c>
      <c r="E285" s="9">
        <v>42384</v>
      </c>
    </row>
    <row r="286" spans="1:5" x14ac:dyDescent="0.25">
      <c r="A286" s="8" t="s">
        <v>320</v>
      </c>
      <c r="B286" s="8" t="s">
        <v>308</v>
      </c>
      <c r="C286" s="8" t="s">
        <v>10</v>
      </c>
      <c r="D286" s="13">
        <v>45393</v>
      </c>
      <c r="E286" s="9">
        <v>71907</v>
      </c>
    </row>
    <row r="287" spans="1:5" x14ac:dyDescent="0.25">
      <c r="A287" s="8" t="s">
        <v>321</v>
      </c>
      <c r="B287" s="8" t="s">
        <v>308</v>
      </c>
      <c r="C287" s="8" t="s">
        <v>6</v>
      </c>
      <c r="D287" s="13">
        <v>45405</v>
      </c>
      <c r="E287" s="9">
        <v>35340</v>
      </c>
    </row>
    <row r="288" spans="1:5" x14ac:dyDescent="0.25">
      <c r="A288" s="8" t="s">
        <v>322</v>
      </c>
      <c r="B288" s="8" t="s">
        <v>308</v>
      </c>
      <c r="C288" s="8" t="s">
        <v>44</v>
      </c>
      <c r="D288" s="13">
        <v>45415</v>
      </c>
      <c r="E288" s="9">
        <v>70845</v>
      </c>
    </row>
    <row r="289" spans="1:5" x14ac:dyDescent="0.25">
      <c r="A289" s="8" t="s">
        <v>323</v>
      </c>
      <c r="B289" s="8" t="s">
        <v>308</v>
      </c>
      <c r="C289" s="8" t="s">
        <v>37</v>
      </c>
      <c r="D289" s="13">
        <v>45421</v>
      </c>
      <c r="E289" s="9">
        <v>62724</v>
      </c>
    </row>
    <row r="290" spans="1:5" x14ac:dyDescent="0.25">
      <c r="A290" s="8" t="s">
        <v>324</v>
      </c>
      <c r="B290" s="8" t="s">
        <v>308</v>
      </c>
      <c r="C290" s="8" t="s">
        <v>27</v>
      </c>
      <c r="D290" s="13">
        <v>45438</v>
      </c>
      <c r="E290" s="9">
        <v>38900</v>
      </c>
    </row>
    <row r="291" spans="1:5" x14ac:dyDescent="0.25">
      <c r="A291" s="8" t="s">
        <v>325</v>
      </c>
      <c r="B291" s="8" t="s">
        <v>308</v>
      </c>
      <c r="C291" s="8" t="s">
        <v>6</v>
      </c>
      <c r="D291" s="13">
        <v>45466</v>
      </c>
      <c r="E291" s="9">
        <v>48086</v>
      </c>
    </row>
    <row r="292" spans="1:5" x14ac:dyDescent="0.25">
      <c r="A292" s="8" t="s">
        <v>326</v>
      </c>
      <c r="B292" s="8" t="s">
        <v>308</v>
      </c>
      <c r="C292" s="8" t="s">
        <v>108</v>
      </c>
      <c r="D292" s="13">
        <v>45475</v>
      </c>
      <c r="E292" s="9">
        <v>61938</v>
      </c>
    </row>
    <row r="293" spans="1:5" x14ac:dyDescent="0.25">
      <c r="A293" s="8" t="s">
        <v>327</v>
      </c>
      <c r="B293" s="8" t="s">
        <v>308</v>
      </c>
      <c r="C293" s="8" t="s">
        <v>27</v>
      </c>
      <c r="D293" s="13">
        <v>45481</v>
      </c>
      <c r="E293" s="9">
        <v>48916</v>
      </c>
    </row>
    <row r="294" spans="1:5" x14ac:dyDescent="0.25">
      <c r="A294" s="8" t="s">
        <v>328</v>
      </c>
      <c r="B294" s="8" t="s">
        <v>308</v>
      </c>
      <c r="C294" s="8" t="s">
        <v>33</v>
      </c>
      <c r="D294" s="13">
        <v>45511</v>
      </c>
      <c r="E294" s="9">
        <v>76938</v>
      </c>
    </row>
    <row r="295" spans="1:5" x14ac:dyDescent="0.25">
      <c r="A295" s="8" t="s">
        <v>329</v>
      </c>
      <c r="B295" s="8" t="s">
        <v>308</v>
      </c>
      <c r="C295" s="8" t="s">
        <v>29</v>
      </c>
      <c r="D295" s="13">
        <v>45514</v>
      </c>
      <c r="E295" s="9">
        <v>71961</v>
      </c>
    </row>
    <row r="296" spans="1:5" x14ac:dyDescent="0.25">
      <c r="A296" s="8" t="s">
        <v>330</v>
      </c>
      <c r="B296" s="8" t="s">
        <v>308</v>
      </c>
      <c r="C296" s="8" t="s">
        <v>25</v>
      </c>
      <c r="D296" s="13">
        <v>45530</v>
      </c>
      <c r="E296" s="9">
        <v>56048</v>
      </c>
    </row>
    <row r="297" spans="1:5" x14ac:dyDescent="0.25">
      <c r="A297" s="8" t="s">
        <v>331</v>
      </c>
      <c r="B297" s="8" t="s">
        <v>308</v>
      </c>
      <c r="C297" s="8" t="s">
        <v>25</v>
      </c>
      <c r="D297" s="13">
        <v>45531</v>
      </c>
      <c r="E297" s="9">
        <v>65501</v>
      </c>
    </row>
    <row r="298" spans="1:5" x14ac:dyDescent="0.25">
      <c r="A298" s="8" t="s">
        <v>332</v>
      </c>
      <c r="B298" s="8" t="s">
        <v>308</v>
      </c>
      <c r="C298" s="8" t="s">
        <v>19</v>
      </c>
      <c r="D298" s="13">
        <v>45534</v>
      </c>
      <c r="E298" s="9">
        <v>46842</v>
      </c>
    </row>
    <row r="299" spans="1:5" x14ac:dyDescent="0.25">
      <c r="A299" s="8" t="s">
        <v>333</v>
      </c>
      <c r="B299" s="8" t="s">
        <v>308</v>
      </c>
      <c r="C299" s="8" t="s">
        <v>19</v>
      </c>
      <c r="D299" s="13">
        <v>45547</v>
      </c>
      <c r="E299" s="9">
        <v>36563</v>
      </c>
    </row>
    <row r="300" spans="1:5" x14ac:dyDescent="0.25">
      <c r="A300" s="8" t="s">
        <v>334</v>
      </c>
      <c r="B300" s="8" t="s">
        <v>308</v>
      </c>
      <c r="C300" s="8" t="s">
        <v>37</v>
      </c>
      <c r="D300" s="13">
        <v>45554</v>
      </c>
      <c r="E300" s="9">
        <v>58289</v>
      </c>
    </row>
    <row r="301" spans="1:5" x14ac:dyDescent="0.25">
      <c r="A301" s="8" t="s">
        <v>335</v>
      </c>
      <c r="B301" s="8" t="s">
        <v>308</v>
      </c>
      <c r="C301" s="8" t="s">
        <v>108</v>
      </c>
      <c r="D301" s="13">
        <v>45566</v>
      </c>
      <c r="E301" s="9">
        <v>58472</v>
      </c>
    </row>
    <row r="302" spans="1:5" x14ac:dyDescent="0.25">
      <c r="A302" s="8" t="s">
        <v>336</v>
      </c>
      <c r="B302" s="8" t="s">
        <v>308</v>
      </c>
      <c r="C302" s="8" t="s">
        <v>12</v>
      </c>
      <c r="D302" s="13">
        <v>45567</v>
      </c>
      <c r="E302" s="9">
        <v>25598</v>
      </c>
    </row>
    <row r="303" spans="1:5" x14ac:dyDescent="0.25">
      <c r="A303" s="8" t="s">
        <v>337</v>
      </c>
      <c r="B303" s="8" t="s">
        <v>308</v>
      </c>
      <c r="C303" s="8" t="s">
        <v>14</v>
      </c>
      <c r="D303" s="13">
        <v>45573</v>
      </c>
      <c r="E303" s="9">
        <v>42599</v>
      </c>
    </row>
    <row r="304" spans="1:5" x14ac:dyDescent="0.25">
      <c r="A304" s="8" t="s">
        <v>338</v>
      </c>
      <c r="B304" s="8" t="s">
        <v>308</v>
      </c>
      <c r="C304" s="8" t="s">
        <v>33</v>
      </c>
      <c r="D304" s="13">
        <v>45577</v>
      </c>
      <c r="E304" s="9">
        <v>151465</v>
      </c>
    </row>
    <row r="305" spans="1:5" x14ac:dyDescent="0.25">
      <c r="A305" s="8" t="s">
        <v>339</v>
      </c>
      <c r="B305" s="8" t="s">
        <v>308</v>
      </c>
      <c r="C305" s="8" t="s">
        <v>12</v>
      </c>
      <c r="D305" s="13">
        <v>45606</v>
      </c>
      <c r="E305" s="9">
        <v>227963</v>
      </c>
    </row>
    <row r="306" spans="1:5" x14ac:dyDescent="0.25">
      <c r="A306" s="8" t="s">
        <v>340</v>
      </c>
      <c r="B306" s="8" t="s">
        <v>308</v>
      </c>
      <c r="C306" s="8" t="s">
        <v>10</v>
      </c>
      <c r="D306" s="13">
        <v>45646</v>
      </c>
      <c r="E306" s="9">
        <v>26688</v>
      </c>
    </row>
    <row r="307" spans="1:5" x14ac:dyDescent="0.25">
      <c r="A307" s="8" t="s">
        <v>341</v>
      </c>
      <c r="B307" s="8" t="s">
        <v>308</v>
      </c>
      <c r="C307" s="8" t="s">
        <v>110</v>
      </c>
      <c r="D307" s="13">
        <v>45649</v>
      </c>
      <c r="E307" s="9">
        <v>34074</v>
      </c>
    </row>
    <row r="308" spans="1:5" x14ac:dyDescent="0.25">
      <c r="A308" s="8" t="s">
        <v>342</v>
      </c>
      <c r="B308" s="8" t="s">
        <v>308</v>
      </c>
      <c r="C308" s="8" t="s">
        <v>91</v>
      </c>
      <c r="D308" s="13">
        <v>45682</v>
      </c>
      <c r="E308" s="9">
        <v>46301</v>
      </c>
    </row>
    <row r="309" spans="1:5" x14ac:dyDescent="0.25">
      <c r="A309" s="8" t="s">
        <v>343</v>
      </c>
      <c r="B309" s="8" t="s">
        <v>308</v>
      </c>
      <c r="C309" s="8" t="s">
        <v>19</v>
      </c>
      <c r="D309" s="13">
        <v>45685</v>
      </c>
      <c r="E309" s="9">
        <v>56890</v>
      </c>
    </row>
    <row r="310" spans="1:5" x14ac:dyDescent="0.25">
      <c r="A310" s="8" t="s">
        <v>344</v>
      </c>
      <c r="B310" s="8" t="s">
        <v>308</v>
      </c>
      <c r="C310" s="8" t="s">
        <v>14</v>
      </c>
      <c r="D310" s="13">
        <v>45688</v>
      </c>
      <c r="E310" s="9">
        <v>41850</v>
      </c>
    </row>
    <row r="311" spans="1:5" x14ac:dyDescent="0.25">
      <c r="A311" s="8" t="s">
        <v>345</v>
      </c>
      <c r="B311" s="8" t="s">
        <v>308</v>
      </c>
      <c r="C311" s="8" t="s">
        <v>21</v>
      </c>
      <c r="D311" s="13">
        <v>45700</v>
      </c>
      <c r="E311" s="9">
        <v>47915</v>
      </c>
    </row>
    <row r="312" spans="1:5" x14ac:dyDescent="0.25">
      <c r="A312" s="8" t="s">
        <v>346</v>
      </c>
      <c r="B312" s="8" t="s">
        <v>308</v>
      </c>
      <c r="C312" s="8" t="s">
        <v>35</v>
      </c>
      <c r="D312" s="13">
        <v>45717</v>
      </c>
      <c r="E312" s="9">
        <v>57736</v>
      </c>
    </row>
    <row r="313" spans="1:5" x14ac:dyDescent="0.25">
      <c r="A313" s="8" t="s">
        <v>347</v>
      </c>
      <c r="B313" s="8" t="s">
        <v>308</v>
      </c>
      <c r="C313" s="8" t="s">
        <v>29</v>
      </c>
      <c r="D313" s="13">
        <v>45732</v>
      </c>
      <c r="E313" s="9">
        <v>37735</v>
      </c>
    </row>
    <row r="314" spans="1:5" x14ac:dyDescent="0.25">
      <c r="A314" s="8" t="s">
        <v>348</v>
      </c>
      <c r="B314" s="8" t="s">
        <v>308</v>
      </c>
      <c r="C314" s="8" t="s">
        <v>33</v>
      </c>
      <c r="D314" s="13">
        <v>45739</v>
      </c>
      <c r="E314" s="9">
        <v>38124</v>
      </c>
    </row>
    <row r="315" spans="1:5" x14ac:dyDescent="0.25">
      <c r="A315" s="8" t="s">
        <v>349</v>
      </c>
      <c r="B315" s="8" t="s">
        <v>308</v>
      </c>
      <c r="C315" s="8" t="s">
        <v>14</v>
      </c>
      <c r="D315" s="13">
        <v>45741</v>
      </c>
      <c r="E315" s="9">
        <v>58525</v>
      </c>
    </row>
    <row r="316" spans="1:5" x14ac:dyDescent="0.25">
      <c r="A316" s="8" t="s">
        <v>350</v>
      </c>
      <c r="B316" s="8" t="s">
        <v>308</v>
      </c>
      <c r="C316" s="8" t="s">
        <v>19</v>
      </c>
      <c r="D316" s="13">
        <v>45743</v>
      </c>
      <c r="E316" s="9">
        <v>33438</v>
      </c>
    </row>
    <row r="317" spans="1:5" x14ac:dyDescent="0.25">
      <c r="A317" s="8" t="s">
        <v>351</v>
      </c>
      <c r="B317" s="8" t="s">
        <v>308</v>
      </c>
      <c r="C317" s="8" t="s">
        <v>50</v>
      </c>
      <c r="D317" s="13">
        <v>45746</v>
      </c>
      <c r="E317" s="9">
        <v>52915</v>
      </c>
    </row>
    <row r="318" spans="1:5" x14ac:dyDescent="0.25">
      <c r="A318" s="8" t="s">
        <v>352</v>
      </c>
      <c r="B318" s="8" t="s">
        <v>308</v>
      </c>
      <c r="C318" s="8" t="s">
        <v>19</v>
      </c>
      <c r="D318" s="13">
        <v>45791</v>
      </c>
      <c r="E318" s="9">
        <v>43121</v>
      </c>
    </row>
    <row r="319" spans="1:5" x14ac:dyDescent="0.25">
      <c r="A319" s="8" t="s">
        <v>353</v>
      </c>
      <c r="B319" s="8" t="s">
        <v>308</v>
      </c>
      <c r="C319" s="8" t="s">
        <v>35</v>
      </c>
      <c r="D319" s="13">
        <v>45793</v>
      </c>
      <c r="E319" s="9">
        <v>65091</v>
      </c>
    </row>
    <row r="320" spans="1:5" x14ac:dyDescent="0.25">
      <c r="A320" s="8" t="s">
        <v>354</v>
      </c>
      <c r="B320" s="8" t="s">
        <v>308</v>
      </c>
      <c r="C320" s="8" t="s">
        <v>35</v>
      </c>
      <c r="D320" s="13">
        <v>45798</v>
      </c>
      <c r="E320" s="9">
        <v>29944</v>
      </c>
    </row>
    <row r="321" spans="1:5" x14ac:dyDescent="0.25">
      <c r="A321" s="8" t="s">
        <v>355</v>
      </c>
      <c r="B321" s="8" t="s">
        <v>308</v>
      </c>
      <c r="C321" s="8" t="s">
        <v>50</v>
      </c>
      <c r="D321" s="13">
        <v>45799</v>
      </c>
      <c r="E321" s="9">
        <v>63758</v>
      </c>
    </row>
    <row r="322" spans="1:5" x14ac:dyDescent="0.25">
      <c r="A322" s="8" t="s">
        <v>356</v>
      </c>
      <c r="B322" s="8" t="s">
        <v>308</v>
      </c>
      <c r="C322" s="8" t="s">
        <v>10</v>
      </c>
      <c r="D322" s="13">
        <v>45801</v>
      </c>
      <c r="E322" s="9">
        <v>52501</v>
      </c>
    </row>
    <row r="323" spans="1:5" x14ac:dyDescent="0.25">
      <c r="A323" s="8" t="s">
        <v>357</v>
      </c>
      <c r="B323" s="8" t="s">
        <v>308</v>
      </c>
      <c r="C323" s="8" t="s">
        <v>110</v>
      </c>
      <c r="D323" s="13">
        <v>45818</v>
      </c>
      <c r="E323" s="9">
        <v>47979</v>
      </c>
    </row>
    <row r="324" spans="1:5" x14ac:dyDescent="0.25">
      <c r="A324" s="8" t="s">
        <v>358</v>
      </c>
      <c r="B324" s="8" t="s">
        <v>308</v>
      </c>
      <c r="C324" s="8" t="s">
        <v>33</v>
      </c>
      <c r="D324" s="13">
        <v>45825</v>
      </c>
      <c r="E324" s="9">
        <v>66563</v>
      </c>
    </row>
    <row r="325" spans="1:5" x14ac:dyDescent="0.25">
      <c r="A325" s="8" t="s">
        <v>359</v>
      </c>
      <c r="B325" s="8" t="s">
        <v>308</v>
      </c>
      <c r="C325" s="8" t="s">
        <v>110</v>
      </c>
      <c r="D325" s="13">
        <v>45839</v>
      </c>
      <c r="E325" s="9">
        <v>52902</v>
      </c>
    </row>
    <row r="326" spans="1:5" x14ac:dyDescent="0.25">
      <c r="A326" s="8" t="s">
        <v>360</v>
      </c>
      <c r="B326" s="8" t="s">
        <v>361</v>
      </c>
      <c r="C326" s="8" t="s">
        <v>108</v>
      </c>
      <c r="D326" s="13">
        <v>45141</v>
      </c>
      <c r="E326" s="9">
        <v>71013</v>
      </c>
    </row>
    <row r="327" spans="1:5" x14ac:dyDescent="0.25">
      <c r="A327" s="8" t="s">
        <v>362</v>
      </c>
      <c r="B327" s="8" t="s">
        <v>361</v>
      </c>
      <c r="C327" s="8" t="s">
        <v>50</v>
      </c>
      <c r="D327" s="13">
        <v>45175</v>
      </c>
      <c r="E327" s="9">
        <v>113923</v>
      </c>
    </row>
    <row r="328" spans="1:5" x14ac:dyDescent="0.25">
      <c r="A328" s="8" t="s">
        <v>363</v>
      </c>
      <c r="B328" s="8" t="s">
        <v>361</v>
      </c>
      <c r="C328" s="8" t="s">
        <v>10</v>
      </c>
      <c r="D328" s="13">
        <v>45186</v>
      </c>
      <c r="E328" s="9">
        <v>112677</v>
      </c>
    </row>
    <row r="329" spans="1:5" x14ac:dyDescent="0.25">
      <c r="A329" s="8" t="s">
        <v>364</v>
      </c>
      <c r="B329" s="8" t="s">
        <v>361</v>
      </c>
      <c r="C329" s="8" t="s">
        <v>48</v>
      </c>
      <c r="D329" s="13">
        <v>45196</v>
      </c>
      <c r="E329" s="9">
        <v>122785</v>
      </c>
    </row>
    <row r="330" spans="1:5" x14ac:dyDescent="0.25">
      <c r="A330" s="8" t="s">
        <v>365</v>
      </c>
      <c r="B330" s="8" t="s">
        <v>361</v>
      </c>
      <c r="C330" s="8" t="s">
        <v>29</v>
      </c>
      <c r="D330" s="13">
        <v>45215</v>
      </c>
      <c r="E330" s="9">
        <v>169057</v>
      </c>
    </row>
    <row r="331" spans="1:5" x14ac:dyDescent="0.25">
      <c r="A331" s="8" t="s">
        <v>366</v>
      </c>
      <c r="B331" s="8" t="s">
        <v>361</v>
      </c>
      <c r="C331" s="8" t="s">
        <v>19</v>
      </c>
      <c r="D331" s="13">
        <v>45219</v>
      </c>
      <c r="E331" s="9">
        <v>175070</v>
      </c>
    </row>
    <row r="332" spans="1:5" x14ac:dyDescent="0.25">
      <c r="A332" s="8" t="s">
        <v>367</v>
      </c>
      <c r="B332" s="8" t="s">
        <v>361</v>
      </c>
      <c r="C332" s="8" t="s">
        <v>21</v>
      </c>
      <c r="D332" s="13">
        <v>45221</v>
      </c>
      <c r="E332" s="9">
        <v>157916</v>
      </c>
    </row>
    <row r="333" spans="1:5" x14ac:dyDescent="0.25">
      <c r="A333" s="8" t="s">
        <v>368</v>
      </c>
      <c r="B333" s="8" t="s">
        <v>361</v>
      </c>
      <c r="C333" s="8" t="s">
        <v>17</v>
      </c>
      <c r="D333" s="13">
        <v>45231</v>
      </c>
      <c r="E333" s="9">
        <v>168660</v>
      </c>
    </row>
    <row r="334" spans="1:5" x14ac:dyDescent="0.25">
      <c r="A334" s="8" t="s">
        <v>369</v>
      </c>
      <c r="B334" s="8" t="s">
        <v>361</v>
      </c>
      <c r="C334" s="8" t="s">
        <v>55</v>
      </c>
      <c r="D334" s="13">
        <v>45239</v>
      </c>
      <c r="E334" s="9">
        <v>96838</v>
      </c>
    </row>
    <row r="335" spans="1:5" x14ac:dyDescent="0.25">
      <c r="A335" s="8" t="s">
        <v>370</v>
      </c>
      <c r="B335" s="8" t="s">
        <v>361</v>
      </c>
      <c r="C335" s="8" t="s">
        <v>10</v>
      </c>
      <c r="D335" s="13">
        <v>45241</v>
      </c>
      <c r="E335" s="9">
        <v>107803</v>
      </c>
    </row>
    <row r="336" spans="1:5" x14ac:dyDescent="0.25">
      <c r="A336" s="8" t="s">
        <v>371</v>
      </c>
      <c r="B336" s="8" t="s">
        <v>361</v>
      </c>
      <c r="C336" s="8" t="s">
        <v>6</v>
      </c>
      <c r="D336" s="13">
        <v>45268</v>
      </c>
      <c r="E336" s="9">
        <v>131603</v>
      </c>
    </row>
    <row r="337" spans="1:5" x14ac:dyDescent="0.25">
      <c r="A337" s="8" t="s">
        <v>372</v>
      </c>
      <c r="B337" s="8" t="s">
        <v>361</v>
      </c>
      <c r="C337" s="8" t="s">
        <v>110</v>
      </c>
      <c r="D337" s="13">
        <v>45278</v>
      </c>
      <c r="E337" s="9">
        <v>66234</v>
      </c>
    </row>
    <row r="338" spans="1:5" x14ac:dyDescent="0.25">
      <c r="A338" s="8" t="s">
        <v>373</v>
      </c>
      <c r="B338" s="8" t="s">
        <v>361</v>
      </c>
      <c r="C338" s="8" t="s">
        <v>73</v>
      </c>
      <c r="D338" s="13">
        <v>45286</v>
      </c>
      <c r="E338" s="9">
        <v>59025</v>
      </c>
    </row>
    <row r="339" spans="1:5" x14ac:dyDescent="0.25">
      <c r="A339" s="8" t="s">
        <v>374</v>
      </c>
      <c r="B339" s="8" t="s">
        <v>361</v>
      </c>
      <c r="C339" s="8" t="s">
        <v>71</v>
      </c>
      <c r="D339" s="13">
        <v>45287</v>
      </c>
      <c r="E339" s="9">
        <v>130699</v>
      </c>
    </row>
    <row r="340" spans="1:5" x14ac:dyDescent="0.25">
      <c r="A340" s="8" t="s">
        <v>375</v>
      </c>
      <c r="B340" s="8" t="s">
        <v>361</v>
      </c>
      <c r="C340" s="8" t="s">
        <v>14</v>
      </c>
      <c r="D340" s="13">
        <v>45323</v>
      </c>
      <c r="E340" s="9">
        <v>228107</v>
      </c>
    </row>
    <row r="341" spans="1:5" x14ac:dyDescent="0.25">
      <c r="A341" s="8" t="s">
        <v>376</v>
      </c>
      <c r="B341" s="8" t="s">
        <v>361</v>
      </c>
      <c r="C341" s="8" t="s">
        <v>91</v>
      </c>
      <c r="D341" s="13">
        <v>45379</v>
      </c>
      <c r="E341" s="9">
        <v>174690</v>
      </c>
    </row>
    <row r="342" spans="1:5" x14ac:dyDescent="0.25">
      <c r="A342" s="8" t="s">
        <v>377</v>
      </c>
      <c r="B342" s="8" t="s">
        <v>361</v>
      </c>
      <c r="C342" s="8" t="s">
        <v>21</v>
      </c>
      <c r="D342" s="13">
        <v>45385</v>
      </c>
      <c r="E342" s="9">
        <v>163131</v>
      </c>
    </row>
    <row r="343" spans="1:5" x14ac:dyDescent="0.25">
      <c r="A343" s="8" t="s">
        <v>378</v>
      </c>
      <c r="B343" s="8" t="s">
        <v>361</v>
      </c>
      <c r="C343" s="8" t="s">
        <v>29</v>
      </c>
      <c r="D343" s="13">
        <v>45388</v>
      </c>
      <c r="E343" s="9">
        <v>96298</v>
      </c>
    </row>
    <row r="344" spans="1:5" x14ac:dyDescent="0.25">
      <c r="A344" s="8" t="s">
        <v>379</v>
      </c>
      <c r="B344" s="8" t="s">
        <v>361</v>
      </c>
      <c r="C344" s="8" t="s">
        <v>27</v>
      </c>
      <c r="D344" s="13">
        <v>45389</v>
      </c>
      <c r="E344" s="9">
        <v>153787</v>
      </c>
    </row>
    <row r="345" spans="1:5" x14ac:dyDescent="0.25">
      <c r="A345" s="8" t="s">
        <v>380</v>
      </c>
      <c r="B345" s="8" t="s">
        <v>361</v>
      </c>
      <c r="C345" s="8" t="s">
        <v>21</v>
      </c>
      <c r="D345" s="13">
        <v>45410</v>
      </c>
      <c r="E345" s="9">
        <v>200275</v>
      </c>
    </row>
    <row r="346" spans="1:5" x14ac:dyDescent="0.25">
      <c r="A346" s="8" t="s">
        <v>381</v>
      </c>
      <c r="B346" s="8" t="s">
        <v>361</v>
      </c>
      <c r="C346" s="8" t="s">
        <v>8</v>
      </c>
      <c r="D346" s="13">
        <v>45418</v>
      </c>
      <c r="E346" s="9">
        <v>190613</v>
      </c>
    </row>
    <row r="347" spans="1:5" x14ac:dyDescent="0.25">
      <c r="A347" s="8" t="s">
        <v>382</v>
      </c>
      <c r="B347" s="8" t="s">
        <v>361</v>
      </c>
      <c r="C347" s="8" t="s">
        <v>55</v>
      </c>
      <c r="D347" s="13">
        <v>45421</v>
      </c>
      <c r="E347" s="9">
        <v>117818</v>
      </c>
    </row>
    <row r="348" spans="1:5" x14ac:dyDescent="0.25">
      <c r="A348" s="8" t="s">
        <v>383</v>
      </c>
      <c r="B348" s="8" t="s">
        <v>361</v>
      </c>
      <c r="C348" s="8" t="s">
        <v>25</v>
      </c>
      <c r="D348" s="13">
        <v>45433</v>
      </c>
      <c r="E348" s="9">
        <v>110585</v>
      </c>
    </row>
    <row r="349" spans="1:5" x14ac:dyDescent="0.25">
      <c r="A349" s="8" t="s">
        <v>384</v>
      </c>
      <c r="B349" s="8" t="s">
        <v>361</v>
      </c>
      <c r="C349" s="8" t="s">
        <v>37</v>
      </c>
      <c r="D349" s="13">
        <v>45444</v>
      </c>
      <c r="E349" s="9">
        <v>202007</v>
      </c>
    </row>
    <row r="350" spans="1:5" x14ac:dyDescent="0.25">
      <c r="A350" s="8" t="s">
        <v>385</v>
      </c>
      <c r="B350" s="8" t="s">
        <v>361</v>
      </c>
      <c r="C350" s="8" t="s">
        <v>8</v>
      </c>
      <c r="D350" s="13">
        <v>45445</v>
      </c>
      <c r="E350" s="9">
        <v>77724</v>
      </c>
    </row>
    <row r="351" spans="1:5" x14ac:dyDescent="0.25">
      <c r="A351" s="8" t="s">
        <v>386</v>
      </c>
      <c r="B351" s="8" t="s">
        <v>361</v>
      </c>
      <c r="C351" s="8" t="s">
        <v>14</v>
      </c>
      <c r="D351" s="13">
        <v>45468</v>
      </c>
      <c r="E351" s="9">
        <v>189542</v>
      </c>
    </row>
    <row r="352" spans="1:5" x14ac:dyDescent="0.25">
      <c r="A352" s="8" t="s">
        <v>387</v>
      </c>
      <c r="B352" s="8" t="s">
        <v>361</v>
      </c>
      <c r="C352" s="8" t="s">
        <v>29</v>
      </c>
      <c r="D352" s="13">
        <v>45492</v>
      </c>
      <c r="E352" s="9">
        <v>189721</v>
      </c>
    </row>
    <row r="353" spans="1:5" x14ac:dyDescent="0.25">
      <c r="A353" s="8" t="s">
        <v>388</v>
      </c>
      <c r="B353" s="8" t="s">
        <v>361</v>
      </c>
      <c r="C353" s="8" t="s">
        <v>108</v>
      </c>
      <c r="D353" s="13">
        <v>45522</v>
      </c>
      <c r="E353" s="9">
        <v>81451</v>
      </c>
    </row>
    <row r="354" spans="1:5" x14ac:dyDescent="0.25">
      <c r="A354" s="8" t="s">
        <v>389</v>
      </c>
      <c r="B354" s="8" t="s">
        <v>361</v>
      </c>
      <c r="C354" s="8" t="s">
        <v>109</v>
      </c>
      <c r="D354" s="13">
        <v>45528</v>
      </c>
      <c r="E354" s="9">
        <v>157270</v>
      </c>
    </row>
    <row r="355" spans="1:5" x14ac:dyDescent="0.25">
      <c r="A355" s="8" t="s">
        <v>390</v>
      </c>
      <c r="B355" s="8" t="s">
        <v>361</v>
      </c>
      <c r="C355" s="8" t="s">
        <v>44</v>
      </c>
      <c r="D355" s="13">
        <v>45529</v>
      </c>
      <c r="E355" s="9">
        <v>152908</v>
      </c>
    </row>
    <row r="356" spans="1:5" x14ac:dyDescent="0.25">
      <c r="A356" s="8" t="s">
        <v>391</v>
      </c>
      <c r="B356" s="8" t="s">
        <v>361</v>
      </c>
      <c r="C356" s="8" t="s">
        <v>17</v>
      </c>
      <c r="D356" s="13">
        <v>45530</v>
      </c>
      <c r="E356" s="9">
        <v>190153</v>
      </c>
    </row>
    <row r="357" spans="1:5" x14ac:dyDescent="0.25">
      <c r="A357" s="8" t="s">
        <v>392</v>
      </c>
      <c r="B357" s="8" t="s">
        <v>361</v>
      </c>
      <c r="C357" s="8" t="s">
        <v>21</v>
      </c>
      <c r="D357" s="13">
        <v>45531</v>
      </c>
      <c r="E357" s="9">
        <v>150889</v>
      </c>
    </row>
    <row r="358" spans="1:5" x14ac:dyDescent="0.25">
      <c r="A358" s="8" t="s">
        <v>393</v>
      </c>
      <c r="B358" s="8" t="s">
        <v>361</v>
      </c>
      <c r="C358" s="8" t="s">
        <v>8</v>
      </c>
      <c r="D358" s="13">
        <v>45559</v>
      </c>
      <c r="E358" s="9">
        <v>150521</v>
      </c>
    </row>
    <row r="359" spans="1:5" x14ac:dyDescent="0.25">
      <c r="A359" s="8" t="s">
        <v>394</v>
      </c>
      <c r="B359" s="8" t="s">
        <v>361</v>
      </c>
      <c r="C359" s="8" t="s">
        <v>71</v>
      </c>
      <c r="D359" s="13">
        <v>45563</v>
      </c>
      <c r="E359" s="9">
        <v>170304</v>
      </c>
    </row>
    <row r="360" spans="1:5" x14ac:dyDescent="0.25">
      <c r="A360" s="8" t="s">
        <v>395</v>
      </c>
      <c r="B360" s="8" t="s">
        <v>361</v>
      </c>
      <c r="C360" s="8" t="s">
        <v>6</v>
      </c>
      <c r="D360" s="13">
        <v>45589</v>
      </c>
      <c r="E360" s="9">
        <v>156686</v>
      </c>
    </row>
    <row r="361" spans="1:5" x14ac:dyDescent="0.25">
      <c r="A361" s="8" t="s">
        <v>1823</v>
      </c>
      <c r="B361" s="8" t="s">
        <v>361</v>
      </c>
      <c r="C361" s="8" t="s">
        <v>109</v>
      </c>
      <c r="D361" s="13">
        <v>45593</v>
      </c>
      <c r="E361" s="9">
        <v>94108</v>
      </c>
    </row>
    <row r="362" spans="1:5" x14ac:dyDescent="0.25">
      <c r="A362" s="8" t="s">
        <v>1824</v>
      </c>
      <c r="B362" s="8" t="s">
        <v>361</v>
      </c>
      <c r="C362" s="8" t="s">
        <v>21</v>
      </c>
      <c r="D362" s="13">
        <v>45596</v>
      </c>
      <c r="E362" s="9">
        <v>102967</v>
      </c>
    </row>
    <row r="363" spans="1:5" x14ac:dyDescent="0.25">
      <c r="A363" s="8" t="s">
        <v>1825</v>
      </c>
      <c r="B363" s="8" t="s">
        <v>361</v>
      </c>
      <c r="C363" s="8" t="s">
        <v>23</v>
      </c>
      <c r="D363" s="13">
        <v>45606</v>
      </c>
      <c r="E363" s="9">
        <v>140869</v>
      </c>
    </row>
    <row r="364" spans="1:5" x14ac:dyDescent="0.25">
      <c r="A364" s="8" t="s">
        <v>1826</v>
      </c>
      <c r="B364" s="8" t="s">
        <v>361</v>
      </c>
      <c r="C364" s="8" t="s">
        <v>14</v>
      </c>
      <c r="D364" s="13">
        <v>45609</v>
      </c>
      <c r="E364" s="9">
        <v>172427</v>
      </c>
    </row>
    <row r="365" spans="1:5" x14ac:dyDescent="0.25">
      <c r="A365" s="8" t="s">
        <v>1827</v>
      </c>
      <c r="B365" s="8" t="s">
        <v>361</v>
      </c>
      <c r="C365" s="8" t="s">
        <v>110</v>
      </c>
      <c r="D365" s="13">
        <v>45611</v>
      </c>
      <c r="E365" s="9">
        <v>91331</v>
      </c>
    </row>
    <row r="366" spans="1:5" x14ac:dyDescent="0.25">
      <c r="A366" s="8" t="s">
        <v>1828</v>
      </c>
      <c r="B366" s="8" t="s">
        <v>361</v>
      </c>
      <c r="C366" s="8" t="s">
        <v>91</v>
      </c>
      <c r="D366" s="13">
        <v>45623</v>
      </c>
      <c r="E366" s="9">
        <v>154503</v>
      </c>
    </row>
    <row r="367" spans="1:5" x14ac:dyDescent="0.25">
      <c r="A367" s="8" t="s">
        <v>1829</v>
      </c>
      <c r="B367" s="8" t="s">
        <v>361</v>
      </c>
      <c r="C367" s="8" t="s">
        <v>35</v>
      </c>
      <c r="D367" s="13">
        <v>45633</v>
      </c>
      <c r="E367" s="9">
        <v>169206</v>
      </c>
    </row>
    <row r="368" spans="1:5" x14ac:dyDescent="0.25">
      <c r="A368" s="8" t="s">
        <v>1830</v>
      </c>
      <c r="B368" s="8" t="s">
        <v>361</v>
      </c>
      <c r="C368" s="8" t="s">
        <v>33</v>
      </c>
      <c r="D368" s="13">
        <v>45638</v>
      </c>
      <c r="E368" s="9">
        <v>105931</v>
      </c>
    </row>
    <row r="369" spans="1:5" x14ac:dyDescent="0.25">
      <c r="A369" s="8" t="s">
        <v>1831</v>
      </c>
      <c r="B369" s="8" t="s">
        <v>361</v>
      </c>
      <c r="C369" s="8" t="s">
        <v>48</v>
      </c>
      <c r="D369" s="13">
        <v>45640</v>
      </c>
      <c r="E369" s="9">
        <v>76929</v>
      </c>
    </row>
    <row r="370" spans="1:5" x14ac:dyDescent="0.25">
      <c r="A370" s="8" t="s">
        <v>1832</v>
      </c>
      <c r="B370" s="8" t="s">
        <v>361</v>
      </c>
      <c r="C370" s="8" t="s">
        <v>8</v>
      </c>
      <c r="D370" s="13">
        <v>45646</v>
      </c>
      <c r="E370" s="9">
        <v>354643</v>
      </c>
    </row>
    <row r="371" spans="1:5" x14ac:dyDescent="0.25">
      <c r="A371" s="8" t="s">
        <v>1833</v>
      </c>
      <c r="B371" s="8" t="s">
        <v>361</v>
      </c>
      <c r="C371" s="8" t="s">
        <v>48</v>
      </c>
      <c r="D371" s="13">
        <v>45658</v>
      </c>
      <c r="E371" s="9">
        <v>569069</v>
      </c>
    </row>
    <row r="372" spans="1:5" x14ac:dyDescent="0.25">
      <c r="A372" s="8" t="s">
        <v>1834</v>
      </c>
      <c r="B372" s="8" t="s">
        <v>361</v>
      </c>
      <c r="C372" s="8" t="s">
        <v>6</v>
      </c>
      <c r="D372" s="13">
        <v>45695</v>
      </c>
      <c r="E372" s="9">
        <v>109458</v>
      </c>
    </row>
    <row r="373" spans="1:5" x14ac:dyDescent="0.25">
      <c r="A373" s="8" t="s">
        <v>1835</v>
      </c>
      <c r="B373" s="8" t="s">
        <v>361</v>
      </c>
      <c r="C373" s="8" t="s">
        <v>14</v>
      </c>
      <c r="D373" s="13">
        <v>45718</v>
      </c>
      <c r="E373" s="9">
        <v>82151</v>
      </c>
    </row>
    <row r="374" spans="1:5" x14ac:dyDescent="0.25">
      <c r="A374" s="8" t="s">
        <v>1836</v>
      </c>
      <c r="B374" s="8" t="s">
        <v>361</v>
      </c>
      <c r="C374" s="8" t="s">
        <v>35</v>
      </c>
      <c r="D374" s="13">
        <v>45732</v>
      </c>
      <c r="E374" s="9">
        <v>110680</v>
      </c>
    </row>
    <row r="375" spans="1:5" x14ac:dyDescent="0.25">
      <c r="A375" s="8" t="s">
        <v>1837</v>
      </c>
      <c r="B375" s="8" t="s">
        <v>361</v>
      </c>
      <c r="C375" s="8" t="s">
        <v>71</v>
      </c>
      <c r="D375" s="13">
        <v>45736</v>
      </c>
      <c r="E375" s="9">
        <v>157748</v>
      </c>
    </row>
    <row r="376" spans="1:5" x14ac:dyDescent="0.25">
      <c r="A376" s="8" t="s">
        <v>1838</v>
      </c>
      <c r="B376" s="8" t="s">
        <v>361</v>
      </c>
      <c r="C376" s="8" t="s">
        <v>55</v>
      </c>
      <c r="D376" s="13">
        <v>45743</v>
      </c>
      <c r="E376" s="9">
        <v>96431</v>
      </c>
    </row>
    <row r="377" spans="1:5" x14ac:dyDescent="0.25">
      <c r="A377" s="8" t="s">
        <v>1839</v>
      </c>
      <c r="B377" s="8" t="s">
        <v>361</v>
      </c>
      <c r="C377" s="8" t="s">
        <v>14</v>
      </c>
      <c r="D377" s="13">
        <v>45752</v>
      </c>
      <c r="E377" s="9">
        <v>83987</v>
      </c>
    </row>
    <row r="378" spans="1:5" x14ac:dyDescent="0.25">
      <c r="A378" s="8" t="s">
        <v>1840</v>
      </c>
      <c r="B378" s="8" t="s">
        <v>361</v>
      </c>
      <c r="C378" s="8" t="s">
        <v>48</v>
      </c>
      <c r="D378" s="13">
        <v>45780</v>
      </c>
      <c r="E378" s="9">
        <v>145241</v>
      </c>
    </row>
    <row r="379" spans="1:5" x14ac:dyDescent="0.25">
      <c r="A379" s="8" t="s">
        <v>1841</v>
      </c>
      <c r="B379" s="8" t="s">
        <v>361</v>
      </c>
      <c r="C379" s="8" t="s">
        <v>23</v>
      </c>
      <c r="D379" s="13">
        <v>45806</v>
      </c>
      <c r="E379" s="9">
        <v>216600</v>
      </c>
    </row>
    <row r="380" spans="1:5" x14ac:dyDescent="0.25">
      <c r="A380" s="8" t="s">
        <v>1842</v>
      </c>
      <c r="B380" s="8" t="s">
        <v>361</v>
      </c>
      <c r="C380" s="8" t="s">
        <v>10</v>
      </c>
      <c r="D380" s="13">
        <v>45809</v>
      </c>
      <c r="E380" s="9">
        <v>67999</v>
      </c>
    </row>
    <row r="381" spans="1:5" x14ac:dyDescent="0.25">
      <c r="A381" s="8" t="s">
        <v>1843</v>
      </c>
      <c r="B381" s="8" t="s">
        <v>361</v>
      </c>
      <c r="C381" s="8" t="s">
        <v>108</v>
      </c>
      <c r="D381" s="13">
        <v>45818</v>
      </c>
      <c r="E381" s="9">
        <v>166321</v>
      </c>
    </row>
    <row r="382" spans="1:5" x14ac:dyDescent="0.25">
      <c r="A382" s="8" t="s">
        <v>1844</v>
      </c>
      <c r="B382" s="8" t="s">
        <v>361</v>
      </c>
      <c r="C382" s="8" t="s">
        <v>110</v>
      </c>
      <c r="D382" s="13">
        <v>45829</v>
      </c>
      <c r="E382" s="9">
        <v>151937</v>
      </c>
    </row>
    <row r="383" spans="1:5" x14ac:dyDescent="0.25">
      <c r="A383" s="8" t="s">
        <v>1845</v>
      </c>
      <c r="B383" s="8" t="s">
        <v>361</v>
      </c>
      <c r="C383" s="8" t="s">
        <v>14</v>
      </c>
      <c r="D383" s="13">
        <v>45848</v>
      </c>
      <c r="E383" s="9">
        <v>162172</v>
      </c>
    </row>
    <row r="384" spans="1:5" x14ac:dyDescent="0.25">
      <c r="A384" s="8" t="s">
        <v>1846</v>
      </c>
      <c r="B384" s="8" t="s">
        <v>361</v>
      </c>
      <c r="C384" s="8" t="s">
        <v>35</v>
      </c>
      <c r="D384" s="13">
        <v>45853</v>
      </c>
      <c r="E384" s="9">
        <v>123188</v>
      </c>
    </row>
    <row r="385" spans="1:5" x14ac:dyDescent="0.25">
      <c r="A385" s="8" t="s">
        <v>1847</v>
      </c>
      <c r="B385" s="8" t="s">
        <v>361</v>
      </c>
      <c r="C385" s="8" t="s">
        <v>10</v>
      </c>
      <c r="D385" s="13">
        <v>45859</v>
      </c>
      <c r="E385" s="9">
        <v>124462</v>
      </c>
    </row>
    <row r="386" spans="1:5" x14ac:dyDescent="0.25">
      <c r="A386" s="8" t="s">
        <v>396</v>
      </c>
      <c r="B386" s="8" t="s">
        <v>397</v>
      </c>
      <c r="C386" s="8" t="s">
        <v>29</v>
      </c>
      <c r="D386" s="13">
        <v>45464</v>
      </c>
      <c r="E386" s="9">
        <v>278463</v>
      </c>
    </row>
    <row r="387" spans="1:5" x14ac:dyDescent="0.25">
      <c r="A387" s="8" t="s">
        <v>398</v>
      </c>
      <c r="B387" s="8" t="s">
        <v>397</v>
      </c>
      <c r="C387" s="8" t="s">
        <v>6</v>
      </c>
      <c r="D387" s="13">
        <v>45474</v>
      </c>
      <c r="E387" s="9">
        <v>1067516</v>
      </c>
    </row>
    <row r="388" spans="1:5" x14ac:dyDescent="0.25">
      <c r="A388" s="8" t="s">
        <v>399</v>
      </c>
      <c r="B388" s="8" t="s">
        <v>397</v>
      </c>
      <c r="C388" s="8" t="s">
        <v>73</v>
      </c>
      <c r="D388" s="13">
        <v>45480</v>
      </c>
      <c r="E388" s="9">
        <v>245154</v>
      </c>
    </row>
    <row r="389" spans="1:5" x14ac:dyDescent="0.25">
      <c r="A389" s="8" t="s">
        <v>400</v>
      </c>
      <c r="B389" s="8" t="s">
        <v>397</v>
      </c>
      <c r="C389" s="8" t="s">
        <v>73</v>
      </c>
      <c r="D389" s="13">
        <v>45512</v>
      </c>
      <c r="E389" s="9">
        <v>187184</v>
      </c>
    </row>
    <row r="390" spans="1:5" x14ac:dyDescent="0.25">
      <c r="A390" s="8" t="s">
        <v>401</v>
      </c>
      <c r="B390" s="8" t="s">
        <v>397</v>
      </c>
      <c r="C390" s="8" t="s">
        <v>25</v>
      </c>
      <c r="D390" s="13">
        <v>45520</v>
      </c>
      <c r="E390" s="9">
        <v>421899</v>
      </c>
    </row>
    <row r="391" spans="1:5" x14ac:dyDescent="0.25">
      <c r="A391" s="8" t="s">
        <v>402</v>
      </c>
      <c r="B391" s="8" t="s">
        <v>397</v>
      </c>
      <c r="C391" s="8" t="s">
        <v>17</v>
      </c>
      <c r="D391" s="13">
        <v>45532</v>
      </c>
      <c r="E391" s="9">
        <v>506077</v>
      </c>
    </row>
    <row r="392" spans="1:5" x14ac:dyDescent="0.25">
      <c r="A392" s="8" t="s">
        <v>403</v>
      </c>
      <c r="B392" s="8" t="s">
        <v>397</v>
      </c>
      <c r="C392" s="8" t="s">
        <v>55</v>
      </c>
      <c r="D392" s="13">
        <v>45535</v>
      </c>
      <c r="E392" s="9">
        <v>251999</v>
      </c>
    </row>
    <row r="393" spans="1:5" x14ac:dyDescent="0.25">
      <c r="A393" s="8" t="s">
        <v>404</v>
      </c>
      <c r="B393" s="8" t="s">
        <v>397</v>
      </c>
      <c r="C393" s="8" t="s">
        <v>44</v>
      </c>
      <c r="D393" s="13">
        <v>45538</v>
      </c>
      <c r="E393" s="9">
        <v>235109</v>
      </c>
    </row>
    <row r="394" spans="1:5" x14ac:dyDescent="0.25">
      <c r="A394" s="8" t="s">
        <v>405</v>
      </c>
      <c r="B394" s="8" t="s">
        <v>397</v>
      </c>
      <c r="C394" s="8" t="s">
        <v>8</v>
      </c>
      <c r="D394" s="13">
        <v>45550</v>
      </c>
      <c r="E394" s="9">
        <v>379281</v>
      </c>
    </row>
    <row r="395" spans="1:5" x14ac:dyDescent="0.25">
      <c r="A395" s="8" t="s">
        <v>406</v>
      </c>
      <c r="B395" s="8" t="s">
        <v>397</v>
      </c>
      <c r="C395" s="8" t="s">
        <v>108</v>
      </c>
      <c r="D395" s="13">
        <v>45559</v>
      </c>
      <c r="E395" s="9">
        <v>404247</v>
      </c>
    </row>
    <row r="396" spans="1:5" x14ac:dyDescent="0.25">
      <c r="A396" s="8" t="s">
        <v>407</v>
      </c>
      <c r="B396" s="8" t="s">
        <v>397</v>
      </c>
      <c r="C396" s="8" t="s">
        <v>8</v>
      </c>
      <c r="D396" s="13">
        <v>45570</v>
      </c>
      <c r="E396" s="9">
        <v>230337</v>
      </c>
    </row>
    <row r="397" spans="1:5" x14ac:dyDescent="0.25">
      <c r="A397" s="8" t="s">
        <v>408</v>
      </c>
      <c r="B397" s="8" t="s">
        <v>397</v>
      </c>
      <c r="C397" s="8" t="s">
        <v>73</v>
      </c>
      <c r="D397" s="13">
        <v>45578</v>
      </c>
      <c r="E397" s="9">
        <v>353847</v>
      </c>
    </row>
    <row r="398" spans="1:5" x14ac:dyDescent="0.25">
      <c r="A398" s="8" t="s">
        <v>409</v>
      </c>
      <c r="B398" s="8" t="s">
        <v>397</v>
      </c>
      <c r="C398" s="8" t="s">
        <v>55</v>
      </c>
      <c r="D398" s="13">
        <v>45581</v>
      </c>
      <c r="E398" s="9">
        <v>310727</v>
      </c>
    </row>
    <row r="399" spans="1:5" x14ac:dyDescent="0.25">
      <c r="A399" s="8" t="s">
        <v>410</v>
      </c>
      <c r="B399" s="8" t="s">
        <v>397</v>
      </c>
      <c r="C399" s="8" t="s">
        <v>37</v>
      </c>
      <c r="D399" s="13">
        <v>45585</v>
      </c>
      <c r="E399" s="9">
        <v>438387</v>
      </c>
    </row>
    <row r="400" spans="1:5" x14ac:dyDescent="0.25">
      <c r="A400" s="8" t="s">
        <v>411</v>
      </c>
      <c r="B400" s="8" t="s">
        <v>397</v>
      </c>
      <c r="C400" s="8" t="s">
        <v>27</v>
      </c>
      <c r="D400" s="13">
        <v>45609</v>
      </c>
      <c r="E400" s="9">
        <v>301516</v>
      </c>
    </row>
    <row r="401" spans="1:5" x14ac:dyDescent="0.25">
      <c r="A401" s="8" t="s">
        <v>412</v>
      </c>
      <c r="B401" s="8" t="s">
        <v>397</v>
      </c>
      <c r="C401" s="8" t="s">
        <v>110</v>
      </c>
      <c r="D401" s="13">
        <v>45635</v>
      </c>
      <c r="E401" s="9">
        <v>203047</v>
      </c>
    </row>
    <row r="402" spans="1:5" x14ac:dyDescent="0.25">
      <c r="A402" s="8" t="s">
        <v>413</v>
      </c>
      <c r="B402" s="8" t="s">
        <v>397</v>
      </c>
      <c r="C402" s="8" t="s">
        <v>50</v>
      </c>
      <c r="D402" s="13">
        <v>45637</v>
      </c>
      <c r="E402" s="9">
        <v>424329</v>
      </c>
    </row>
    <row r="403" spans="1:5" x14ac:dyDescent="0.25">
      <c r="A403" s="8" t="s">
        <v>414</v>
      </c>
      <c r="B403" s="8" t="s">
        <v>397</v>
      </c>
      <c r="C403" s="8" t="s">
        <v>91</v>
      </c>
      <c r="D403" s="13">
        <v>45641</v>
      </c>
      <c r="E403" s="9">
        <v>157500</v>
      </c>
    </row>
    <row r="404" spans="1:5" x14ac:dyDescent="0.25">
      <c r="A404" s="8" t="s">
        <v>415</v>
      </c>
      <c r="B404" s="8" t="s">
        <v>397</v>
      </c>
      <c r="C404" s="8" t="s">
        <v>109</v>
      </c>
      <c r="D404" s="13">
        <v>45652</v>
      </c>
      <c r="E404" s="9">
        <v>298594</v>
      </c>
    </row>
    <row r="405" spans="1:5" x14ac:dyDescent="0.25">
      <c r="A405" s="8" t="s">
        <v>416</v>
      </c>
      <c r="B405" s="8" t="s">
        <v>397</v>
      </c>
      <c r="C405" s="8" t="s">
        <v>35</v>
      </c>
      <c r="D405" s="13">
        <v>45674</v>
      </c>
      <c r="E405" s="9">
        <v>366263</v>
      </c>
    </row>
    <row r="406" spans="1:5" x14ac:dyDescent="0.25">
      <c r="A406" s="8" t="s">
        <v>417</v>
      </c>
      <c r="B406" s="8" t="s">
        <v>418</v>
      </c>
      <c r="C406" s="8" t="s">
        <v>50</v>
      </c>
      <c r="D406" s="13">
        <v>45374</v>
      </c>
      <c r="E406" s="9">
        <v>421691</v>
      </c>
    </row>
    <row r="407" spans="1:5" x14ac:dyDescent="0.25">
      <c r="A407" s="8" t="s">
        <v>419</v>
      </c>
      <c r="B407" s="8" t="s">
        <v>418</v>
      </c>
      <c r="C407" s="8" t="s">
        <v>6</v>
      </c>
      <c r="D407" s="13">
        <v>45379</v>
      </c>
      <c r="E407" s="9">
        <v>351855</v>
      </c>
    </row>
    <row r="408" spans="1:5" x14ac:dyDescent="0.25">
      <c r="A408" s="8" t="s">
        <v>420</v>
      </c>
      <c r="B408" s="8" t="s">
        <v>418</v>
      </c>
      <c r="C408" s="8" t="s">
        <v>17</v>
      </c>
      <c r="D408" s="13">
        <v>45384</v>
      </c>
      <c r="E408" s="9">
        <v>432607</v>
      </c>
    </row>
    <row r="409" spans="1:5" x14ac:dyDescent="0.25">
      <c r="A409" s="8" t="s">
        <v>421</v>
      </c>
      <c r="B409" s="8" t="s">
        <v>418</v>
      </c>
      <c r="C409" s="8" t="s">
        <v>8</v>
      </c>
      <c r="D409" s="13">
        <v>45388</v>
      </c>
      <c r="E409" s="9">
        <v>366624</v>
      </c>
    </row>
    <row r="410" spans="1:5" x14ac:dyDescent="0.25">
      <c r="A410" s="8" t="s">
        <v>422</v>
      </c>
      <c r="B410" s="8" t="s">
        <v>418</v>
      </c>
      <c r="C410" s="8" t="s">
        <v>48</v>
      </c>
      <c r="D410" s="13">
        <v>45388</v>
      </c>
      <c r="E410" s="9">
        <v>398480</v>
      </c>
    </row>
    <row r="411" spans="1:5" x14ac:dyDescent="0.25">
      <c r="A411" s="8" t="s">
        <v>423</v>
      </c>
      <c r="B411" s="8" t="s">
        <v>418</v>
      </c>
      <c r="C411" s="8" t="s">
        <v>33</v>
      </c>
      <c r="D411" s="13">
        <v>45403</v>
      </c>
      <c r="E411" s="9">
        <v>483199</v>
      </c>
    </row>
    <row r="412" spans="1:5" x14ac:dyDescent="0.25">
      <c r="A412" s="8" t="s">
        <v>424</v>
      </c>
      <c r="B412" s="8" t="s">
        <v>418</v>
      </c>
      <c r="C412" s="8" t="s">
        <v>33</v>
      </c>
      <c r="D412" s="13">
        <v>45420</v>
      </c>
      <c r="E412" s="9">
        <v>283870</v>
      </c>
    </row>
    <row r="413" spans="1:5" x14ac:dyDescent="0.25">
      <c r="A413" s="8" t="s">
        <v>425</v>
      </c>
      <c r="B413" s="8" t="s">
        <v>418</v>
      </c>
      <c r="C413" s="8" t="s">
        <v>44</v>
      </c>
      <c r="D413" s="13">
        <v>45424</v>
      </c>
      <c r="E413" s="9">
        <v>243724</v>
      </c>
    </row>
    <row r="414" spans="1:5" x14ac:dyDescent="0.25">
      <c r="A414" s="8" t="s">
        <v>426</v>
      </c>
      <c r="B414" s="8" t="s">
        <v>418</v>
      </c>
      <c r="C414" s="8" t="s">
        <v>19</v>
      </c>
      <c r="D414" s="13">
        <v>45430</v>
      </c>
      <c r="E414" s="9">
        <v>402320</v>
      </c>
    </row>
    <row r="415" spans="1:5" x14ac:dyDescent="0.25">
      <c r="A415" s="8" t="s">
        <v>427</v>
      </c>
      <c r="B415" s="8" t="s">
        <v>418</v>
      </c>
      <c r="C415" s="8" t="s">
        <v>23</v>
      </c>
      <c r="D415" s="13">
        <v>45445</v>
      </c>
      <c r="E415" s="9">
        <v>395123</v>
      </c>
    </row>
    <row r="416" spans="1:5" x14ac:dyDescent="0.25">
      <c r="A416" s="8" t="s">
        <v>428</v>
      </c>
      <c r="B416" s="8" t="s">
        <v>418</v>
      </c>
      <c r="C416" s="8" t="s">
        <v>108</v>
      </c>
      <c r="D416" s="13">
        <v>45461</v>
      </c>
      <c r="E416" s="9">
        <v>248933</v>
      </c>
    </row>
    <row r="417" spans="1:5" x14ac:dyDescent="0.25">
      <c r="A417" s="8" t="s">
        <v>429</v>
      </c>
      <c r="B417" s="8" t="s">
        <v>418</v>
      </c>
      <c r="C417" s="8" t="s">
        <v>91</v>
      </c>
      <c r="D417" s="13">
        <v>45490</v>
      </c>
      <c r="E417" s="9">
        <v>411237</v>
      </c>
    </row>
    <row r="418" spans="1:5" x14ac:dyDescent="0.25">
      <c r="A418" s="8" t="s">
        <v>430</v>
      </c>
      <c r="B418" s="8" t="s">
        <v>418</v>
      </c>
      <c r="C418" s="8" t="s">
        <v>55</v>
      </c>
      <c r="D418" s="13">
        <v>45503</v>
      </c>
      <c r="E418" s="9">
        <v>234448</v>
      </c>
    </row>
    <row r="419" spans="1:5" x14ac:dyDescent="0.25">
      <c r="A419" s="8" t="s">
        <v>431</v>
      </c>
      <c r="B419" s="8" t="s">
        <v>418</v>
      </c>
      <c r="C419" s="8" t="s">
        <v>29</v>
      </c>
      <c r="D419" s="13">
        <v>45520</v>
      </c>
      <c r="E419" s="9">
        <v>545292</v>
      </c>
    </row>
    <row r="420" spans="1:5" x14ac:dyDescent="0.25">
      <c r="A420" s="8" t="s">
        <v>432</v>
      </c>
      <c r="B420" s="8" t="s">
        <v>418</v>
      </c>
      <c r="C420" s="8" t="s">
        <v>35</v>
      </c>
      <c r="D420" s="13">
        <v>45528</v>
      </c>
      <c r="E420" s="9">
        <v>382838</v>
      </c>
    </row>
    <row r="421" spans="1:5" x14ac:dyDescent="0.25">
      <c r="A421" s="8" t="s">
        <v>433</v>
      </c>
      <c r="B421" s="8" t="s">
        <v>418</v>
      </c>
      <c r="C421" s="8" t="s">
        <v>55</v>
      </c>
      <c r="D421" s="13">
        <v>45551</v>
      </c>
      <c r="E421" s="9">
        <v>597273</v>
      </c>
    </row>
    <row r="422" spans="1:5" x14ac:dyDescent="0.25">
      <c r="A422" s="8" t="s">
        <v>434</v>
      </c>
      <c r="B422" s="8" t="s">
        <v>418</v>
      </c>
      <c r="C422" s="8" t="s">
        <v>14</v>
      </c>
      <c r="D422" s="13">
        <v>45556</v>
      </c>
      <c r="E422" s="9">
        <v>354183</v>
      </c>
    </row>
    <row r="423" spans="1:5" x14ac:dyDescent="0.25">
      <c r="A423" s="8" t="s">
        <v>435</v>
      </c>
      <c r="B423" s="8" t="s">
        <v>418</v>
      </c>
      <c r="C423" s="8" t="s">
        <v>55</v>
      </c>
      <c r="D423" s="13">
        <v>45561</v>
      </c>
      <c r="E423" s="9">
        <v>234200</v>
      </c>
    </row>
    <row r="424" spans="1:5" x14ac:dyDescent="0.25">
      <c r="A424" s="8" t="s">
        <v>436</v>
      </c>
      <c r="B424" s="8" t="s">
        <v>418</v>
      </c>
      <c r="C424" s="8" t="s">
        <v>50</v>
      </c>
      <c r="D424" s="13">
        <v>45569</v>
      </c>
      <c r="E424" s="9">
        <v>346045</v>
      </c>
    </row>
    <row r="425" spans="1:5" x14ac:dyDescent="0.25">
      <c r="A425" s="8" t="s">
        <v>437</v>
      </c>
      <c r="B425" s="8" t="s">
        <v>418</v>
      </c>
      <c r="C425" s="8" t="s">
        <v>44</v>
      </c>
      <c r="D425" s="13">
        <v>45577</v>
      </c>
      <c r="E425" s="9">
        <v>515295</v>
      </c>
    </row>
    <row r="426" spans="1:5" x14ac:dyDescent="0.25">
      <c r="A426" s="8" t="s">
        <v>438</v>
      </c>
      <c r="B426" s="8" t="s">
        <v>418</v>
      </c>
      <c r="C426" s="8" t="s">
        <v>71</v>
      </c>
      <c r="D426" s="13">
        <v>45579</v>
      </c>
      <c r="E426" s="9">
        <v>295022</v>
      </c>
    </row>
    <row r="427" spans="1:5" x14ac:dyDescent="0.25">
      <c r="A427" s="8" t="s">
        <v>439</v>
      </c>
      <c r="B427" s="8" t="s">
        <v>418</v>
      </c>
      <c r="C427" s="8" t="s">
        <v>91</v>
      </c>
      <c r="D427" s="13">
        <v>45596</v>
      </c>
      <c r="E427" s="9">
        <v>219778</v>
      </c>
    </row>
    <row r="428" spans="1:5" x14ac:dyDescent="0.25">
      <c r="A428" s="8" t="s">
        <v>440</v>
      </c>
      <c r="B428" s="8" t="s">
        <v>441</v>
      </c>
      <c r="C428" s="8" t="s">
        <v>48</v>
      </c>
      <c r="D428" s="13">
        <v>45155</v>
      </c>
      <c r="E428" s="9">
        <v>143775</v>
      </c>
    </row>
    <row r="429" spans="1:5" x14ac:dyDescent="0.25">
      <c r="A429" s="8" t="s">
        <v>442</v>
      </c>
      <c r="B429" s="8" t="s">
        <v>441</v>
      </c>
      <c r="C429" s="8" t="s">
        <v>12</v>
      </c>
      <c r="D429" s="13">
        <v>45165</v>
      </c>
      <c r="E429" s="9">
        <v>53083</v>
      </c>
    </row>
    <row r="430" spans="1:5" x14ac:dyDescent="0.25">
      <c r="A430" s="8" t="s">
        <v>443</v>
      </c>
      <c r="B430" s="8" t="s">
        <v>441</v>
      </c>
      <c r="C430" s="8" t="s">
        <v>44</v>
      </c>
      <c r="D430" s="13">
        <v>45177</v>
      </c>
      <c r="E430" s="9">
        <v>60235</v>
      </c>
    </row>
    <row r="431" spans="1:5" x14ac:dyDescent="0.25">
      <c r="A431" s="8" t="s">
        <v>444</v>
      </c>
      <c r="B431" s="8" t="s">
        <v>441</v>
      </c>
      <c r="C431" s="8" t="s">
        <v>10</v>
      </c>
      <c r="D431" s="13">
        <v>45190</v>
      </c>
      <c r="E431" s="9">
        <v>34014</v>
      </c>
    </row>
    <row r="432" spans="1:5" x14ac:dyDescent="0.25">
      <c r="A432" s="8" t="s">
        <v>445</v>
      </c>
      <c r="B432" s="8" t="s">
        <v>441</v>
      </c>
      <c r="C432" s="8" t="s">
        <v>37</v>
      </c>
      <c r="D432" s="13">
        <v>45192</v>
      </c>
      <c r="E432" s="9">
        <v>65520</v>
      </c>
    </row>
    <row r="433" spans="1:5" x14ac:dyDescent="0.25">
      <c r="A433" s="8" t="s">
        <v>446</v>
      </c>
      <c r="B433" s="8" t="s">
        <v>441</v>
      </c>
      <c r="C433" s="8" t="s">
        <v>55</v>
      </c>
      <c r="D433" s="13">
        <v>45203</v>
      </c>
      <c r="E433" s="9">
        <v>41270</v>
      </c>
    </row>
    <row r="434" spans="1:5" x14ac:dyDescent="0.25">
      <c r="A434" s="8" t="s">
        <v>447</v>
      </c>
      <c r="B434" s="8" t="s">
        <v>441</v>
      </c>
      <c r="C434" s="8" t="s">
        <v>35</v>
      </c>
      <c r="D434" s="13">
        <v>45204</v>
      </c>
      <c r="E434" s="9">
        <v>42874</v>
      </c>
    </row>
    <row r="435" spans="1:5" x14ac:dyDescent="0.25">
      <c r="A435" s="8" t="s">
        <v>448</v>
      </c>
      <c r="B435" s="8" t="s">
        <v>441</v>
      </c>
      <c r="C435" s="8" t="s">
        <v>50</v>
      </c>
      <c r="D435" s="13">
        <v>45250</v>
      </c>
      <c r="E435" s="9">
        <v>50442</v>
      </c>
    </row>
    <row r="436" spans="1:5" x14ac:dyDescent="0.25">
      <c r="A436" s="8" t="s">
        <v>449</v>
      </c>
      <c r="B436" s="8" t="s">
        <v>441</v>
      </c>
      <c r="C436" s="8" t="s">
        <v>108</v>
      </c>
      <c r="D436" s="13">
        <v>45258</v>
      </c>
      <c r="E436" s="9">
        <v>56250</v>
      </c>
    </row>
    <row r="437" spans="1:5" x14ac:dyDescent="0.25">
      <c r="A437" s="8" t="s">
        <v>450</v>
      </c>
      <c r="B437" s="8" t="s">
        <v>441</v>
      </c>
      <c r="C437" s="8" t="s">
        <v>48</v>
      </c>
      <c r="D437" s="13">
        <v>45264</v>
      </c>
      <c r="E437" s="9">
        <v>59314</v>
      </c>
    </row>
    <row r="438" spans="1:5" x14ac:dyDescent="0.25">
      <c r="A438" s="8" t="s">
        <v>451</v>
      </c>
      <c r="B438" s="8" t="s">
        <v>441</v>
      </c>
      <c r="C438" s="8" t="s">
        <v>71</v>
      </c>
      <c r="D438" s="13">
        <v>45277</v>
      </c>
      <c r="E438" s="9">
        <v>52398</v>
      </c>
    </row>
    <row r="439" spans="1:5" x14ac:dyDescent="0.25">
      <c r="A439" s="8" t="s">
        <v>452</v>
      </c>
      <c r="B439" s="8" t="s">
        <v>441</v>
      </c>
      <c r="C439" s="8" t="s">
        <v>71</v>
      </c>
      <c r="D439" s="13">
        <v>45287</v>
      </c>
      <c r="E439" s="9">
        <v>50157</v>
      </c>
    </row>
    <row r="440" spans="1:5" x14ac:dyDescent="0.25">
      <c r="A440" s="8" t="s">
        <v>453</v>
      </c>
      <c r="B440" s="8" t="s">
        <v>441</v>
      </c>
      <c r="C440" s="8" t="s">
        <v>8</v>
      </c>
      <c r="D440" s="13">
        <v>45290</v>
      </c>
      <c r="E440" s="9">
        <v>42863</v>
      </c>
    </row>
    <row r="441" spans="1:5" x14ac:dyDescent="0.25">
      <c r="A441" s="8" t="s">
        <v>454</v>
      </c>
      <c r="B441" s="8" t="s">
        <v>441</v>
      </c>
      <c r="C441" s="8" t="s">
        <v>108</v>
      </c>
      <c r="D441" s="13">
        <v>45317</v>
      </c>
      <c r="E441" s="9">
        <v>38320</v>
      </c>
    </row>
    <row r="442" spans="1:5" x14ac:dyDescent="0.25">
      <c r="A442" s="8" t="s">
        <v>455</v>
      </c>
      <c r="B442" s="8" t="s">
        <v>441</v>
      </c>
      <c r="C442" s="8" t="s">
        <v>29</v>
      </c>
      <c r="D442" s="13">
        <v>45356</v>
      </c>
      <c r="E442" s="9">
        <v>69884</v>
      </c>
    </row>
    <row r="443" spans="1:5" x14ac:dyDescent="0.25">
      <c r="A443" s="8" t="s">
        <v>456</v>
      </c>
      <c r="B443" s="8" t="s">
        <v>441</v>
      </c>
      <c r="C443" s="8" t="s">
        <v>23</v>
      </c>
      <c r="D443" s="13">
        <v>45360</v>
      </c>
      <c r="E443" s="9">
        <v>45995</v>
      </c>
    </row>
    <row r="444" spans="1:5" x14ac:dyDescent="0.25">
      <c r="A444" s="8" t="s">
        <v>457</v>
      </c>
      <c r="B444" s="8" t="s">
        <v>441</v>
      </c>
      <c r="C444" s="8" t="s">
        <v>110</v>
      </c>
      <c r="D444" s="13">
        <v>45365</v>
      </c>
      <c r="E444" s="9">
        <v>64914</v>
      </c>
    </row>
    <row r="445" spans="1:5" x14ac:dyDescent="0.25">
      <c r="A445" s="8" t="s">
        <v>458</v>
      </c>
      <c r="B445" s="8" t="s">
        <v>441</v>
      </c>
      <c r="C445" s="8" t="s">
        <v>19</v>
      </c>
      <c r="D445" s="13">
        <v>45370</v>
      </c>
      <c r="E445" s="9">
        <v>58946</v>
      </c>
    </row>
    <row r="446" spans="1:5" x14ac:dyDescent="0.25">
      <c r="A446" s="8" t="s">
        <v>459</v>
      </c>
      <c r="B446" s="8" t="s">
        <v>441</v>
      </c>
      <c r="C446" s="8" t="s">
        <v>37</v>
      </c>
      <c r="D446" s="13">
        <v>45377</v>
      </c>
      <c r="E446" s="9">
        <v>54115</v>
      </c>
    </row>
    <row r="447" spans="1:5" x14ac:dyDescent="0.25">
      <c r="A447" s="8" t="s">
        <v>460</v>
      </c>
      <c r="B447" s="8" t="s">
        <v>441</v>
      </c>
      <c r="C447" s="8" t="s">
        <v>19</v>
      </c>
      <c r="D447" s="13">
        <v>45378</v>
      </c>
      <c r="E447" s="9">
        <v>29541</v>
      </c>
    </row>
    <row r="448" spans="1:5" x14ac:dyDescent="0.25">
      <c r="A448" s="8" t="s">
        <v>461</v>
      </c>
      <c r="B448" s="8" t="s">
        <v>441</v>
      </c>
      <c r="C448" s="8" t="s">
        <v>21</v>
      </c>
      <c r="D448" s="13">
        <v>45379</v>
      </c>
      <c r="E448" s="9">
        <v>39942</v>
      </c>
    </row>
    <row r="449" spans="1:5" x14ac:dyDescent="0.25">
      <c r="A449" s="8" t="s">
        <v>462</v>
      </c>
      <c r="B449" s="8" t="s">
        <v>441</v>
      </c>
      <c r="C449" s="8" t="s">
        <v>23</v>
      </c>
      <c r="D449" s="13">
        <v>45382</v>
      </c>
      <c r="E449" s="9">
        <v>36780</v>
      </c>
    </row>
    <row r="450" spans="1:5" x14ac:dyDescent="0.25">
      <c r="A450" s="8" t="s">
        <v>463</v>
      </c>
      <c r="B450" s="8" t="s">
        <v>441</v>
      </c>
      <c r="C450" s="8" t="s">
        <v>110</v>
      </c>
      <c r="D450" s="13">
        <v>45388</v>
      </c>
      <c r="E450" s="9">
        <v>52153</v>
      </c>
    </row>
    <row r="451" spans="1:5" x14ac:dyDescent="0.25">
      <c r="A451" s="8" t="s">
        <v>464</v>
      </c>
      <c r="B451" s="8" t="s">
        <v>441</v>
      </c>
      <c r="C451" s="8" t="s">
        <v>108</v>
      </c>
      <c r="D451" s="13">
        <v>45425</v>
      </c>
      <c r="E451" s="9">
        <v>63531</v>
      </c>
    </row>
    <row r="452" spans="1:5" x14ac:dyDescent="0.25">
      <c r="A452" s="8" t="s">
        <v>465</v>
      </c>
      <c r="B452" s="8" t="s">
        <v>441</v>
      </c>
      <c r="C452" s="8" t="s">
        <v>37</v>
      </c>
      <c r="D452" s="13">
        <v>45448</v>
      </c>
      <c r="E452" s="9">
        <v>37899</v>
      </c>
    </row>
    <row r="453" spans="1:5" x14ac:dyDescent="0.25">
      <c r="A453" s="8" t="s">
        <v>466</v>
      </c>
      <c r="B453" s="8" t="s">
        <v>441</v>
      </c>
      <c r="C453" s="8" t="s">
        <v>35</v>
      </c>
      <c r="D453" s="13">
        <v>45505</v>
      </c>
      <c r="E453" s="9">
        <v>32657</v>
      </c>
    </row>
    <row r="454" spans="1:5" x14ac:dyDescent="0.25">
      <c r="A454" s="8" t="s">
        <v>467</v>
      </c>
      <c r="B454" s="8" t="s">
        <v>441</v>
      </c>
      <c r="C454" s="8" t="s">
        <v>44</v>
      </c>
      <c r="D454" s="13">
        <v>45509</v>
      </c>
      <c r="E454" s="9">
        <v>207389</v>
      </c>
    </row>
    <row r="455" spans="1:5" x14ac:dyDescent="0.25">
      <c r="A455" s="8" t="s">
        <v>468</v>
      </c>
      <c r="B455" s="8" t="s">
        <v>441</v>
      </c>
      <c r="C455" s="8" t="s">
        <v>73</v>
      </c>
      <c r="D455" s="13">
        <v>45510</v>
      </c>
      <c r="E455" s="9">
        <v>61384</v>
      </c>
    </row>
    <row r="456" spans="1:5" x14ac:dyDescent="0.25">
      <c r="A456" s="8" t="s">
        <v>469</v>
      </c>
      <c r="B456" s="8" t="s">
        <v>441</v>
      </c>
      <c r="C456" s="8" t="s">
        <v>6</v>
      </c>
      <c r="D456" s="13">
        <v>45516</v>
      </c>
      <c r="E456" s="9">
        <v>178021</v>
      </c>
    </row>
    <row r="457" spans="1:5" x14ac:dyDescent="0.25">
      <c r="A457" s="8" t="s">
        <v>470</v>
      </c>
      <c r="B457" s="8" t="s">
        <v>441</v>
      </c>
      <c r="C457" s="8" t="s">
        <v>50</v>
      </c>
      <c r="D457" s="13">
        <v>45518</v>
      </c>
      <c r="E457" s="9">
        <v>52377</v>
      </c>
    </row>
    <row r="458" spans="1:5" x14ac:dyDescent="0.25">
      <c r="A458" s="8" t="s">
        <v>471</v>
      </c>
      <c r="B458" s="8" t="s">
        <v>441</v>
      </c>
      <c r="C458" s="8" t="s">
        <v>50</v>
      </c>
      <c r="D458" s="13">
        <v>45518</v>
      </c>
      <c r="E458" s="9">
        <v>43837</v>
      </c>
    </row>
    <row r="459" spans="1:5" x14ac:dyDescent="0.25">
      <c r="A459" s="8" t="s">
        <v>472</v>
      </c>
      <c r="B459" s="8" t="s">
        <v>441</v>
      </c>
      <c r="C459" s="8" t="s">
        <v>73</v>
      </c>
      <c r="D459" s="13">
        <v>45519</v>
      </c>
      <c r="E459" s="9">
        <v>62421</v>
      </c>
    </row>
    <row r="460" spans="1:5" x14ac:dyDescent="0.25">
      <c r="A460" s="8" t="s">
        <v>473</v>
      </c>
      <c r="B460" s="8" t="s">
        <v>441</v>
      </c>
      <c r="C460" s="8" t="s">
        <v>27</v>
      </c>
      <c r="D460" s="13">
        <v>45529</v>
      </c>
      <c r="E460" s="9">
        <v>69762</v>
      </c>
    </row>
    <row r="461" spans="1:5" x14ac:dyDescent="0.25">
      <c r="A461" s="8" t="s">
        <v>474</v>
      </c>
      <c r="B461" s="8" t="s">
        <v>441</v>
      </c>
      <c r="C461" s="8" t="s">
        <v>27</v>
      </c>
      <c r="D461" s="13">
        <v>45543</v>
      </c>
      <c r="E461" s="9">
        <v>37615</v>
      </c>
    </row>
    <row r="462" spans="1:5" x14ac:dyDescent="0.25">
      <c r="A462" s="8" t="s">
        <v>475</v>
      </c>
      <c r="B462" s="8" t="s">
        <v>441</v>
      </c>
      <c r="C462" s="8" t="s">
        <v>23</v>
      </c>
      <c r="D462" s="13">
        <v>45545</v>
      </c>
      <c r="E462" s="9">
        <v>45081</v>
      </c>
    </row>
    <row r="463" spans="1:5" x14ac:dyDescent="0.25">
      <c r="A463" s="8" t="s">
        <v>476</v>
      </c>
      <c r="B463" s="8" t="s">
        <v>441</v>
      </c>
      <c r="C463" s="8" t="s">
        <v>19</v>
      </c>
      <c r="D463" s="13">
        <v>45546</v>
      </c>
      <c r="E463" s="9">
        <v>49237</v>
      </c>
    </row>
    <row r="464" spans="1:5" x14ac:dyDescent="0.25">
      <c r="A464" s="8" t="s">
        <v>477</v>
      </c>
      <c r="B464" s="8" t="s">
        <v>441</v>
      </c>
      <c r="C464" s="8" t="s">
        <v>27</v>
      </c>
      <c r="D464" s="13">
        <v>45563</v>
      </c>
      <c r="E464" s="9">
        <v>70182</v>
      </c>
    </row>
    <row r="465" spans="1:5" x14ac:dyDescent="0.25">
      <c r="A465" s="8" t="s">
        <v>478</v>
      </c>
      <c r="B465" s="8" t="s">
        <v>441</v>
      </c>
      <c r="C465" s="8" t="s">
        <v>108</v>
      </c>
      <c r="D465" s="13">
        <v>45570</v>
      </c>
      <c r="E465" s="9">
        <v>39785</v>
      </c>
    </row>
    <row r="466" spans="1:5" x14ac:dyDescent="0.25">
      <c r="A466" s="8" t="s">
        <v>479</v>
      </c>
      <c r="B466" s="8" t="s">
        <v>441</v>
      </c>
      <c r="C466" s="8" t="s">
        <v>23</v>
      </c>
      <c r="D466" s="13">
        <v>45594</v>
      </c>
      <c r="E466" s="9">
        <v>124296</v>
      </c>
    </row>
    <row r="467" spans="1:5" x14ac:dyDescent="0.25">
      <c r="A467" s="8" t="s">
        <v>480</v>
      </c>
      <c r="B467" s="8" t="s">
        <v>441</v>
      </c>
      <c r="C467" s="8" t="s">
        <v>17</v>
      </c>
      <c r="D467" s="13">
        <v>45604</v>
      </c>
      <c r="E467" s="9">
        <v>64813</v>
      </c>
    </row>
    <row r="468" spans="1:5" x14ac:dyDescent="0.25">
      <c r="A468" s="8" t="s">
        <v>481</v>
      </c>
      <c r="B468" s="8" t="s">
        <v>441</v>
      </c>
      <c r="C468" s="8" t="s">
        <v>50</v>
      </c>
      <c r="D468" s="13">
        <v>45614</v>
      </c>
      <c r="E468" s="9">
        <v>86547</v>
      </c>
    </row>
    <row r="469" spans="1:5" x14ac:dyDescent="0.25">
      <c r="A469" s="8" t="s">
        <v>482</v>
      </c>
      <c r="B469" s="8" t="s">
        <v>441</v>
      </c>
      <c r="C469" s="8" t="s">
        <v>23</v>
      </c>
      <c r="D469" s="13">
        <v>45640</v>
      </c>
      <c r="E469" s="9">
        <v>46639</v>
      </c>
    </row>
    <row r="470" spans="1:5" x14ac:dyDescent="0.25">
      <c r="A470" s="8" t="s">
        <v>483</v>
      </c>
      <c r="B470" s="8" t="s">
        <v>441</v>
      </c>
      <c r="C470" s="8" t="s">
        <v>12</v>
      </c>
      <c r="D470" s="13">
        <v>45643</v>
      </c>
      <c r="E470" s="9">
        <v>45429</v>
      </c>
    </row>
    <row r="471" spans="1:5" x14ac:dyDescent="0.25">
      <c r="A471" s="8" t="s">
        <v>484</v>
      </c>
      <c r="B471" s="8" t="s">
        <v>441</v>
      </c>
      <c r="C471" s="8" t="s">
        <v>23</v>
      </c>
      <c r="D471" s="13">
        <v>45688</v>
      </c>
      <c r="E471" s="9">
        <v>27599</v>
      </c>
    </row>
    <row r="472" spans="1:5" x14ac:dyDescent="0.25">
      <c r="A472" s="8" t="s">
        <v>485</v>
      </c>
      <c r="B472" s="8" t="s">
        <v>441</v>
      </c>
      <c r="C472" s="8" t="s">
        <v>25</v>
      </c>
      <c r="D472" s="13">
        <v>45692</v>
      </c>
      <c r="E472" s="9">
        <v>24830</v>
      </c>
    </row>
    <row r="473" spans="1:5" x14ac:dyDescent="0.25">
      <c r="A473" s="8" t="s">
        <v>486</v>
      </c>
      <c r="B473" s="8" t="s">
        <v>441</v>
      </c>
      <c r="C473" s="8" t="s">
        <v>23</v>
      </c>
      <c r="D473" s="13">
        <v>45692</v>
      </c>
      <c r="E473" s="9">
        <v>25505</v>
      </c>
    </row>
    <row r="474" spans="1:5" x14ac:dyDescent="0.25">
      <c r="A474" s="8" t="s">
        <v>487</v>
      </c>
      <c r="B474" s="8" t="s">
        <v>441</v>
      </c>
      <c r="C474" s="8" t="s">
        <v>29</v>
      </c>
      <c r="D474" s="13">
        <v>45706</v>
      </c>
      <c r="E474" s="9">
        <v>65739</v>
      </c>
    </row>
    <row r="475" spans="1:5" x14ac:dyDescent="0.25">
      <c r="A475" s="8" t="s">
        <v>488</v>
      </c>
      <c r="B475" s="8" t="s">
        <v>441</v>
      </c>
      <c r="C475" s="8" t="s">
        <v>48</v>
      </c>
      <c r="D475" s="13">
        <v>45709</v>
      </c>
      <c r="E475" s="9">
        <v>45088</v>
      </c>
    </row>
    <row r="476" spans="1:5" x14ac:dyDescent="0.25">
      <c r="A476" s="8" t="s">
        <v>489</v>
      </c>
      <c r="B476" s="8" t="s">
        <v>441</v>
      </c>
      <c r="C476" s="8" t="s">
        <v>6</v>
      </c>
      <c r="D476" s="13">
        <v>45713</v>
      </c>
      <c r="E476" s="9">
        <v>66970</v>
      </c>
    </row>
    <row r="477" spans="1:5" x14ac:dyDescent="0.25">
      <c r="A477" s="8" t="s">
        <v>490</v>
      </c>
      <c r="B477" s="8" t="s">
        <v>441</v>
      </c>
      <c r="C477" s="8" t="s">
        <v>110</v>
      </c>
      <c r="D477" s="13">
        <v>45717</v>
      </c>
      <c r="E477" s="9">
        <v>103587</v>
      </c>
    </row>
    <row r="478" spans="1:5" x14ac:dyDescent="0.25">
      <c r="A478" s="8" t="s">
        <v>491</v>
      </c>
      <c r="B478" s="8" t="s">
        <v>441</v>
      </c>
      <c r="C478" s="8" t="s">
        <v>73</v>
      </c>
      <c r="D478" s="13">
        <v>45749</v>
      </c>
      <c r="E478" s="9">
        <v>29209</v>
      </c>
    </row>
    <row r="479" spans="1:5" x14ac:dyDescent="0.25">
      <c r="A479" s="8" t="s">
        <v>492</v>
      </c>
      <c r="B479" s="8" t="s">
        <v>441</v>
      </c>
      <c r="C479" s="8" t="s">
        <v>108</v>
      </c>
      <c r="D479" s="13">
        <v>45750</v>
      </c>
      <c r="E479" s="9">
        <v>67189</v>
      </c>
    </row>
    <row r="480" spans="1:5" x14ac:dyDescent="0.25">
      <c r="A480" s="8" t="s">
        <v>493</v>
      </c>
      <c r="B480" s="8" t="s">
        <v>441</v>
      </c>
      <c r="C480" s="8" t="s">
        <v>110</v>
      </c>
      <c r="D480" s="13">
        <v>45763</v>
      </c>
      <c r="E480" s="9">
        <v>66848</v>
      </c>
    </row>
    <row r="481" spans="1:5" x14ac:dyDescent="0.25">
      <c r="A481" s="8" t="s">
        <v>494</v>
      </c>
      <c r="B481" s="8" t="s">
        <v>441</v>
      </c>
      <c r="C481" s="8" t="s">
        <v>8</v>
      </c>
      <c r="D481" s="13">
        <v>45773</v>
      </c>
      <c r="E481" s="9">
        <v>25605</v>
      </c>
    </row>
    <row r="482" spans="1:5" x14ac:dyDescent="0.25">
      <c r="A482" s="8" t="s">
        <v>495</v>
      </c>
      <c r="B482" s="8" t="s">
        <v>441</v>
      </c>
      <c r="C482" s="8" t="s">
        <v>8</v>
      </c>
      <c r="D482" s="13">
        <v>45799</v>
      </c>
      <c r="E482" s="9">
        <v>27710</v>
      </c>
    </row>
    <row r="483" spans="1:5" x14ac:dyDescent="0.25">
      <c r="A483" s="8" t="s">
        <v>496</v>
      </c>
      <c r="B483" s="8" t="s">
        <v>441</v>
      </c>
      <c r="C483" s="8" t="s">
        <v>35</v>
      </c>
      <c r="D483" s="13">
        <v>45827</v>
      </c>
      <c r="E483" s="9">
        <v>29695</v>
      </c>
    </row>
    <row r="484" spans="1:5" x14ac:dyDescent="0.25">
      <c r="A484" s="8" t="s">
        <v>497</v>
      </c>
      <c r="B484" s="8" t="s">
        <v>441</v>
      </c>
      <c r="C484" s="8" t="s">
        <v>14</v>
      </c>
      <c r="D484" s="13">
        <v>45841</v>
      </c>
      <c r="E484" s="9">
        <v>61137</v>
      </c>
    </row>
    <row r="485" spans="1:5" x14ac:dyDescent="0.25">
      <c r="A485" s="8" t="s">
        <v>498</v>
      </c>
      <c r="B485" s="8" t="s">
        <v>441</v>
      </c>
      <c r="C485" s="8" t="s">
        <v>108</v>
      </c>
      <c r="D485" s="13">
        <v>45880</v>
      </c>
      <c r="E485" s="9">
        <v>54966</v>
      </c>
    </row>
    <row r="486" spans="1:5" x14ac:dyDescent="0.25">
      <c r="A486" s="8" t="s">
        <v>499</v>
      </c>
      <c r="B486" s="8" t="s">
        <v>441</v>
      </c>
      <c r="C486" s="8" t="s">
        <v>14</v>
      </c>
      <c r="D486" s="13">
        <v>45899</v>
      </c>
      <c r="E486" s="9">
        <v>67497</v>
      </c>
    </row>
    <row r="487" spans="1:5" x14ac:dyDescent="0.25">
      <c r="A487" s="8" t="s">
        <v>500</v>
      </c>
      <c r="B487" s="8" t="s">
        <v>441</v>
      </c>
      <c r="C487" s="8" t="s">
        <v>23</v>
      </c>
      <c r="D487" s="13">
        <v>45899</v>
      </c>
      <c r="E487" s="9">
        <v>27344</v>
      </c>
    </row>
    <row r="488" spans="1:5" x14ac:dyDescent="0.25">
      <c r="A488" s="8" t="s">
        <v>501</v>
      </c>
      <c r="B488" s="8" t="s">
        <v>502</v>
      </c>
      <c r="C488" s="8" t="s">
        <v>25</v>
      </c>
      <c r="D488" s="13">
        <v>45289</v>
      </c>
      <c r="E488" s="9">
        <v>124454</v>
      </c>
    </row>
    <row r="489" spans="1:5" x14ac:dyDescent="0.25">
      <c r="A489" s="8" t="s">
        <v>503</v>
      </c>
      <c r="B489" s="8" t="s">
        <v>502</v>
      </c>
      <c r="C489" s="8" t="s">
        <v>6</v>
      </c>
      <c r="D489" s="13">
        <v>45296</v>
      </c>
      <c r="E489" s="9">
        <v>210410</v>
      </c>
    </row>
    <row r="490" spans="1:5" x14ac:dyDescent="0.25">
      <c r="A490" s="8" t="s">
        <v>504</v>
      </c>
      <c r="B490" s="8" t="s">
        <v>502</v>
      </c>
      <c r="C490" s="8" t="s">
        <v>6</v>
      </c>
      <c r="D490" s="13">
        <v>45315</v>
      </c>
      <c r="E490" s="9">
        <v>237300</v>
      </c>
    </row>
    <row r="491" spans="1:5" x14ac:dyDescent="0.25">
      <c r="A491" s="8" t="s">
        <v>505</v>
      </c>
      <c r="B491" s="8" t="s">
        <v>502</v>
      </c>
      <c r="C491" s="8" t="s">
        <v>48</v>
      </c>
      <c r="D491" s="13">
        <v>45317</v>
      </c>
      <c r="E491" s="9">
        <v>139837</v>
      </c>
    </row>
    <row r="492" spans="1:5" x14ac:dyDescent="0.25">
      <c r="A492" s="8" t="s">
        <v>506</v>
      </c>
      <c r="B492" s="8" t="s">
        <v>502</v>
      </c>
      <c r="C492" s="8" t="s">
        <v>109</v>
      </c>
      <c r="D492" s="13">
        <v>45322</v>
      </c>
      <c r="E492" s="9">
        <v>274246</v>
      </c>
    </row>
    <row r="493" spans="1:5" x14ac:dyDescent="0.25">
      <c r="A493" s="8" t="s">
        <v>507</v>
      </c>
      <c r="B493" s="8" t="s">
        <v>502</v>
      </c>
      <c r="C493" s="8" t="s">
        <v>55</v>
      </c>
      <c r="D493" s="13">
        <v>45323</v>
      </c>
      <c r="E493" s="9">
        <v>599546</v>
      </c>
    </row>
    <row r="494" spans="1:5" x14ac:dyDescent="0.25">
      <c r="A494" s="8" t="s">
        <v>508</v>
      </c>
      <c r="B494" s="8" t="s">
        <v>502</v>
      </c>
      <c r="C494" s="8" t="s">
        <v>10</v>
      </c>
      <c r="D494" s="13">
        <v>45332</v>
      </c>
      <c r="E494" s="9">
        <v>120846</v>
      </c>
    </row>
    <row r="495" spans="1:5" x14ac:dyDescent="0.25">
      <c r="A495" s="8" t="s">
        <v>509</v>
      </c>
      <c r="B495" s="8" t="s">
        <v>502</v>
      </c>
      <c r="C495" s="8" t="s">
        <v>109</v>
      </c>
      <c r="D495" s="13">
        <v>45349</v>
      </c>
      <c r="E495" s="9">
        <v>186377</v>
      </c>
    </row>
    <row r="496" spans="1:5" x14ac:dyDescent="0.25">
      <c r="A496" s="8" t="s">
        <v>510</v>
      </c>
      <c r="B496" s="8" t="s">
        <v>502</v>
      </c>
      <c r="C496" s="8" t="s">
        <v>73</v>
      </c>
      <c r="D496" s="13">
        <v>45384</v>
      </c>
      <c r="E496" s="9">
        <v>169318</v>
      </c>
    </row>
    <row r="497" spans="1:5" x14ac:dyDescent="0.25">
      <c r="A497" s="8" t="s">
        <v>511</v>
      </c>
      <c r="B497" s="8" t="s">
        <v>502</v>
      </c>
      <c r="C497" s="8" t="s">
        <v>55</v>
      </c>
      <c r="D497" s="13">
        <v>45390</v>
      </c>
      <c r="E497" s="9">
        <v>240247</v>
      </c>
    </row>
    <row r="498" spans="1:5" x14ac:dyDescent="0.25">
      <c r="A498" s="8" t="s">
        <v>512</v>
      </c>
      <c r="B498" s="8" t="s">
        <v>502</v>
      </c>
      <c r="C498" s="8" t="s">
        <v>73</v>
      </c>
      <c r="D498" s="13">
        <v>45414</v>
      </c>
      <c r="E498" s="9">
        <v>426098</v>
      </c>
    </row>
    <row r="499" spans="1:5" x14ac:dyDescent="0.25">
      <c r="A499" s="8" t="s">
        <v>513</v>
      </c>
      <c r="B499" s="8" t="s">
        <v>502</v>
      </c>
      <c r="C499" s="8" t="s">
        <v>110</v>
      </c>
      <c r="D499" s="13">
        <v>45434</v>
      </c>
      <c r="E499" s="9">
        <v>211048</v>
      </c>
    </row>
    <row r="500" spans="1:5" x14ac:dyDescent="0.25">
      <c r="A500" s="8" t="s">
        <v>514</v>
      </c>
      <c r="B500" s="8" t="s">
        <v>502</v>
      </c>
      <c r="C500" s="8" t="s">
        <v>8</v>
      </c>
      <c r="D500" s="13">
        <v>45440</v>
      </c>
      <c r="E500" s="9">
        <v>179522</v>
      </c>
    </row>
    <row r="501" spans="1:5" x14ac:dyDescent="0.25">
      <c r="A501" s="8" t="s">
        <v>515</v>
      </c>
      <c r="B501" s="8" t="s">
        <v>502</v>
      </c>
      <c r="C501" s="8" t="s">
        <v>33</v>
      </c>
      <c r="D501" s="13">
        <v>45464</v>
      </c>
      <c r="E501" s="9">
        <v>444480</v>
      </c>
    </row>
    <row r="502" spans="1:5" x14ac:dyDescent="0.25">
      <c r="A502" s="8" t="s">
        <v>516</v>
      </c>
      <c r="B502" s="8" t="s">
        <v>502</v>
      </c>
      <c r="C502" s="8" t="s">
        <v>44</v>
      </c>
      <c r="D502" s="13">
        <v>45465</v>
      </c>
      <c r="E502" s="9">
        <v>189168</v>
      </c>
    </row>
    <row r="503" spans="1:5" x14ac:dyDescent="0.25">
      <c r="A503" s="8" t="s">
        <v>517</v>
      </c>
      <c r="B503" s="8" t="s">
        <v>502</v>
      </c>
      <c r="C503" s="8" t="s">
        <v>6</v>
      </c>
      <c r="D503" s="13">
        <v>45492</v>
      </c>
      <c r="E503" s="9">
        <v>292638</v>
      </c>
    </row>
    <row r="504" spans="1:5" x14ac:dyDescent="0.25">
      <c r="A504" s="8" t="s">
        <v>518</v>
      </c>
      <c r="B504" s="8" t="s">
        <v>502</v>
      </c>
      <c r="C504" s="8" t="s">
        <v>71</v>
      </c>
      <c r="D504" s="13">
        <v>45494</v>
      </c>
      <c r="E504" s="9">
        <v>99100</v>
      </c>
    </row>
    <row r="505" spans="1:5" x14ac:dyDescent="0.25">
      <c r="A505" s="8" t="s">
        <v>519</v>
      </c>
      <c r="B505" s="8" t="s">
        <v>502</v>
      </c>
      <c r="C505" s="8" t="s">
        <v>35</v>
      </c>
      <c r="D505" s="13">
        <v>45501</v>
      </c>
      <c r="E505" s="9">
        <v>127293</v>
      </c>
    </row>
    <row r="506" spans="1:5" x14ac:dyDescent="0.25">
      <c r="A506" s="8" t="s">
        <v>520</v>
      </c>
      <c r="B506" s="8" t="s">
        <v>502</v>
      </c>
      <c r="C506" s="8" t="s">
        <v>35</v>
      </c>
      <c r="D506" s="13">
        <v>45506</v>
      </c>
      <c r="E506" s="9">
        <v>229962</v>
      </c>
    </row>
    <row r="507" spans="1:5" x14ac:dyDescent="0.25">
      <c r="A507" s="8" t="s">
        <v>521</v>
      </c>
      <c r="B507" s="8" t="s">
        <v>502</v>
      </c>
      <c r="C507" s="8" t="s">
        <v>44</v>
      </c>
      <c r="D507" s="13">
        <v>45506</v>
      </c>
      <c r="E507" s="9">
        <v>273885</v>
      </c>
    </row>
    <row r="508" spans="1:5" x14ac:dyDescent="0.25">
      <c r="A508" s="8" t="s">
        <v>522</v>
      </c>
      <c r="B508" s="8" t="s">
        <v>502</v>
      </c>
      <c r="C508" s="8" t="s">
        <v>12</v>
      </c>
      <c r="D508" s="13">
        <v>45516</v>
      </c>
      <c r="E508" s="9">
        <v>119764</v>
      </c>
    </row>
    <row r="509" spans="1:5" x14ac:dyDescent="0.25">
      <c r="A509" s="8" t="s">
        <v>523</v>
      </c>
      <c r="B509" s="8" t="s">
        <v>502</v>
      </c>
      <c r="C509" s="8" t="s">
        <v>10</v>
      </c>
      <c r="D509" s="13">
        <v>45519</v>
      </c>
      <c r="E509" s="9">
        <v>192659</v>
      </c>
    </row>
    <row r="510" spans="1:5" x14ac:dyDescent="0.25">
      <c r="A510" s="8" t="s">
        <v>524</v>
      </c>
      <c r="B510" s="8" t="s">
        <v>502</v>
      </c>
      <c r="C510" s="8" t="s">
        <v>55</v>
      </c>
      <c r="D510" s="13">
        <v>45525</v>
      </c>
      <c r="E510" s="9">
        <v>152690</v>
      </c>
    </row>
    <row r="511" spans="1:5" x14ac:dyDescent="0.25">
      <c r="A511" s="8" t="s">
        <v>525</v>
      </c>
      <c r="B511" s="8" t="s">
        <v>502</v>
      </c>
      <c r="C511" s="8" t="s">
        <v>14</v>
      </c>
      <c r="D511" s="13">
        <v>45540</v>
      </c>
      <c r="E511" s="9">
        <v>233562</v>
      </c>
    </row>
    <row r="512" spans="1:5" x14ac:dyDescent="0.25">
      <c r="A512" s="8" t="s">
        <v>526</v>
      </c>
      <c r="B512" s="8" t="s">
        <v>502</v>
      </c>
      <c r="C512" s="8" t="s">
        <v>37</v>
      </c>
      <c r="D512" s="13">
        <v>45556</v>
      </c>
      <c r="E512" s="9">
        <v>98489</v>
      </c>
    </row>
    <row r="513" spans="1:5" x14ac:dyDescent="0.25">
      <c r="A513" s="8" t="s">
        <v>527</v>
      </c>
      <c r="B513" s="8" t="s">
        <v>502</v>
      </c>
      <c r="C513" s="8" t="s">
        <v>55</v>
      </c>
      <c r="D513" s="13">
        <v>45573</v>
      </c>
      <c r="E513" s="9">
        <v>211607</v>
      </c>
    </row>
    <row r="514" spans="1:5" x14ac:dyDescent="0.25">
      <c r="A514" s="8" t="s">
        <v>528</v>
      </c>
      <c r="B514" s="8" t="s">
        <v>502</v>
      </c>
      <c r="C514" s="8" t="s">
        <v>25</v>
      </c>
      <c r="D514" s="13">
        <v>45579</v>
      </c>
      <c r="E514" s="9">
        <v>115377</v>
      </c>
    </row>
    <row r="515" spans="1:5" x14ac:dyDescent="0.25">
      <c r="A515" s="8" t="s">
        <v>529</v>
      </c>
      <c r="B515" s="8" t="s">
        <v>530</v>
      </c>
      <c r="C515" s="8" t="s">
        <v>6</v>
      </c>
      <c r="D515" s="13">
        <v>45146</v>
      </c>
      <c r="E515" s="9">
        <v>76646</v>
      </c>
    </row>
    <row r="516" spans="1:5" x14ac:dyDescent="0.25">
      <c r="A516" s="8" t="s">
        <v>531</v>
      </c>
      <c r="B516" s="8" t="s">
        <v>530</v>
      </c>
      <c r="C516" s="8" t="s">
        <v>37</v>
      </c>
      <c r="D516" s="13">
        <v>45158</v>
      </c>
      <c r="E516" s="9">
        <v>62474</v>
      </c>
    </row>
    <row r="517" spans="1:5" x14ac:dyDescent="0.25">
      <c r="A517" s="8" t="s">
        <v>532</v>
      </c>
      <c r="B517" s="8" t="s">
        <v>530</v>
      </c>
      <c r="C517" s="8" t="s">
        <v>55</v>
      </c>
      <c r="D517" s="13">
        <v>45170</v>
      </c>
      <c r="E517" s="9">
        <v>77748</v>
      </c>
    </row>
    <row r="518" spans="1:5" x14ac:dyDescent="0.25">
      <c r="A518" s="8" t="s">
        <v>533</v>
      </c>
      <c r="B518" s="8" t="s">
        <v>530</v>
      </c>
      <c r="C518" s="8" t="s">
        <v>48</v>
      </c>
      <c r="D518" s="13">
        <v>45192</v>
      </c>
      <c r="E518" s="9">
        <v>68511</v>
      </c>
    </row>
    <row r="519" spans="1:5" x14ac:dyDescent="0.25">
      <c r="A519" s="8" t="s">
        <v>534</v>
      </c>
      <c r="B519" s="8" t="s">
        <v>530</v>
      </c>
      <c r="C519" s="8" t="s">
        <v>23</v>
      </c>
      <c r="D519" s="13">
        <v>45195</v>
      </c>
      <c r="E519" s="9">
        <v>45992</v>
      </c>
    </row>
    <row r="520" spans="1:5" x14ac:dyDescent="0.25">
      <c r="A520" s="8" t="s">
        <v>535</v>
      </c>
      <c r="B520" s="8" t="s">
        <v>530</v>
      </c>
      <c r="C520" s="8" t="s">
        <v>6</v>
      </c>
      <c r="D520" s="13">
        <v>45212</v>
      </c>
      <c r="E520" s="9">
        <v>90565</v>
      </c>
    </row>
    <row r="521" spans="1:5" x14ac:dyDescent="0.25">
      <c r="A521" s="8" t="s">
        <v>536</v>
      </c>
      <c r="B521" s="8" t="s">
        <v>530</v>
      </c>
      <c r="C521" s="8" t="s">
        <v>71</v>
      </c>
      <c r="D521" s="13">
        <v>45218</v>
      </c>
      <c r="E521" s="9">
        <v>42248</v>
      </c>
    </row>
    <row r="522" spans="1:5" x14ac:dyDescent="0.25">
      <c r="A522" s="8" t="s">
        <v>537</v>
      </c>
      <c r="B522" s="8" t="s">
        <v>530</v>
      </c>
      <c r="C522" s="8" t="s">
        <v>109</v>
      </c>
      <c r="D522" s="13">
        <v>45222</v>
      </c>
      <c r="E522" s="9">
        <v>110651</v>
      </c>
    </row>
    <row r="523" spans="1:5" x14ac:dyDescent="0.25">
      <c r="A523" s="8" t="s">
        <v>538</v>
      </c>
      <c r="B523" s="8" t="s">
        <v>530</v>
      </c>
      <c r="C523" s="8" t="s">
        <v>110</v>
      </c>
      <c r="D523" s="13">
        <v>45249</v>
      </c>
      <c r="E523" s="9">
        <v>70528</v>
      </c>
    </row>
    <row r="524" spans="1:5" x14ac:dyDescent="0.25">
      <c r="A524" s="8" t="s">
        <v>539</v>
      </c>
      <c r="B524" s="8" t="s">
        <v>530</v>
      </c>
      <c r="C524" s="8" t="s">
        <v>27</v>
      </c>
      <c r="D524" s="13">
        <v>45279</v>
      </c>
      <c r="E524" s="9">
        <v>110302</v>
      </c>
    </row>
    <row r="525" spans="1:5" x14ac:dyDescent="0.25">
      <c r="A525" s="8" t="s">
        <v>540</v>
      </c>
      <c r="B525" s="8" t="s">
        <v>530</v>
      </c>
      <c r="C525" s="8" t="s">
        <v>17</v>
      </c>
      <c r="D525" s="13">
        <v>45285</v>
      </c>
      <c r="E525" s="9">
        <v>91940</v>
      </c>
    </row>
    <row r="526" spans="1:5" x14ac:dyDescent="0.25">
      <c r="A526" s="8" t="s">
        <v>541</v>
      </c>
      <c r="B526" s="8" t="s">
        <v>530</v>
      </c>
      <c r="C526" s="8" t="s">
        <v>19</v>
      </c>
      <c r="D526" s="13">
        <v>45300</v>
      </c>
      <c r="E526" s="9">
        <v>99085</v>
      </c>
    </row>
    <row r="527" spans="1:5" x14ac:dyDescent="0.25">
      <c r="A527" s="8" t="s">
        <v>542</v>
      </c>
      <c r="B527" s="8" t="s">
        <v>530</v>
      </c>
      <c r="C527" s="8" t="s">
        <v>50</v>
      </c>
      <c r="D527" s="13">
        <v>45323</v>
      </c>
      <c r="E527" s="9">
        <v>299329</v>
      </c>
    </row>
    <row r="528" spans="1:5" x14ac:dyDescent="0.25">
      <c r="A528" s="8" t="s">
        <v>543</v>
      </c>
      <c r="B528" s="8" t="s">
        <v>530</v>
      </c>
      <c r="C528" s="8" t="s">
        <v>21</v>
      </c>
      <c r="D528" s="13">
        <v>45374</v>
      </c>
      <c r="E528" s="9">
        <v>103388</v>
      </c>
    </row>
    <row r="529" spans="1:5" x14ac:dyDescent="0.25">
      <c r="A529" s="8" t="s">
        <v>544</v>
      </c>
      <c r="B529" s="8" t="s">
        <v>530</v>
      </c>
      <c r="C529" s="8" t="s">
        <v>91</v>
      </c>
      <c r="D529" s="13">
        <v>45418</v>
      </c>
      <c r="E529" s="9">
        <v>94591</v>
      </c>
    </row>
    <row r="530" spans="1:5" x14ac:dyDescent="0.25">
      <c r="A530" s="8" t="s">
        <v>545</v>
      </c>
      <c r="B530" s="8" t="s">
        <v>530</v>
      </c>
      <c r="C530" s="8" t="s">
        <v>25</v>
      </c>
      <c r="D530" s="13">
        <v>45424</v>
      </c>
      <c r="E530" s="9">
        <v>80605</v>
      </c>
    </row>
    <row r="531" spans="1:5" x14ac:dyDescent="0.25">
      <c r="A531" s="8" t="s">
        <v>546</v>
      </c>
      <c r="B531" s="8" t="s">
        <v>530</v>
      </c>
      <c r="C531" s="8" t="s">
        <v>71</v>
      </c>
      <c r="D531" s="13">
        <v>45433</v>
      </c>
      <c r="E531" s="9">
        <v>65229</v>
      </c>
    </row>
    <row r="532" spans="1:5" x14ac:dyDescent="0.25">
      <c r="A532" s="8" t="s">
        <v>547</v>
      </c>
      <c r="B532" s="8" t="s">
        <v>530</v>
      </c>
      <c r="C532" s="8" t="s">
        <v>29</v>
      </c>
      <c r="D532" s="13">
        <v>45435</v>
      </c>
      <c r="E532" s="9">
        <v>58301</v>
      </c>
    </row>
    <row r="533" spans="1:5" x14ac:dyDescent="0.25">
      <c r="A533" s="8" t="s">
        <v>548</v>
      </c>
      <c r="B533" s="8" t="s">
        <v>530</v>
      </c>
      <c r="C533" s="8" t="s">
        <v>50</v>
      </c>
      <c r="D533" s="13">
        <v>45447</v>
      </c>
      <c r="E533" s="9">
        <v>55050</v>
      </c>
    </row>
    <row r="534" spans="1:5" x14ac:dyDescent="0.25">
      <c r="A534" s="8" t="s">
        <v>549</v>
      </c>
      <c r="B534" s="8" t="s">
        <v>530</v>
      </c>
      <c r="C534" s="8" t="s">
        <v>35</v>
      </c>
      <c r="D534" s="13">
        <v>45454</v>
      </c>
      <c r="E534" s="9">
        <v>72605</v>
      </c>
    </row>
    <row r="535" spans="1:5" x14ac:dyDescent="0.25">
      <c r="A535" s="8" t="s">
        <v>550</v>
      </c>
      <c r="B535" s="8" t="s">
        <v>530</v>
      </c>
      <c r="C535" s="8" t="s">
        <v>44</v>
      </c>
      <c r="D535" s="13">
        <v>45455</v>
      </c>
      <c r="E535" s="9">
        <v>103158</v>
      </c>
    </row>
    <row r="536" spans="1:5" x14ac:dyDescent="0.25">
      <c r="A536" s="8" t="s">
        <v>551</v>
      </c>
      <c r="B536" s="8" t="s">
        <v>530</v>
      </c>
      <c r="C536" s="8" t="s">
        <v>23</v>
      </c>
      <c r="D536" s="13">
        <v>45471</v>
      </c>
      <c r="E536" s="9">
        <v>105993</v>
      </c>
    </row>
    <row r="537" spans="1:5" x14ac:dyDescent="0.25">
      <c r="A537" s="8" t="s">
        <v>552</v>
      </c>
      <c r="B537" s="8" t="s">
        <v>530</v>
      </c>
      <c r="C537" s="8" t="s">
        <v>14</v>
      </c>
      <c r="D537" s="13">
        <v>45498</v>
      </c>
      <c r="E537" s="9">
        <v>86180</v>
      </c>
    </row>
    <row r="538" spans="1:5" x14ac:dyDescent="0.25">
      <c r="A538" s="8" t="s">
        <v>553</v>
      </c>
      <c r="B538" s="8" t="s">
        <v>530</v>
      </c>
      <c r="C538" s="8" t="s">
        <v>8</v>
      </c>
      <c r="D538" s="13">
        <v>45499</v>
      </c>
      <c r="E538" s="9">
        <v>60782</v>
      </c>
    </row>
    <row r="539" spans="1:5" x14ac:dyDescent="0.25">
      <c r="A539" s="8" t="s">
        <v>554</v>
      </c>
      <c r="B539" s="8" t="s">
        <v>530</v>
      </c>
      <c r="C539" s="8" t="s">
        <v>71</v>
      </c>
      <c r="D539" s="13">
        <v>45501</v>
      </c>
      <c r="E539" s="9">
        <v>133886</v>
      </c>
    </row>
    <row r="540" spans="1:5" x14ac:dyDescent="0.25">
      <c r="A540" s="8" t="s">
        <v>555</v>
      </c>
      <c r="B540" s="8" t="s">
        <v>530</v>
      </c>
      <c r="C540" s="8" t="s">
        <v>48</v>
      </c>
      <c r="D540" s="13">
        <v>45528</v>
      </c>
      <c r="E540" s="9">
        <v>68965</v>
      </c>
    </row>
    <row r="541" spans="1:5" x14ac:dyDescent="0.25">
      <c r="A541" s="8" t="s">
        <v>556</v>
      </c>
      <c r="B541" s="8" t="s">
        <v>530</v>
      </c>
      <c r="C541" s="8" t="s">
        <v>44</v>
      </c>
      <c r="D541" s="13">
        <v>45543</v>
      </c>
      <c r="E541" s="9">
        <v>75265</v>
      </c>
    </row>
    <row r="542" spans="1:5" x14ac:dyDescent="0.25">
      <c r="A542" s="8" t="s">
        <v>557</v>
      </c>
      <c r="B542" s="8" t="s">
        <v>530</v>
      </c>
      <c r="C542" s="8" t="s">
        <v>110</v>
      </c>
      <c r="D542" s="13">
        <v>45549</v>
      </c>
      <c r="E542" s="9">
        <v>92687</v>
      </c>
    </row>
    <row r="543" spans="1:5" x14ac:dyDescent="0.25">
      <c r="A543" s="8" t="s">
        <v>558</v>
      </c>
      <c r="B543" s="8" t="s">
        <v>530</v>
      </c>
      <c r="C543" s="8" t="s">
        <v>6</v>
      </c>
      <c r="D543" s="13">
        <v>45553</v>
      </c>
      <c r="E543" s="9">
        <v>125843</v>
      </c>
    </row>
    <row r="544" spans="1:5" x14ac:dyDescent="0.25">
      <c r="A544" s="8" t="s">
        <v>559</v>
      </c>
      <c r="B544" s="8" t="s">
        <v>530</v>
      </c>
      <c r="C544" s="8" t="s">
        <v>109</v>
      </c>
      <c r="D544" s="13">
        <v>45553</v>
      </c>
      <c r="E544" s="9">
        <v>127708</v>
      </c>
    </row>
    <row r="545" spans="1:5" x14ac:dyDescent="0.25">
      <c r="A545" s="8" t="s">
        <v>560</v>
      </c>
      <c r="B545" s="8" t="s">
        <v>530</v>
      </c>
      <c r="C545" s="8" t="s">
        <v>73</v>
      </c>
      <c r="D545" s="13">
        <v>45566</v>
      </c>
      <c r="E545" s="9">
        <v>47353</v>
      </c>
    </row>
    <row r="546" spans="1:5" x14ac:dyDescent="0.25">
      <c r="A546" s="8" t="s">
        <v>561</v>
      </c>
      <c r="B546" s="8" t="s">
        <v>530</v>
      </c>
      <c r="C546" s="8" t="s">
        <v>10</v>
      </c>
      <c r="D546" s="13">
        <v>45568</v>
      </c>
      <c r="E546" s="9">
        <v>99793</v>
      </c>
    </row>
    <row r="547" spans="1:5" x14ac:dyDescent="0.25">
      <c r="A547" s="8" t="s">
        <v>562</v>
      </c>
      <c r="B547" s="8" t="s">
        <v>530</v>
      </c>
      <c r="C547" s="8" t="s">
        <v>109</v>
      </c>
      <c r="D547" s="13">
        <v>45572</v>
      </c>
      <c r="E547" s="9">
        <v>39319</v>
      </c>
    </row>
    <row r="548" spans="1:5" x14ac:dyDescent="0.25">
      <c r="A548" s="8" t="s">
        <v>563</v>
      </c>
      <c r="B548" s="8" t="s">
        <v>530</v>
      </c>
      <c r="C548" s="8" t="s">
        <v>71</v>
      </c>
      <c r="D548" s="13">
        <v>45578</v>
      </c>
      <c r="E548" s="9">
        <v>46107</v>
      </c>
    </row>
    <row r="549" spans="1:5" x14ac:dyDescent="0.25">
      <c r="A549" s="8" t="s">
        <v>564</v>
      </c>
      <c r="B549" s="8" t="s">
        <v>530</v>
      </c>
      <c r="C549" s="8" t="s">
        <v>17</v>
      </c>
      <c r="D549" s="13">
        <v>45579</v>
      </c>
      <c r="E549" s="9">
        <v>187968</v>
      </c>
    </row>
    <row r="550" spans="1:5" x14ac:dyDescent="0.25">
      <c r="A550" s="8" t="s">
        <v>565</v>
      </c>
      <c r="B550" s="8" t="s">
        <v>530</v>
      </c>
      <c r="C550" s="8" t="s">
        <v>91</v>
      </c>
      <c r="D550" s="13">
        <v>45579</v>
      </c>
      <c r="E550" s="9">
        <v>71864</v>
      </c>
    </row>
    <row r="551" spans="1:5" x14ac:dyDescent="0.25">
      <c r="A551" s="8" t="s">
        <v>566</v>
      </c>
      <c r="B551" s="8" t="s">
        <v>530</v>
      </c>
      <c r="C551" s="8" t="s">
        <v>29</v>
      </c>
      <c r="D551" s="13">
        <v>45637</v>
      </c>
      <c r="E551" s="9">
        <v>39188</v>
      </c>
    </row>
    <row r="552" spans="1:5" x14ac:dyDescent="0.25">
      <c r="A552" s="8" t="s">
        <v>567</v>
      </c>
      <c r="B552" s="8" t="s">
        <v>530</v>
      </c>
      <c r="C552" s="8" t="s">
        <v>91</v>
      </c>
      <c r="D552" s="13">
        <v>45658</v>
      </c>
      <c r="E552" s="9">
        <v>40176</v>
      </c>
    </row>
    <row r="553" spans="1:5" x14ac:dyDescent="0.25">
      <c r="A553" s="8" t="s">
        <v>568</v>
      </c>
      <c r="B553" s="8" t="s">
        <v>530</v>
      </c>
      <c r="C553" s="8" t="s">
        <v>6</v>
      </c>
      <c r="D553" s="13">
        <v>45663</v>
      </c>
      <c r="E553" s="9">
        <v>78901</v>
      </c>
    </row>
    <row r="554" spans="1:5" x14ac:dyDescent="0.25">
      <c r="A554" s="8" t="s">
        <v>569</v>
      </c>
      <c r="B554" s="8" t="s">
        <v>530</v>
      </c>
      <c r="C554" s="8" t="s">
        <v>23</v>
      </c>
      <c r="D554" s="13">
        <v>45682</v>
      </c>
      <c r="E554" s="9">
        <v>76566</v>
      </c>
    </row>
    <row r="555" spans="1:5" x14ac:dyDescent="0.25">
      <c r="A555" s="8" t="s">
        <v>570</v>
      </c>
      <c r="B555" s="8" t="s">
        <v>530</v>
      </c>
      <c r="C555" s="8" t="s">
        <v>12</v>
      </c>
      <c r="D555" s="13">
        <v>45708</v>
      </c>
      <c r="E555" s="9">
        <v>207649</v>
      </c>
    </row>
    <row r="556" spans="1:5" x14ac:dyDescent="0.25">
      <c r="A556" s="8" t="s">
        <v>571</v>
      </c>
      <c r="B556" s="8" t="s">
        <v>530</v>
      </c>
      <c r="C556" s="8" t="s">
        <v>12</v>
      </c>
      <c r="D556" s="13">
        <v>45708</v>
      </c>
      <c r="E556" s="9">
        <v>371223</v>
      </c>
    </row>
    <row r="557" spans="1:5" x14ac:dyDescent="0.25">
      <c r="A557" s="8" t="s">
        <v>572</v>
      </c>
      <c r="B557" s="8" t="s">
        <v>530</v>
      </c>
      <c r="C557" s="8" t="s">
        <v>108</v>
      </c>
      <c r="D557" s="13">
        <v>45714</v>
      </c>
      <c r="E557" s="9">
        <v>73380</v>
      </c>
    </row>
    <row r="558" spans="1:5" x14ac:dyDescent="0.25">
      <c r="A558" s="8" t="s">
        <v>573</v>
      </c>
      <c r="B558" s="8" t="s">
        <v>530</v>
      </c>
      <c r="C558" s="8" t="s">
        <v>21</v>
      </c>
      <c r="D558" s="13">
        <v>45720</v>
      </c>
      <c r="E558" s="9">
        <v>104724</v>
      </c>
    </row>
    <row r="559" spans="1:5" x14ac:dyDescent="0.25">
      <c r="A559" s="8" t="s">
        <v>574</v>
      </c>
      <c r="B559" s="8" t="s">
        <v>530</v>
      </c>
      <c r="C559" s="8" t="s">
        <v>10</v>
      </c>
      <c r="D559" s="13">
        <v>45728</v>
      </c>
      <c r="E559" s="9">
        <v>72539</v>
      </c>
    </row>
    <row r="560" spans="1:5" x14ac:dyDescent="0.25">
      <c r="A560" s="8" t="s">
        <v>575</v>
      </c>
      <c r="B560" s="8" t="s">
        <v>530</v>
      </c>
      <c r="C560" s="8" t="s">
        <v>110</v>
      </c>
      <c r="D560" s="13">
        <v>45760</v>
      </c>
      <c r="E560" s="9">
        <v>100022</v>
      </c>
    </row>
    <row r="561" spans="1:5" x14ac:dyDescent="0.25">
      <c r="A561" s="8" t="s">
        <v>576</v>
      </c>
      <c r="B561" s="8" t="s">
        <v>530</v>
      </c>
      <c r="C561" s="8" t="s">
        <v>71</v>
      </c>
      <c r="D561" s="13">
        <v>45762</v>
      </c>
      <c r="E561" s="9">
        <v>105782</v>
      </c>
    </row>
    <row r="562" spans="1:5" x14ac:dyDescent="0.25">
      <c r="A562" s="8" t="s">
        <v>577</v>
      </c>
      <c r="B562" s="8" t="s">
        <v>530</v>
      </c>
      <c r="C562" s="8" t="s">
        <v>8</v>
      </c>
      <c r="D562" s="13">
        <v>45771</v>
      </c>
      <c r="E562" s="9">
        <v>66546</v>
      </c>
    </row>
    <row r="563" spans="1:5" x14ac:dyDescent="0.25">
      <c r="A563" s="8" t="s">
        <v>578</v>
      </c>
      <c r="B563" s="8" t="s">
        <v>530</v>
      </c>
      <c r="C563" s="8" t="s">
        <v>17</v>
      </c>
      <c r="D563" s="13">
        <v>45775</v>
      </c>
      <c r="E563" s="9">
        <v>58598</v>
      </c>
    </row>
    <row r="564" spans="1:5" x14ac:dyDescent="0.25">
      <c r="A564" s="8" t="s">
        <v>579</v>
      </c>
      <c r="B564" s="8" t="s">
        <v>530</v>
      </c>
      <c r="C564" s="8" t="s">
        <v>8</v>
      </c>
      <c r="D564" s="13">
        <v>45797</v>
      </c>
      <c r="E564" s="9">
        <v>40714</v>
      </c>
    </row>
    <row r="565" spans="1:5" x14ac:dyDescent="0.25">
      <c r="A565" s="8" t="s">
        <v>580</v>
      </c>
      <c r="B565" s="8" t="s">
        <v>530</v>
      </c>
      <c r="C565" s="8" t="s">
        <v>73</v>
      </c>
      <c r="D565" s="13">
        <v>45811</v>
      </c>
      <c r="E565" s="9">
        <v>64018</v>
      </c>
    </row>
    <row r="566" spans="1:5" x14ac:dyDescent="0.25">
      <c r="A566" s="8" t="s">
        <v>581</v>
      </c>
      <c r="B566" s="8" t="s">
        <v>530</v>
      </c>
      <c r="C566" s="8" t="s">
        <v>110</v>
      </c>
      <c r="D566" s="13">
        <v>45816</v>
      </c>
      <c r="E566" s="9">
        <v>108510</v>
      </c>
    </row>
    <row r="567" spans="1:5" x14ac:dyDescent="0.25">
      <c r="A567" s="8" t="s">
        <v>582</v>
      </c>
      <c r="B567" s="8" t="s">
        <v>530</v>
      </c>
      <c r="C567" s="8" t="s">
        <v>35</v>
      </c>
      <c r="D567" s="13">
        <v>45823</v>
      </c>
      <c r="E567" s="9">
        <v>100229</v>
      </c>
    </row>
    <row r="568" spans="1:5" x14ac:dyDescent="0.25">
      <c r="A568" s="8" t="s">
        <v>583</v>
      </c>
      <c r="B568" s="8" t="s">
        <v>530</v>
      </c>
      <c r="C568" s="8" t="s">
        <v>19</v>
      </c>
      <c r="D568" s="13">
        <v>45825</v>
      </c>
      <c r="E568" s="9">
        <v>83829</v>
      </c>
    </row>
    <row r="569" spans="1:5" x14ac:dyDescent="0.25">
      <c r="A569" s="8" t="s">
        <v>584</v>
      </c>
      <c r="B569" s="8" t="s">
        <v>530</v>
      </c>
      <c r="C569" s="8" t="s">
        <v>14</v>
      </c>
      <c r="D569" s="13">
        <v>45833</v>
      </c>
      <c r="E569" s="9">
        <v>84516</v>
      </c>
    </row>
    <row r="570" spans="1:5" x14ac:dyDescent="0.25">
      <c r="A570" s="8" t="s">
        <v>585</v>
      </c>
      <c r="B570" s="8" t="s">
        <v>530</v>
      </c>
      <c r="C570" s="8" t="s">
        <v>91</v>
      </c>
      <c r="D570" s="13">
        <v>45849</v>
      </c>
      <c r="E570" s="9">
        <v>68013</v>
      </c>
    </row>
    <row r="571" spans="1:5" x14ac:dyDescent="0.25">
      <c r="A571" s="8" t="s">
        <v>586</v>
      </c>
      <c r="B571" s="8" t="s">
        <v>530</v>
      </c>
      <c r="C571" s="8" t="s">
        <v>109</v>
      </c>
      <c r="D571" s="13">
        <v>45877</v>
      </c>
      <c r="E571" s="9">
        <v>88501</v>
      </c>
    </row>
    <row r="572" spans="1:5" x14ac:dyDescent="0.25">
      <c r="A572" s="8" t="s">
        <v>587</v>
      </c>
      <c r="B572" s="8" t="s">
        <v>530</v>
      </c>
      <c r="C572" s="8" t="s">
        <v>55</v>
      </c>
      <c r="D572" s="13">
        <v>45877</v>
      </c>
      <c r="E572" s="9">
        <v>48319</v>
      </c>
    </row>
    <row r="573" spans="1:5" x14ac:dyDescent="0.25">
      <c r="A573" s="8" t="s">
        <v>588</v>
      </c>
      <c r="B573" s="8" t="s">
        <v>530</v>
      </c>
      <c r="C573" s="8" t="s">
        <v>110</v>
      </c>
      <c r="D573" s="13">
        <v>45897</v>
      </c>
      <c r="E573" s="9">
        <v>112336</v>
      </c>
    </row>
    <row r="574" spans="1:5" x14ac:dyDescent="0.25">
      <c r="A574" s="8" t="s">
        <v>589</v>
      </c>
      <c r="B574" s="8" t="s">
        <v>530</v>
      </c>
      <c r="C574" s="8" t="s">
        <v>14</v>
      </c>
      <c r="D574" s="13">
        <v>45898</v>
      </c>
      <c r="E574" s="9">
        <v>45706</v>
      </c>
    </row>
    <row r="575" spans="1:5" x14ac:dyDescent="0.25">
      <c r="A575" s="8" t="s">
        <v>590</v>
      </c>
      <c r="B575" s="8" t="s">
        <v>591</v>
      </c>
      <c r="C575" s="8" t="s">
        <v>44</v>
      </c>
      <c r="D575" s="13">
        <v>45237</v>
      </c>
      <c r="E575" s="9">
        <v>168095</v>
      </c>
    </row>
    <row r="576" spans="1:5" x14ac:dyDescent="0.25">
      <c r="A576" s="8" t="s">
        <v>592</v>
      </c>
      <c r="B576" s="8" t="s">
        <v>591</v>
      </c>
      <c r="C576" s="8" t="s">
        <v>50</v>
      </c>
      <c r="D576" s="13">
        <v>45248</v>
      </c>
      <c r="E576" s="9">
        <v>159935</v>
      </c>
    </row>
    <row r="577" spans="1:5" x14ac:dyDescent="0.25">
      <c r="A577" s="8" t="s">
        <v>593</v>
      </c>
      <c r="B577" s="8" t="s">
        <v>591</v>
      </c>
      <c r="C577" s="8" t="s">
        <v>17</v>
      </c>
      <c r="D577" s="13">
        <v>45252</v>
      </c>
      <c r="E577" s="9">
        <v>238784</v>
      </c>
    </row>
    <row r="578" spans="1:5" x14ac:dyDescent="0.25">
      <c r="A578" s="8" t="s">
        <v>594</v>
      </c>
      <c r="B578" s="8" t="s">
        <v>591</v>
      </c>
      <c r="C578" s="8" t="s">
        <v>6</v>
      </c>
      <c r="D578" s="13">
        <v>45258</v>
      </c>
      <c r="E578" s="9">
        <v>215596</v>
      </c>
    </row>
    <row r="579" spans="1:5" x14ac:dyDescent="0.25">
      <c r="A579" s="8" t="s">
        <v>595</v>
      </c>
      <c r="B579" s="8" t="s">
        <v>591</v>
      </c>
      <c r="C579" s="8" t="s">
        <v>108</v>
      </c>
      <c r="D579" s="13">
        <v>45264</v>
      </c>
      <c r="E579" s="9">
        <v>219035</v>
      </c>
    </row>
    <row r="580" spans="1:5" x14ac:dyDescent="0.25">
      <c r="A580" s="8" t="s">
        <v>596</v>
      </c>
      <c r="B580" s="8" t="s">
        <v>591</v>
      </c>
      <c r="C580" s="8" t="s">
        <v>10</v>
      </c>
      <c r="D580" s="13">
        <v>45270</v>
      </c>
      <c r="E580" s="9">
        <v>205674</v>
      </c>
    </row>
    <row r="581" spans="1:5" x14ac:dyDescent="0.25">
      <c r="A581" s="8" t="s">
        <v>597</v>
      </c>
      <c r="B581" s="8" t="s">
        <v>591</v>
      </c>
      <c r="C581" s="8" t="s">
        <v>35</v>
      </c>
      <c r="D581" s="13">
        <v>45272</v>
      </c>
      <c r="E581" s="9">
        <v>120772</v>
      </c>
    </row>
    <row r="582" spans="1:5" x14ac:dyDescent="0.25">
      <c r="A582" s="8" t="s">
        <v>598</v>
      </c>
      <c r="B582" s="8" t="s">
        <v>591</v>
      </c>
      <c r="C582" s="8" t="s">
        <v>23</v>
      </c>
      <c r="D582" s="13">
        <v>45273</v>
      </c>
      <c r="E582" s="9">
        <v>171134</v>
      </c>
    </row>
    <row r="583" spans="1:5" x14ac:dyDescent="0.25">
      <c r="A583" s="8" t="s">
        <v>599</v>
      </c>
      <c r="B583" s="8" t="s">
        <v>591</v>
      </c>
      <c r="C583" s="8" t="s">
        <v>71</v>
      </c>
      <c r="D583" s="13">
        <v>45281</v>
      </c>
      <c r="E583" s="9">
        <v>188085</v>
      </c>
    </row>
    <row r="584" spans="1:5" x14ac:dyDescent="0.25">
      <c r="A584" s="8" t="s">
        <v>600</v>
      </c>
      <c r="B584" s="8" t="s">
        <v>591</v>
      </c>
      <c r="C584" s="8" t="s">
        <v>6</v>
      </c>
      <c r="D584" s="13">
        <v>45287</v>
      </c>
      <c r="E584" s="9">
        <v>96639</v>
      </c>
    </row>
    <row r="585" spans="1:5" x14ac:dyDescent="0.25">
      <c r="A585" s="8" t="s">
        <v>601</v>
      </c>
      <c r="B585" s="8" t="s">
        <v>591</v>
      </c>
      <c r="C585" s="8" t="s">
        <v>21</v>
      </c>
      <c r="D585" s="13">
        <v>45291</v>
      </c>
      <c r="E585" s="9">
        <v>151672</v>
      </c>
    </row>
    <row r="586" spans="1:5" x14ac:dyDescent="0.25">
      <c r="A586" s="8" t="s">
        <v>602</v>
      </c>
      <c r="B586" s="8" t="s">
        <v>591</v>
      </c>
      <c r="C586" s="8" t="s">
        <v>23</v>
      </c>
      <c r="D586" s="13">
        <v>45303</v>
      </c>
      <c r="E586" s="9">
        <v>123261</v>
      </c>
    </row>
    <row r="587" spans="1:5" x14ac:dyDescent="0.25">
      <c r="A587" s="8" t="s">
        <v>603</v>
      </c>
      <c r="B587" s="8" t="s">
        <v>591</v>
      </c>
      <c r="C587" s="8" t="s">
        <v>14</v>
      </c>
      <c r="D587" s="13">
        <v>45311</v>
      </c>
      <c r="E587" s="9">
        <v>844085</v>
      </c>
    </row>
    <row r="588" spans="1:5" x14ac:dyDescent="0.25">
      <c r="A588" s="8" t="s">
        <v>604</v>
      </c>
      <c r="B588" s="8" t="s">
        <v>591</v>
      </c>
      <c r="C588" s="8" t="s">
        <v>108</v>
      </c>
      <c r="D588" s="13">
        <v>45339</v>
      </c>
      <c r="E588" s="9">
        <v>117506</v>
      </c>
    </row>
    <row r="589" spans="1:5" x14ac:dyDescent="0.25">
      <c r="A589" s="8" t="s">
        <v>605</v>
      </c>
      <c r="B589" s="8" t="s">
        <v>591</v>
      </c>
      <c r="C589" s="8" t="s">
        <v>55</v>
      </c>
      <c r="D589" s="13">
        <v>45344</v>
      </c>
      <c r="E589" s="9">
        <v>156151</v>
      </c>
    </row>
    <row r="590" spans="1:5" x14ac:dyDescent="0.25">
      <c r="A590" s="8" t="s">
        <v>606</v>
      </c>
      <c r="B590" s="8" t="s">
        <v>591</v>
      </c>
      <c r="C590" s="8" t="s">
        <v>21</v>
      </c>
      <c r="D590" s="13">
        <v>45346</v>
      </c>
      <c r="E590" s="9">
        <v>289737</v>
      </c>
    </row>
    <row r="591" spans="1:5" x14ac:dyDescent="0.25">
      <c r="A591" s="8" t="s">
        <v>607</v>
      </c>
      <c r="B591" s="8" t="s">
        <v>591</v>
      </c>
      <c r="C591" s="8" t="s">
        <v>44</v>
      </c>
      <c r="D591" s="13">
        <v>45348</v>
      </c>
      <c r="E591" s="9">
        <v>234797</v>
      </c>
    </row>
    <row r="592" spans="1:5" x14ac:dyDescent="0.25">
      <c r="A592" s="8" t="s">
        <v>608</v>
      </c>
      <c r="B592" s="8" t="s">
        <v>591</v>
      </c>
      <c r="C592" s="8" t="s">
        <v>48</v>
      </c>
      <c r="D592" s="13">
        <v>45357</v>
      </c>
      <c r="E592" s="9">
        <v>226045</v>
      </c>
    </row>
    <row r="593" spans="1:5" x14ac:dyDescent="0.25">
      <c r="A593" s="8" t="s">
        <v>609</v>
      </c>
      <c r="B593" s="8" t="s">
        <v>591</v>
      </c>
      <c r="C593" s="8" t="s">
        <v>50</v>
      </c>
      <c r="D593" s="13">
        <v>45367</v>
      </c>
      <c r="E593" s="9">
        <v>111437</v>
      </c>
    </row>
    <row r="594" spans="1:5" x14ac:dyDescent="0.25">
      <c r="A594" s="8" t="s">
        <v>610</v>
      </c>
      <c r="B594" s="8" t="s">
        <v>591</v>
      </c>
      <c r="C594" s="8" t="s">
        <v>8</v>
      </c>
      <c r="D594" s="13">
        <v>45371</v>
      </c>
      <c r="E594" s="9">
        <v>207403</v>
      </c>
    </row>
    <row r="595" spans="1:5" x14ac:dyDescent="0.25">
      <c r="A595" s="8" t="s">
        <v>611</v>
      </c>
      <c r="B595" s="8" t="s">
        <v>591</v>
      </c>
      <c r="C595" s="8" t="s">
        <v>33</v>
      </c>
      <c r="D595" s="13">
        <v>45372</v>
      </c>
      <c r="E595" s="9">
        <v>272966</v>
      </c>
    </row>
    <row r="596" spans="1:5" x14ac:dyDescent="0.25">
      <c r="A596" s="8" t="s">
        <v>612</v>
      </c>
      <c r="B596" s="8" t="s">
        <v>591</v>
      </c>
      <c r="C596" s="8" t="s">
        <v>109</v>
      </c>
      <c r="D596" s="13">
        <v>45387</v>
      </c>
      <c r="E596" s="9">
        <v>183832</v>
      </c>
    </row>
    <row r="597" spans="1:5" x14ac:dyDescent="0.25">
      <c r="A597" s="8" t="s">
        <v>613</v>
      </c>
      <c r="B597" s="8" t="s">
        <v>591</v>
      </c>
      <c r="C597" s="8" t="s">
        <v>109</v>
      </c>
      <c r="D597" s="13">
        <v>45393</v>
      </c>
      <c r="E597" s="9">
        <v>294553</v>
      </c>
    </row>
    <row r="598" spans="1:5" x14ac:dyDescent="0.25">
      <c r="A598" s="8" t="s">
        <v>614</v>
      </c>
      <c r="B598" s="8" t="s">
        <v>591</v>
      </c>
      <c r="C598" s="8" t="s">
        <v>110</v>
      </c>
      <c r="D598" s="13">
        <v>45484</v>
      </c>
      <c r="E598" s="9">
        <v>259933</v>
      </c>
    </row>
    <row r="599" spans="1:5" x14ac:dyDescent="0.25">
      <c r="A599" s="8" t="s">
        <v>615</v>
      </c>
      <c r="B599" s="8" t="s">
        <v>591</v>
      </c>
      <c r="C599" s="8" t="s">
        <v>23</v>
      </c>
      <c r="D599" s="13">
        <v>45505</v>
      </c>
      <c r="E599" s="9">
        <v>117192</v>
      </c>
    </row>
    <row r="600" spans="1:5" x14ac:dyDescent="0.25">
      <c r="A600" s="8" t="s">
        <v>616</v>
      </c>
      <c r="B600" s="8" t="s">
        <v>591</v>
      </c>
      <c r="C600" s="8" t="s">
        <v>25</v>
      </c>
      <c r="D600" s="13">
        <v>45512</v>
      </c>
      <c r="E600" s="9">
        <v>171289</v>
      </c>
    </row>
    <row r="601" spans="1:5" x14ac:dyDescent="0.25">
      <c r="A601" s="8" t="s">
        <v>617</v>
      </c>
      <c r="B601" s="8" t="s">
        <v>591</v>
      </c>
      <c r="C601" s="8" t="s">
        <v>29</v>
      </c>
      <c r="D601" s="13">
        <v>45518</v>
      </c>
      <c r="E601" s="9">
        <v>280861</v>
      </c>
    </row>
    <row r="602" spans="1:5" x14ac:dyDescent="0.25">
      <c r="A602" s="8" t="s">
        <v>618</v>
      </c>
      <c r="B602" s="8" t="s">
        <v>591</v>
      </c>
      <c r="C602" s="8" t="s">
        <v>25</v>
      </c>
      <c r="D602" s="13">
        <v>45525</v>
      </c>
      <c r="E602" s="9">
        <v>117169</v>
      </c>
    </row>
    <row r="603" spans="1:5" x14ac:dyDescent="0.25">
      <c r="A603" s="8" t="s">
        <v>619</v>
      </c>
      <c r="B603" s="8" t="s">
        <v>591</v>
      </c>
      <c r="C603" s="8" t="s">
        <v>110</v>
      </c>
      <c r="D603" s="13">
        <v>45537</v>
      </c>
      <c r="E603" s="9">
        <v>124636</v>
      </c>
    </row>
    <row r="604" spans="1:5" x14ac:dyDescent="0.25">
      <c r="A604" s="8" t="s">
        <v>620</v>
      </c>
      <c r="B604" s="8" t="s">
        <v>591</v>
      </c>
      <c r="C604" s="8" t="s">
        <v>21</v>
      </c>
      <c r="D604" s="13">
        <v>45541</v>
      </c>
      <c r="E604" s="9">
        <v>103399</v>
      </c>
    </row>
    <row r="605" spans="1:5" x14ac:dyDescent="0.25">
      <c r="A605" s="8" t="s">
        <v>621</v>
      </c>
      <c r="B605" s="8" t="s">
        <v>591</v>
      </c>
      <c r="C605" s="8" t="s">
        <v>73</v>
      </c>
      <c r="D605" s="13">
        <v>45542</v>
      </c>
      <c r="E605" s="9">
        <v>255753</v>
      </c>
    </row>
    <row r="606" spans="1:5" x14ac:dyDescent="0.25">
      <c r="A606" s="8" t="s">
        <v>622</v>
      </c>
      <c r="B606" s="8" t="s">
        <v>591</v>
      </c>
      <c r="C606" s="8" t="s">
        <v>21</v>
      </c>
      <c r="D606" s="13">
        <v>45546</v>
      </c>
      <c r="E606" s="9">
        <v>298388</v>
      </c>
    </row>
    <row r="607" spans="1:5" x14ac:dyDescent="0.25">
      <c r="A607" s="8" t="s">
        <v>623</v>
      </c>
      <c r="B607" s="8" t="s">
        <v>591</v>
      </c>
      <c r="C607" s="8" t="s">
        <v>73</v>
      </c>
      <c r="D607" s="13">
        <v>45552</v>
      </c>
      <c r="E607" s="9">
        <v>267830</v>
      </c>
    </row>
    <row r="608" spans="1:5" x14ac:dyDescent="0.25">
      <c r="A608" s="8" t="s">
        <v>624</v>
      </c>
      <c r="B608" s="8" t="s">
        <v>591</v>
      </c>
      <c r="C608" s="8" t="s">
        <v>12</v>
      </c>
      <c r="D608" s="13">
        <v>45565</v>
      </c>
      <c r="E608" s="9">
        <v>164328</v>
      </c>
    </row>
    <row r="609" spans="1:5" x14ac:dyDescent="0.25">
      <c r="A609" s="8" t="s">
        <v>625</v>
      </c>
      <c r="B609" s="8" t="s">
        <v>591</v>
      </c>
      <c r="C609" s="8" t="s">
        <v>27</v>
      </c>
      <c r="D609" s="13">
        <v>45572</v>
      </c>
      <c r="E609" s="9">
        <v>183351</v>
      </c>
    </row>
    <row r="610" spans="1:5" x14ac:dyDescent="0.25">
      <c r="A610" s="8" t="s">
        <v>626</v>
      </c>
      <c r="B610" s="8" t="s">
        <v>591</v>
      </c>
      <c r="C610" s="8" t="s">
        <v>17</v>
      </c>
      <c r="D610" s="13">
        <v>45590</v>
      </c>
      <c r="E610" s="9">
        <v>234843</v>
      </c>
    </row>
    <row r="611" spans="1:5" x14ac:dyDescent="0.25">
      <c r="A611" s="8" t="s">
        <v>627</v>
      </c>
      <c r="B611" s="8" t="s">
        <v>591</v>
      </c>
      <c r="C611" s="8" t="s">
        <v>73</v>
      </c>
      <c r="D611" s="13">
        <v>45600</v>
      </c>
      <c r="E611" s="9">
        <v>557284</v>
      </c>
    </row>
    <row r="612" spans="1:5" x14ac:dyDescent="0.25">
      <c r="A612" s="8" t="s">
        <v>628</v>
      </c>
      <c r="B612" s="8" t="s">
        <v>591</v>
      </c>
      <c r="C612" s="8" t="s">
        <v>110</v>
      </c>
      <c r="D612" s="13">
        <v>45605</v>
      </c>
      <c r="E612" s="9">
        <v>116973</v>
      </c>
    </row>
    <row r="613" spans="1:5" x14ac:dyDescent="0.25">
      <c r="A613" s="8" t="s">
        <v>629</v>
      </c>
      <c r="B613" s="8" t="s">
        <v>591</v>
      </c>
      <c r="C613" s="8" t="s">
        <v>21</v>
      </c>
      <c r="D613" s="13">
        <v>45643</v>
      </c>
      <c r="E613" s="9">
        <v>129390</v>
      </c>
    </row>
    <row r="614" spans="1:5" x14ac:dyDescent="0.25">
      <c r="A614" s="8" t="s">
        <v>630</v>
      </c>
      <c r="B614" s="8" t="s">
        <v>591</v>
      </c>
      <c r="C614" s="8" t="s">
        <v>8</v>
      </c>
      <c r="D614" s="13">
        <v>45654</v>
      </c>
      <c r="E614" s="9">
        <v>206284</v>
      </c>
    </row>
    <row r="615" spans="1:5" x14ac:dyDescent="0.25">
      <c r="A615" s="8" t="s">
        <v>631</v>
      </c>
      <c r="B615" s="8" t="s">
        <v>591</v>
      </c>
      <c r="C615" s="8" t="s">
        <v>50</v>
      </c>
      <c r="D615" s="13">
        <v>45657</v>
      </c>
      <c r="E615" s="9">
        <v>124654</v>
      </c>
    </row>
    <row r="616" spans="1:5" x14ac:dyDescent="0.25">
      <c r="A616" s="8" t="s">
        <v>632</v>
      </c>
      <c r="B616" s="8" t="s">
        <v>591</v>
      </c>
      <c r="C616" s="8" t="s">
        <v>37</v>
      </c>
      <c r="D616" s="13">
        <v>45666</v>
      </c>
      <c r="E616" s="9">
        <v>213339</v>
      </c>
    </row>
    <row r="617" spans="1:5" x14ac:dyDescent="0.25">
      <c r="A617" s="8" t="s">
        <v>633</v>
      </c>
      <c r="B617" s="8" t="s">
        <v>591</v>
      </c>
      <c r="C617" s="8" t="s">
        <v>19</v>
      </c>
      <c r="D617" s="13">
        <v>45682</v>
      </c>
      <c r="E617" s="9">
        <v>170006</v>
      </c>
    </row>
    <row r="618" spans="1:5" x14ac:dyDescent="0.25">
      <c r="A618" s="8" t="s">
        <v>634</v>
      </c>
      <c r="B618" s="8" t="s">
        <v>591</v>
      </c>
      <c r="C618" s="8" t="s">
        <v>110</v>
      </c>
      <c r="D618" s="13">
        <v>45700</v>
      </c>
      <c r="E618" s="9">
        <v>90248</v>
      </c>
    </row>
    <row r="619" spans="1:5" x14ac:dyDescent="0.25">
      <c r="A619" s="8" t="s">
        <v>635</v>
      </c>
      <c r="B619" s="8" t="s">
        <v>591</v>
      </c>
      <c r="C619" s="8" t="s">
        <v>109</v>
      </c>
      <c r="D619" s="13">
        <v>45714</v>
      </c>
      <c r="E619" s="9">
        <v>125479</v>
      </c>
    </row>
    <row r="620" spans="1:5" x14ac:dyDescent="0.25">
      <c r="A620" s="8" t="s">
        <v>636</v>
      </c>
      <c r="B620" s="8" t="s">
        <v>637</v>
      </c>
      <c r="C620" s="8" t="s">
        <v>108</v>
      </c>
      <c r="D620" s="13">
        <v>45191</v>
      </c>
      <c r="E620" s="9">
        <v>31135</v>
      </c>
    </row>
    <row r="621" spans="1:5" x14ac:dyDescent="0.25">
      <c r="A621" s="8" t="s">
        <v>638</v>
      </c>
      <c r="B621" s="8" t="s">
        <v>637</v>
      </c>
      <c r="C621" s="8" t="s">
        <v>44</v>
      </c>
      <c r="D621" s="13">
        <v>45210</v>
      </c>
      <c r="E621" s="9">
        <v>18097</v>
      </c>
    </row>
    <row r="622" spans="1:5" x14ac:dyDescent="0.25">
      <c r="A622" s="8" t="s">
        <v>639</v>
      </c>
      <c r="B622" s="8" t="s">
        <v>637</v>
      </c>
      <c r="C622" s="8" t="s">
        <v>37</v>
      </c>
      <c r="D622" s="13">
        <v>45212</v>
      </c>
      <c r="E622" s="9">
        <v>26583</v>
      </c>
    </row>
    <row r="623" spans="1:5" x14ac:dyDescent="0.25">
      <c r="A623" s="8" t="s">
        <v>640</v>
      </c>
      <c r="B623" s="8" t="s">
        <v>637</v>
      </c>
      <c r="C623" s="8" t="s">
        <v>108</v>
      </c>
      <c r="D623" s="13">
        <v>45219</v>
      </c>
      <c r="E623" s="9">
        <v>19389</v>
      </c>
    </row>
    <row r="624" spans="1:5" x14ac:dyDescent="0.25">
      <c r="A624" s="8" t="s">
        <v>641</v>
      </c>
      <c r="B624" s="8" t="s">
        <v>637</v>
      </c>
      <c r="C624" s="8" t="s">
        <v>48</v>
      </c>
      <c r="D624" s="13">
        <v>45220</v>
      </c>
      <c r="E624" s="9">
        <v>34088</v>
      </c>
    </row>
    <row r="625" spans="1:5" x14ac:dyDescent="0.25">
      <c r="A625" s="8" t="s">
        <v>642</v>
      </c>
      <c r="B625" s="8" t="s">
        <v>637</v>
      </c>
      <c r="C625" s="8" t="s">
        <v>35</v>
      </c>
      <c r="D625" s="13">
        <v>45222</v>
      </c>
      <c r="E625" s="9">
        <v>24459</v>
      </c>
    </row>
    <row r="626" spans="1:5" x14ac:dyDescent="0.25">
      <c r="A626" s="8" t="s">
        <v>643</v>
      </c>
      <c r="B626" s="8" t="s">
        <v>637</v>
      </c>
      <c r="C626" s="8" t="s">
        <v>17</v>
      </c>
      <c r="D626" s="13">
        <v>45233</v>
      </c>
      <c r="E626" s="9">
        <v>31940</v>
      </c>
    </row>
    <row r="627" spans="1:5" x14ac:dyDescent="0.25">
      <c r="A627" s="8" t="s">
        <v>644</v>
      </c>
      <c r="B627" s="8" t="s">
        <v>637</v>
      </c>
      <c r="C627" s="8" t="s">
        <v>14</v>
      </c>
      <c r="D627" s="13">
        <v>45262</v>
      </c>
      <c r="E627" s="9">
        <v>36071</v>
      </c>
    </row>
    <row r="628" spans="1:5" x14ac:dyDescent="0.25">
      <c r="A628" s="8" t="s">
        <v>645</v>
      </c>
      <c r="B628" s="8" t="s">
        <v>637</v>
      </c>
      <c r="C628" s="8" t="s">
        <v>17</v>
      </c>
      <c r="D628" s="13">
        <v>45274</v>
      </c>
      <c r="E628" s="9">
        <v>40349</v>
      </c>
    </row>
    <row r="629" spans="1:5" x14ac:dyDescent="0.25">
      <c r="A629" s="8" t="s">
        <v>646</v>
      </c>
      <c r="B629" s="8" t="s">
        <v>637</v>
      </c>
      <c r="C629" s="8" t="s">
        <v>6</v>
      </c>
      <c r="D629" s="13">
        <v>45295</v>
      </c>
      <c r="E629" s="9">
        <v>23671</v>
      </c>
    </row>
    <row r="630" spans="1:5" x14ac:dyDescent="0.25">
      <c r="A630" s="8" t="s">
        <v>647</v>
      </c>
      <c r="B630" s="8" t="s">
        <v>637</v>
      </c>
      <c r="C630" s="8" t="s">
        <v>35</v>
      </c>
      <c r="D630" s="13">
        <v>45311</v>
      </c>
      <c r="E630" s="9">
        <v>29733</v>
      </c>
    </row>
    <row r="631" spans="1:5" x14ac:dyDescent="0.25">
      <c r="A631" s="8" t="s">
        <v>648</v>
      </c>
      <c r="B631" s="8" t="s">
        <v>637</v>
      </c>
      <c r="C631" s="8" t="s">
        <v>35</v>
      </c>
      <c r="D631" s="13">
        <v>45325</v>
      </c>
      <c r="E631" s="9">
        <v>34230</v>
      </c>
    </row>
    <row r="632" spans="1:5" x14ac:dyDescent="0.25">
      <c r="A632" s="8" t="s">
        <v>649</v>
      </c>
      <c r="B632" s="8" t="s">
        <v>637</v>
      </c>
      <c r="C632" s="8" t="s">
        <v>108</v>
      </c>
      <c r="D632" s="13">
        <v>45330</v>
      </c>
      <c r="E632" s="9">
        <v>51509</v>
      </c>
    </row>
    <row r="633" spans="1:5" x14ac:dyDescent="0.25">
      <c r="A633" s="8" t="s">
        <v>650</v>
      </c>
      <c r="B633" s="8" t="s">
        <v>637</v>
      </c>
      <c r="C633" s="8" t="s">
        <v>50</v>
      </c>
      <c r="D633" s="13">
        <v>45339</v>
      </c>
      <c r="E633" s="9">
        <v>51877</v>
      </c>
    </row>
    <row r="634" spans="1:5" x14ac:dyDescent="0.25">
      <c r="A634" s="8" t="s">
        <v>651</v>
      </c>
      <c r="B634" s="8" t="s">
        <v>637</v>
      </c>
      <c r="C634" s="8" t="s">
        <v>55</v>
      </c>
      <c r="D634" s="13">
        <v>45356</v>
      </c>
      <c r="E634" s="9">
        <v>27403</v>
      </c>
    </row>
    <row r="635" spans="1:5" x14ac:dyDescent="0.25">
      <c r="A635" s="8" t="s">
        <v>652</v>
      </c>
      <c r="B635" s="8" t="s">
        <v>637</v>
      </c>
      <c r="C635" s="8" t="s">
        <v>8</v>
      </c>
      <c r="D635" s="13">
        <v>45362</v>
      </c>
      <c r="E635" s="9">
        <v>42001</v>
      </c>
    </row>
    <row r="636" spans="1:5" x14ac:dyDescent="0.25">
      <c r="A636" s="8" t="s">
        <v>653</v>
      </c>
      <c r="B636" s="8" t="s">
        <v>637</v>
      </c>
      <c r="C636" s="8" t="s">
        <v>25</v>
      </c>
      <c r="D636" s="13">
        <v>45365</v>
      </c>
      <c r="E636" s="9">
        <v>49821</v>
      </c>
    </row>
    <row r="637" spans="1:5" x14ac:dyDescent="0.25">
      <c r="A637" s="8" t="s">
        <v>654</v>
      </c>
      <c r="B637" s="8" t="s">
        <v>637</v>
      </c>
      <c r="C637" s="8" t="s">
        <v>35</v>
      </c>
      <c r="D637" s="13">
        <v>45383</v>
      </c>
      <c r="E637" s="9">
        <v>44294</v>
      </c>
    </row>
    <row r="638" spans="1:5" x14ac:dyDescent="0.25">
      <c r="A638" s="8" t="s">
        <v>655</v>
      </c>
      <c r="B638" s="8" t="s">
        <v>637</v>
      </c>
      <c r="C638" s="8" t="s">
        <v>35</v>
      </c>
      <c r="D638" s="13">
        <v>45389</v>
      </c>
      <c r="E638" s="9">
        <v>36595</v>
      </c>
    </row>
    <row r="639" spans="1:5" x14ac:dyDescent="0.25">
      <c r="A639" s="8" t="s">
        <v>656</v>
      </c>
      <c r="B639" s="8" t="s">
        <v>637</v>
      </c>
      <c r="C639" s="8" t="s">
        <v>14</v>
      </c>
      <c r="D639" s="13">
        <v>45399</v>
      </c>
      <c r="E639" s="9">
        <v>27827</v>
      </c>
    </row>
    <row r="640" spans="1:5" x14ac:dyDescent="0.25">
      <c r="A640" s="8" t="s">
        <v>657</v>
      </c>
      <c r="B640" s="8" t="s">
        <v>637</v>
      </c>
      <c r="C640" s="8" t="s">
        <v>6</v>
      </c>
      <c r="D640" s="13">
        <v>45413</v>
      </c>
      <c r="E640" s="9">
        <v>40907</v>
      </c>
    </row>
    <row r="641" spans="1:5" x14ac:dyDescent="0.25">
      <c r="A641" s="8" t="s">
        <v>658</v>
      </c>
      <c r="B641" s="8" t="s">
        <v>637</v>
      </c>
      <c r="C641" s="8" t="s">
        <v>19</v>
      </c>
      <c r="D641" s="13">
        <v>45427</v>
      </c>
      <c r="E641" s="9">
        <v>104402</v>
      </c>
    </row>
    <row r="642" spans="1:5" x14ac:dyDescent="0.25">
      <c r="A642" s="8" t="s">
        <v>659</v>
      </c>
      <c r="B642" s="8" t="s">
        <v>660</v>
      </c>
      <c r="C642" s="8" t="s">
        <v>19</v>
      </c>
      <c r="D642" s="13">
        <v>45140</v>
      </c>
      <c r="E642" s="9">
        <v>37361</v>
      </c>
    </row>
    <row r="643" spans="1:5" x14ac:dyDescent="0.25">
      <c r="A643" s="8" t="s">
        <v>661</v>
      </c>
      <c r="B643" s="8" t="s">
        <v>660</v>
      </c>
      <c r="C643" s="8" t="s">
        <v>33</v>
      </c>
      <c r="D643" s="13">
        <v>45144</v>
      </c>
      <c r="E643" s="9">
        <v>35682</v>
      </c>
    </row>
    <row r="644" spans="1:5" x14ac:dyDescent="0.25">
      <c r="A644" s="8" t="s">
        <v>662</v>
      </c>
      <c r="B644" s="8" t="s">
        <v>660</v>
      </c>
      <c r="C644" s="8" t="s">
        <v>50</v>
      </c>
      <c r="D644" s="13">
        <v>45155</v>
      </c>
      <c r="E644" s="9">
        <v>48553</v>
      </c>
    </row>
    <row r="645" spans="1:5" x14ac:dyDescent="0.25">
      <c r="A645" s="8" t="s">
        <v>663</v>
      </c>
      <c r="B645" s="8" t="s">
        <v>660</v>
      </c>
      <c r="C645" s="8" t="s">
        <v>6</v>
      </c>
      <c r="D645" s="13">
        <v>45158</v>
      </c>
      <c r="E645" s="9">
        <v>35897</v>
      </c>
    </row>
    <row r="646" spans="1:5" x14ac:dyDescent="0.25">
      <c r="A646" s="8" t="s">
        <v>664</v>
      </c>
      <c r="B646" s="8" t="s">
        <v>660</v>
      </c>
      <c r="C646" s="8" t="s">
        <v>19</v>
      </c>
      <c r="D646" s="13">
        <v>45183</v>
      </c>
      <c r="E646" s="9">
        <v>36065</v>
      </c>
    </row>
    <row r="647" spans="1:5" x14ac:dyDescent="0.25">
      <c r="A647" s="8" t="s">
        <v>665</v>
      </c>
      <c r="B647" s="8" t="s">
        <v>660</v>
      </c>
      <c r="C647" s="8" t="s">
        <v>33</v>
      </c>
      <c r="D647" s="13">
        <v>45183</v>
      </c>
      <c r="E647" s="9">
        <v>53398</v>
      </c>
    </row>
    <row r="648" spans="1:5" x14ac:dyDescent="0.25">
      <c r="A648" s="8" t="s">
        <v>666</v>
      </c>
      <c r="B648" s="8" t="s">
        <v>660</v>
      </c>
      <c r="C648" s="8" t="s">
        <v>91</v>
      </c>
      <c r="D648" s="13">
        <v>45192</v>
      </c>
      <c r="E648" s="9">
        <v>33494</v>
      </c>
    </row>
    <row r="649" spans="1:5" x14ac:dyDescent="0.25">
      <c r="A649" s="8" t="s">
        <v>667</v>
      </c>
      <c r="B649" s="8" t="s">
        <v>660</v>
      </c>
      <c r="C649" s="8" t="s">
        <v>21</v>
      </c>
      <c r="D649" s="13">
        <v>45226</v>
      </c>
      <c r="E649" s="9">
        <v>39629</v>
      </c>
    </row>
    <row r="650" spans="1:5" x14ac:dyDescent="0.25">
      <c r="A650" s="8" t="s">
        <v>668</v>
      </c>
      <c r="B650" s="8" t="s">
        <v>660</v>
      </c>
      <c r="C650" s="8" t="s">
        <v>17</v>
      </c>
      <c r="D650" s="13">
        <v>45244</v>
      </c>
      <c r="E650" s="9">
        <v>52153</v>
      </c>
    </row>
    <row r="651" spans="1:5" x14ac:dyDescent="0.25">
      <c r="A651" s="8" t="s">
        <v>669</v>
      </c>
      <c r="B651" s="8" t="s">
        <v>660</v>
      </c>
      <c r="C651" s="8" t="s">
        <v>110</v>
      </c>
      <c r="D651" s="13">
        <v>45252</v>
      </c>
      <c r="E651" s="9">
        <v>39246</v>
      </c>
    </row>
    <row r="652" spans="1:5" x14ac:dyDescent="0.25">
      <c r="A652" s="8" t="s">
        <v>670</v>
      </c>
      <c r="B652" s="8" t="s">
        <v>660</v>
      </c>
      <c r="C652" s="8" t="s">
        <v>73</v>
      </c>
      <c r="D652" s="13">
        <v>45263</v>
      </c>
      <c r="E652" s="9">
        <v>52290</v>
      </c>
    </row>
    <row r="653" spans="1:5" x14ac:dyDescent="0.25">
      <c r="A653" s="8" t="s">
        <v>671</v>
      </c>
      <c r="B653" s="8" t="s">
        <v>660</v>
      </c>
      <c r="C653" s="8" t="s">
        <v>35</v>
      </c>
      <c r="D653" s="13">
        <v>45280</v>
      </c>
      <c r="E653" s="9">
        <v>54988</v>
      </c>
    </row>
    <row r="654" spans="1:5" x14ac:dyDescent="0.25">
      <c r="A654" s="8" t="s">
        <v>672</v>
      </c>
      <c r="B654" s="8" t="s">
        <v>660</v>
      </c>
      <c r="C654" s="8" t="s">
        <v>8</v>
      </c>
      <c r="D654" s="13">
        <v>45281</v>
      </c>
      <c r="E654" s="9">
        <v>60541</v>
      </c>
    </row>
    <row r="655" spans="1:5" x14ac:dyDescent="0.25">
      <c r="A655" s="8" t="s">
        <v>673</v>
      </c>
      <c r="B655" s="8" t="s">
        <v>660</v>
      </c>
      <c r="C655" s="8" t="s">
        <v>23</v>
      </c>
      <c r="D655" s="13">
        <v>45286</v>
      </c>
      <c r="E655" s="9">
        <v>42380</v>
      </c>
    </row>
    <row r="656" spans="1:5" x14ac:dyDescent="0.25">
      <c r="A656" s="8" t="s">
        <v>674</v>
      </c>
      <c r="B656" s="8" t="s">
        <v>660</v>
      </c>
      <c r="C656" s="8" t="s">
        <v>44</v>
      </c>
      <c r="D656" s="13">
        <v>45288</v>
      </c>
      <c r="E656" s="9">
        <v>25108</v>
      </c>
    </row>
    <row r="657" spans="1:5" x14ac:dyDescent="0.25">
      <c r="A657" s="8" t="s">
        <v>675</v>
      </c>
      <c r="B657" s="8" t="s">
        <v>660</v>
      </c>
      <c r="C657" s="8" t="s">
        <v>109</v>
      </c>
      <c r="D657" s="13">
        <v>45292</v>
      </c>
      <c r="E657" s="9">
        <v>65587</v>
      </c>
    </row>
    <row r="658" spans="1:5" x14ac:dyDescent="0.25">
      <c r="A658" s="8" t="s">
        <v>676</v>
      </c>
      <c r="B658" s="8" t="s">
        <v>660</v>
      </c>
      <c r="C658" s="8" t="s">
        <v>110</v>
      </c>
      <c r="D658" s="13">
        <v>45303</v>
      </c>
      <c r="E658" s="9">
        <v>41892</v>
      </c>
    </row>
    <row r="659" spans="1:5" x14ac:dyDescent="0.25">
      <c r="A659" s="8" t="s">
        <v>677</v>
      </c>
      <c r="B659" s="8" t="s">
        <v>660</v>
      </c>
      <c r="C659" s="8" t="s">
        <v>37</v>
      </c>
      <c r="D659" s="13">
        <v>45305</v>
      </c>
      <c r="E659" s="9">
        <v>33477</v>
      </c>
    </row>
    <row r="660" spans="1:5" x14ac:dyDescent="0.25">
      <c r="A660" s="8" t="s">
        <v>678</v>
      </c>
      <c r="B660" s="8" t="s">
        <v>660</v>
      </c>
      <c r="C660" s="8" t="s">
        <v>33</v>
      </c>
      <c r="D660" s="13">
        <v>45308</v>
      </c>
      <c r="E660" s="9">
        <v>28871</v>
      </c>
    </row>
    <row r="661" spans="1:5" x14ac:dyDescent="0.25">
      <c r="A661" s="8" t="s">
        <v>679</v>
      </c>
      <c r="B661" s="8" t="s">
        <v>660</v>
      </c>
      <c r="C661" s="8" t="s">
        <v>35</v>
      </c>
      <c r="D661" s="13">
        <v>45330</v>
      </c>
      <c r="E661" s="9">
        <v>53404</v>
      </c>
    </row>
    <row r="662" spans="1:5" x14ac:dyDescent="0.25">
      <c r="A662" s="8" t="s">
        <v>680</v>
      </c>
      <c r="B662" s="8" t="s">
        <v>660</v>
      </c>
      <c r="C662" s="8" t="s">
        <v>73</v>
      </c>
      <c r="D662" s="13">
        <v>45337</v>
      </c>
      <c r="E662" s="9">
        <v>101220</v>
      </c>
    </row>
    <row r="663" spans="1:5" x14ac:dyDescent="0.25">
      <c r="A663" s="8" t="s">
        <v>681</v>
      </c>
      <c r="B663" s="8" t="s">
        <v>660</v>
      </c>
      <c r="C663" s="8" t="s">
        <v>14</v>
      </c>
      <c r="D663" s="13">
        <v>45343</v>
      </c>
      <c r="E663" s="9">
        <v>35093</v>
      </c>
    </row>
    <row r="664" spans="1:5" x14ac:dyDescent="0.25">
      <c r="A664" s="8" t="s">
        <v>682</v>
      </c>
      <c r="B664" s="8" t="s">
        <v>660</v>
      </c>
      <c r="C664" s="8" t="s">
        <v>110</v>
      </c>
      <c r="D664" s="13">
        <v>45366</v>
      </c>
      <c r="E664" s="9">
        <v>60736</v>
      </c>
    </row>
    <row r="665" spans="1:5" x14ac:dyDescent="0.25">
      <c r="A665" s="8" t="s">
        <v>683</v>
      </c>
      <c r="B665" s="8" t="s">
        <v>660</v>
      </c>
      <c r="C665" s="8" t="s">
        <v>44</v>
      </c>
      <c r="D665" s="13">
        <v>45383</v>
      </c>
      <c r="E665" s="9">
        <v>43111</v>
      </c>
    </row>
    <row r="666" spans="1:5" x14ac:dyDescent="0.25">
      <c r="A666" s="8" t="s">
        <v>684</v>
      </c>
      <c r="B666" s="8" t="s">
        <v>660</v>
      </c>
      <c r="C666" s="8" t="s">
        <v>110</v>
      </c>
      <c r="D666" s="13">
        <v>45385</v>
      </c>
      <c r="E666" s="9">
        <v>37111</v>
      </c>
    </row>
    <row r="667" spans="1:5" x14ac:dyDescent="0.25">
      <c r="A667" s="8" t="s">
        <v>1848</v>
      </c>
      <c r="B667" s="8" t="s">
        <v>660</v>
      </c>
      <c r="C667" s="8" t="s">
        <v>23</v>
      </c>
      <c r="D667" s="13">
        <v>45430</v>
      </c>
      <c r="E667" s="9">
        <v>37044</v>
      </c>
    </row>
    <row r="668" spans="1:5" x14ac:dyDescent="0.25">
      <c r="A668" s="8" t="s">
        <v>1849</v>
      </c>
      <c r="B668" s="8" t="s">
        <v>660</v>
      </c>
      <c r="C668" s="8" t="s">
        <v>10</v>
      </c>
      <c r="D668" s="13">
        <v>45432</v>
      </c>
      <c r="E668" s="9">
        <v>186597</v>
      </c>
    </row>
    <row r="669" spans="1:5" x14ac:dyDescent="0.25">
      <c r="A669" s="8" t="s">
        <v>1850</v>
      </c>
      <c r="B669" s="8" t="s">
        <v>660</v>
      </c>
      <c r="C669" s="8" t="s">
        <v>33</v>
      </c>
      <c r="D669" s="13">
        <v>45434</v>
      </c>
      <c r="E669" s="9">
        <v>46199</v>
      </c>
    </row>
    <row r="670" spans="1:5" x14ac:dyDescent="0.25">
      <c r="A670" s="8" t="s">
        <v>1851</v>
      </c>
      <c r="B670" s="8" t="s">
        <v>660</v>
      </c>
      <c r="C670" s="8" t="s">
        <v>27</v>
      </c>
      <c r="D670" s="13">
        <v>45465</v>
      </c>
      <c r="E670" s="9">
        <v>72277</v>
      </c>
    </row>
    <row r="671" spans="1:5" x14ac:dyDescent="0.25">
      <c r="A671" s="8" t="s">
        <v>1852</v>
      </c>
      <c r="B671" s="8" t="s">
        <v>660</v>
      </c>
      <c r="C671" s="8" t="s">
        <v>35</v>
      </c>
      <c r="D671" s="13">
        <v>45496</v>
      </c>
      <c r="E671" s="9">
        <v>35837</v>
      </c>
    </row>
    <row r="672" spans="1:5" x14ac:dyDescent="0.25">
      <c r="A672" s="8" t="s">
        <v>1853</v>
      </c>
      <c r="B672" s="8" t="s">
        <v>660</v>
      </c>
      <c r="C672" s="8" t="s">
        <v>33</v>
      </c>
      <c r="D672" s="13">
        <v>45508</v>
      </c>
      <c r="E672" s="9">
        <v>34933</v>
      </c>
    </row>
    <row r="673" spans="1:5" x14ac:dyDescent="0.25">
      <c r="A673" s="8" t="s">
        <v>1854</v>
      </c>
      <c r="B673" s="8" t="s">
        <v>660</v>
      </c>
      <c r="C673" s="8" t="s">
        <v>73</v>
      </c>
      <c r="D673" s="13">
        <v>45519</v>
      </c>
      <c r="E673" s="9">
        <v>62716</v>
      </c>
    </row>
    <row r="674" spans="1:5" x14ac:dyDescent="0.25">
      <c r="A674" s="8" t="s">
        <v>1855</v>
      </c>
      <c r="B674" s="8" t="s">
        <v>660</v>
      </c>
      <c r="C674" s="8" t="s">
        <v>33</v>
      </c>
      <c r="D674" s="13">
        <v>45522</v>
      </c>
      <c r="E674" s="9">
        <v>61550</v>
      </c>
    </row>
    <row r="675" spans="1:5" x14ac:dyDescent="0.25">
      <c r="A675" s="8" t="s">
        <v>1856</v>
      </c>
      <c r="B675" s="8" t="s">
        <v>660</v>
      </c>
      <c r="C675" s="8" t="s">
        <v>37</v>
      </c>
      <c r="D675" s="13">
        <v>45530</v>
      </c>
      <c r="E675" s="9">
        <v>59220</v>
      </c>
    </row>
    <row r="676" spans="1:5" x14ac:dyDescent="0.25">
      <c r="A676" s="8" t="s">
        <v>1857</v>
      </c>
      <c r="B676" s="8" t="s">
        <v>660</v>
      </c>
      <c r="C676" s="8" t="s">
        <v>23</v>
      </c>
      <c r="D676" s="13">
        <v>45534</v>
      </c>
      <c r="E676" s="9">
        <v>228508</v>
      </c>
    </row>
    <row r="677" spans="1:5" x14ac:dyDescent="0.25">
      <c r="A677" s="8" t="s">
        <v>1858</v>
      </c>
      <c r="B677" s="8" t="s">
        <v>660</v>
      </c>
      <c r="C677" s="8" t="s">
        <v>8</v>
      </c>
      <c r="D677" s="13">
        <v>45538</v>
      </c>
      <c r="E677" s="9">
        <v>45225</v>
      </c>
    </row>
    <row r="678" spans="1:5" x14ac:dyDescent="0.25">
      <c r="A678" s="8" t="s">
        <v>1859</v>
      </c>
      <c r="B678" s="8" t="s">
        <v>660</v>
      </c>
      <c r="C678" s="8" t="s">
        <v>71</v>
      </c>
      <c r="D678" s="13">
        <v>45563</v>
      </c>
      <c r="E678" s="9">
        <v>53809</v>
      </c>
    </row>
    <row r="679" spans="1:5" x14ac:dyDescent="0.25">
      <c r="A679" s="8" t="s">
        <v>1860</v>
      </c>
      <c r="B679" s="8" t="s">
        <v>660</v>
      </c>
      <c r="C679" s="8" t="s">
        <v>14</v>
      </c>
      <c r="D679" s="13">
        <v>45567</v>
      </c>
      <c r="E679" s="9">
        <v>27984</v>
      </c>
    </row>
    <row r="680" spans="1:5" x14ac:dyDescent="0.25">
      <c r="A680" s="8" t="s">
        <v>1861</v>
      </c>
      <c r="B680" s="8" t="s">
        <v>660</v>
      </c>
      <c r="C680" s="8" t="s">
        <v>35</v>
      </c>
      <c r="D680" s="13">
        <v>45568</v>
      </c>
      <c r="E680" s="9">
        <v>74874</v>
      </c>
    </row>
    <row r="681" spans="1:5" x14ac:dyDescent="0.25">
      <c r="A681" s="8" t="s">
        <v>1862</v>
      </c>
      <c r="B681" s="8" t="s">
        <v>660</v>
      </c>
      <c r="C681" s="8" t="s">
        <v>17</v>
      </c>
      <c r="D681" s="13">
        <v>45572</v>
      </c>
      <c r="E681" s="9">
        <v>39042</v>
      </c>
    </row>
    <row r="682" spans="1:5" x14ac:dyDescent="0.25">
      <c r="A682" s="8" t="s">
        <v>1863</v>
      </c>
      <c r="B682" s="8" t="s">
        <v>660</v>
      </c>
      <c r="C682" s="8" t="s">
        <v>35</v>
      </c>
      <c r="D682" s="13">
        <v>45586</v>
      </c>
      <c r="E682" s="9">
        <v>58109</v>
      </c>
    </row>
    <row r="683" spans="1:5" x14ac:dyDescent="0.25">
      <c r="A683" s="8" t="s">
        <v>1864</v>
      </c>
      <c r="B683" s="8" t="s">
        <v>660</v>
      </c>
      <c r="C683" s="8" t="s">
        <v>73</v>
      </c>
      <c r="D683" s="13">
        <v>45593</v>
      </c>
      <c r="E683" s="9">
        <v>62527</v>
      </c>
    </row>
    <row r="684" spans="1:5" x14ac:dyDescent="0.25">
      <c r="A684" s="8" t="s">
        <v>1865</v>
      </c>
      <c r="B684" s="8" t="s">
        <v>660</v>
      </c>
      <c r="C684" s="8" t="s">
        <v>35</v>
      </c>
      <c r="D684" s="13">
        <v>45598</v>
      </c>
      <c r="E684" s="9">
        <v>25557</v>
      </c>
    </row>
    <row r="685" spans="1:5" x14ac:dyDescent="0.25">
      <c r="A685" s="8" t="s">
        <v>1866</v>
      </c>
      <c r="B685" s="8" t="s">
        <v>660</v>
      </c>
      <c r="C685" s="8" t="s">
        <v>91</v>
      </c>
      <c r="D685" s="13">
        <v>45611</v>
      </c>
      <c r="E685" s="9">
        <v>23968</v>
      </c>
    </row>
    <row r="686" spans="1:5" x14ac:dyDescent="0.25">
      <c r="A686" s="8" t="s">
        <v>1867</v>
      </c>
      <c r="B686" s="8" t="s">
        <v>660</v>
      </c>
      <c r="C686" s="8" t="s">
        <v>73</v>
      </c>
      <c r="D686" s="13">
        <v>45619</v>
      </c>
      <c r="E686" s="9">
        <v>22424</v>
      </c>
    </row>
    <row r="687" spans="1:5" x14ac:dyDescent="0.25">
      <c r="A687" s="8" t="s">
        <v>1868</v>
      </c>
      <c r="B687" s="8" t="s">
        <v>660</v>
      </c>
      <c r="C687" s="8" t="s">
        <v>25</v>
      </c>
      <c r="D687" s="13">
        <v>45619</v>
      </c>
      <c r="E687" s="9">
        <v>52749</v>
      </c>
    </row>
    <row r="688" spans="1:5" x14ac:dyDescent="0.25">
      <c r="A688" s="8" t="s">
        <v>1869</v>
      </c>
      <c r="B688" s="8" t="s">
        <v>660</v>
      </c>
      <c r="C688" s="8" t="s">
        <v>48</v>
      </c>
      <c r="D688" s="13">
        <v>45622</v>
      </c>
      <c r="E688" s="9">
        <v>41982</v>
      </c>
    </row>
    <row r="689" spans="1:5" x14ac:dyDescent="0.25">
      <c r="A689" s="8" t="s">
        <v>1870</v>
      </c>
      <c r="B689" s="8" t="s">
        <v>660</v>
      </c>
      <c r="C689" s="8" t="s">
        <v>33</v>
      </c>
      <c r="D689" s="13">
        <v>45650</v>
      </c>
      <c r="E689" s="9">
        <v>22306</v>
      </c>
    </row>
    <row r="690" spans="1:5" x14ac:dyDescent="0.25">
      <c r="A690" s="8" t="s">
        <v>1871</v>
      </c>
      <c r="B690" s="8" t="s">
        <v>660</v>
      </c>
      <c r="C690" s="8" t="s">
        <v>91</v>
      </c>
      <c r="D690" s="13">
        <v>45653</v>
      </c>
      <c r="E690" s="9">
        <v>24172</v>
      </c>
    </row>
    <row r="691" spans="1:5" x14ac:dyDescent="0.25">
      <c r="A691" s="8" t="s">
        <v>1872</v>
      </c>
      <c r="B691" s="8" t="s">
        <v>660</v>
      </c>
      <c r="C691" s="8" t="s">
        <v>21</v>
      </c>
      <c r="D691" s="13">
        <v>45658</v>
      </c>
      <c r="E691" s="9">
        <v>44135</v>
      </c>
    </row>
    <row r="692" spans="1:5" x14ac:dyDescent="0.25">
      <c r="A692" s="8" t="s">
        <v>1873</v>
      </c>
      <c r="B692" s="8" t="s">
        <v>660</v>
      </c>
      <c r="C692" s="8" t="s">
        <v>14</v>
      </c>
      <c r="D692" s="13">
        <v>45664</v>
      </c>
      <c r="E692" s="9">
        <v>44137</v>
      </c>
    </row>
    <row r="693" spans="1:5" x14ac:dyDescent="0.25">
      <c r="A693" s="8" t="s">
        <v>1874</v>
      </c>
      <c r="B693" s="8" t="s">
        <v>660</v>
      </c>
      <c r="C693" s="8" t="s">
        <v>91</v>
      </c>
      <c r="D693" s="13">
        <v>45667</v>
      </c>
      <c r="E693" s="9">
        <v>27021</v>
      </c>
    </row>
    <row r="694" spans="1:5" x14ac:dyDescent="0.25">
      <c r="A694" s="8" t="s">
        <v>1875</v>
      </c>
      <c r="B694" s="8" t="s">
        <v>660</v>
      </c>
      <c r="C694" s="8" t="s">
        <v>109</v>
      </c>
      <c r="D694" s="13">
        <v>45677</v>
      </c>
      <c r="E694" s="9">
        <v>38661</v>
      </c>
    </row>
    <row r="695" spans="1:5" x14ac:dyDescent="0.25">
      <c r="A695" s="8" t="s">
        <v>1876</v>
      </c>
      <c r="B695" s="8" t="s">
        <v>660</v>
      </c>
      <c r="C695" s="8" t="s">
        <v>91</v>
      </c>
      <c r="D695" s="13">
        <v>45723</v>
      </c>
      <c r="E695" s="9">
        <v>23520</v>
      </c>
    </row>
    <row r="696" spans="1:5" x14ac:dyDescent="0.25">
      <c r="A696" s="8" t="s">
        <v>1877</v>
      </c>
      <c r="B696" s="8" t="s">
        <v>660</v>
      </c>
      <c r="C696" s="8" t="s">
        <v>109</v>
      </c>
      <c r="D696" s="13">
        <v>45727</v>
      </c>
      <c r="E696" s="9">
        <v>48574</v>
      </c>
    </row>
    <row r="697" spans="1:5" x14ac:dyDescent="0.25">
      <c r="A697" s="8" t="s">
        <v>1878</v>
      </c>
      <c r="B697" s="8" t="s">
        <v>660</v>
      </c>
      <c r="C697" s="8" t="s">
        <v>19</v>
      </c>
      <c r="D697" s="13">
        <v>45776</v>
      </c>
      <c r="E697" s="9">
        <v>34631</v>
      </c>
    </row>
    <row r="698" spans="1:5" x14ac:dyDescent="0.25">
      <c r="A698" s="8" t="s">
        <v>1879</v>
      </c>
      <c r="B698" s="8" t="s">
        <v>660</v>
      </c>
      <c r="C698" s="8" t="s">
        <v>10</v>
      </c>
      <c r="D698" s="13">
        <v>45831</v>
      </c>
      <c r="E698" s="9">
        <v>34095</v>
      </c>
    </row>
    <row r="699" spans="1:5" x14ac:dyDescent="0.25">
      <c r="A699" s="8" t="s">
        <v>1880</v>
      </c>
      <c r="B699" s="8" t="s">
        <v>660</v>
      </c>
      <c r="C699" s="8" t="s">
        <v>109</v>
      </c>
      <c r="D699" s="13">
        <v>45848</v>
      </c>
      <c r="E699" s="9">
        <v>32363</v>
      </c>
    </row>
    <row r="700" spans="1:5" x14ac:dyDescent="0.25">
      <c r="A700" s="8" t="s">
        <v>1881</v>
      </c>
      <c r="B700" s="8" t="s">
        <v>660</v>
      </c>
      <c r="C700" s="8" t="s">
        <v>35</v>
      </c>
      <c r="D700" s="13">
        <v>45870</v>
      </c>
      <c r="E700" s="9">
        <v>30728</v>
      </c>
    </row>
    <row r="701" spans="1:5" x14ac:dyDescent="0.25">
      <c r="A701" s="8" t="s">
        <v>1882</v>
      </c>
      <c r="B701" s="8" t="s">
        <v>660</v>
      </c>
      <c r="C701" s="8" t="s">
        <v>44</v>
      </c>
      <c r="D701" s="13">
        <v>45883</v>
      </c>
      <c r="E701" s="9">
        <v>49265</v>
      </c>
    </row>
    <row r="702" spans="1:5" x14ac:dyDescent="0.25">
      <c r="A702" s="8" t="s">
        <v>685</v>
      </c>
      <c r="B702" s="8" t="s">
        <v>686</v>
      </c>
      <c r="C702" s="8" t="s">
        <v>17</v>
      </c>
      <c r="D702" s="13">
        <v>45252</v>
      </c>
      <c r="E702" s="9">
        <v>45390</v>
      </c>
    </row>
    <row r="703" spans="1:5" x14ac:dyDescent="0.25">
      <c r="A703" s="8" t="s">
        <v>687</v>
      </c>
      <c r="B703" s="8" t="s">
        <v>686</v>
      </c>
      <c r="C703" s="8" t="s">
        <v>91</v>
      </c>
      <c r="D703" s="13">
        <v>45269</v>
      </c>
      <c r="E703" s="9">
        <v>23859</v>
      </c>
    </row>
    <row r="704" spans="1:5" x14ac:dyDescent="0.25">
      <c r="A704" s="8" t="s">
        <v>688</v>
      </c>
      <c r="B704" s="8" t="s">
        <v>686</v>
      </c>
      <c r="C704" s="8" t="s">
        <v>73</v>
      </c>
      <c r="D704" s="13">
        <v>45279</v>
      </c>
      <c r="E704" s="9">
        <v>52386</v>
      </c>
    </row>
    <row r="705" spans="1:5" x14ac:dyDescent="0.25">
      <c r="A705" s="8" t="s">
        <v>689</v>
      </c>
      <c r="B705" s="8" t="s">
        <v>686</v>
      </c>
      <c r="C705" s="8" t="s">
        <v>110</v>
      </c>
      <c r="D705" s="13">
        <v>45284</v>
      </c>
      <c r="E705" s="9">
        <v>28636</v>
      </c>
    </row>
    <row r="706" spans="1:5" x14ac:dyDescent="0.25">
      <c r="A706" s="8" t="s">
        <v>690</v>
      </c>
      <c r="B706" s="8" t="s">
        <v>686</v>
      </c>
      <c r="C706" s="8" t="s">
        <v>73</v>
      </c>
      <c r="D706" s="13">
        <v>45294</v>
      </c>
      <c r="E706" s="9">
        <v>46842</v>
      </c>
    </row>
    <row r="707" spans="1:5" x14ac:dyDescent="0.25">
      <c r="A707" s="8" t="s">
        <v>691</v>
      </c>
      <c r="B707" s="8" t="s">
        <v>686</v>
      </c>
      <c r="C707" s="8" t="s">
        <v>12</v>
      </c>
      <c r="D707" s="13">
        <v>45304</v>
      </c>
      <c r="E707" s="9">
        <v>31610</v>
      </c>
    </row>
    <row r="708" spans="1:5" x14ac:dyDescent="0.25">
      <c r="A708" s="8" t="s">
        <v>692</v>
      </c>
      <c r="B708" s="8" t="s">
        <v>686</v>
      </c>
      <c r="C708" s="8" t="s">
        <v>6</v>
      </c>
      <c r="D708" s="13">
        <v>45305</v>
      </c>
      <c r="E708" s="9">
        <v>42082</v>
      </c>
    </row>
    <row r="709" spans="1:5" x14ac:dyDescent="0.25">
      <c r="A709" s="8" t="s">
        <v>693</v>
      </c>
      <c r="B709" s="8" t="s">
        <v>686</v>
      </c>
      <c r="C709" s="8" t="s">
        <v>33</v>
      </c>
      <c r="D709" s="13">
        <v>45314</v>
      </c>
      <c r="E709" s="9">
        <v>23521</v>
      </c>
    </row>
    <row r="710" spans="1:5" x14ac:dyDescent="0.25">
      <c r="A710" s="8" t="s">
        <v>694</v>
      </c>
      <c r="B710" s="8" t="s">
        <v>686</v>
      </c>
      <c r="C710" s="8" t="s">
        <v>17</v>
      </c>
      <c r="D710" s="13">
        <v>45316</v>
      </c>
      <c r="E710" s="9">
        <v>26211</v>
      </c>
    </row>
    <row r="711" spans="1:5" x14ac:dyDescent="0.25">
      <c r="A711" s="8" t="s">
        <v>695</v>
      </c>
      <c r="B711" s="8" t="s">
        <v>686</v>
      </c>
      <c r="C711" s="8" t="s">
        <v>29</v>
      </c>
      <c r="D711" s="13">
        <v>45320</v>
      </c>
      <c r="E711" s="9">
        <v>26524</v>
      </c>
    </row>
    <row r="712" spans="1:5" x14ac:dyDescent="0.25">
      <c r="A712" s="8" t="s">
        <v>696</v>
      </c>
      <c r="B712" s="8" t="s">
        <v>686</v>
      </c>
      <c r="C712" s="8" t="s">
        <v>27</v>
      </c>
      <c r="D712" s="13">
        <v>45342</v>
      </c>
      <c r="E712" s="9">
        <v>44730</v>
      </c>
    </row>
    <row r="713" spans="1:5" x14ac:dyDescent="0.25">
      <c r="A713" s="8" t="s">
        <v>697</v>
      </c>
      <c r="B713" s="8" t="s">
        <v>686</v>
      </c>
      <c r="C713" s="8" t="s">
        <v>44</v>
      </c>
      <c r="D713" s="13">
        <v>45374</v>
      </c>
      <c r="E713" s="9">
        <v>30088</v>
      </c>
    </row>
    <row r="714" spans="1:5" x14ac:dyDescent="0.25">
      <c r="A714" s="8" t="s">
        <v>698</v>
      </c>
      <c r="B714" s="8" t="s">
        <v>686</v>
      </c>
      <c r="C714" s="8" t="s">
        <v>91</v>
      </c>
      <c r="D714" s="13">
        <v>45382</v>
      </c>
      <c r="E714" s="9">
        <v>49007</v>
      </c>
    </row>
    <row r="715" spans="1:5" x14ac:dyDescent="0.25">
      <c r="A715" s="8" t="s">
        <v>699</v>
      </c>
      <c r="B715" s="8" t="s">
        <v>686</v>
      </c>
      <c r="C715" s="8" t="s">
        <v>12</v>
      </c>
      <c r="D715" s="13">
        <v>45399</v>
      </c>
      <c r="E715" s="9">
        <v>70516</v>
      </c>
    </row>
    <row r="716" spans="1:5" x14ac:dyDescent="0.25">
      <c r="A716" s="8" t="s">
        <v>700</v>
      </c>
      <c r="B716" s="8" t="s">
        <v>686</v>
      </c>
      <c r="C716" s="8" t="s">
        <v>55</v>
      </c>
      <c r="D716" s="13">
        <v>45415</v>
      </c>
      <c r="E716" s="9">
        <v>20485</v>
      </c>
    </row>
    <row r="717" spans="1:5" x14ac:dyDescent="0.25">
      <c r="A717" s="8" t="s">
        <v>701</v>
      </c>
      <c r="B717" s="8" t="s">
        <v>686</v>
      </c>
      <c r="C717" s="8" t="s">
        <v>29</v>
      </c>
      <c r="D717" s="13">
        <v>45420</v>
      </c>
      <c r="E717" s="9">
        <v>26740</v>
      </c>
    </row>
    <row r="718" spans="1:5" x14ac:dyDescent="0.25">
      <c r="A718" s="8" t="s">
        <v>702</v>
      </c>
      <c r="B718" s="8" t="s">
        <v>686</v>
      </c>
      <c r="C718" s="8" t="s">
        <v>6</v>
      </c>
      <c r="D718" s="13">
        <v>45427</v>
      </c>
      <c r="E718" s="9">
        <v>26654</v>
      </c>
    </row>
    <row r="719" spans="1:5" x14ac:dyDescent="0.25">
      <c r="A719" s="8" t="s">
        <v>703</v>
      </c>
      <c r="B719" s="8" t="s">
        <v>686</v>
      </c>
      <c r="C719" s="8" t="s">
        <v>91</v>
      </c>
      <c r="D719" s="13">
        <v>45431</v>
      </c>
      <c r="E719" s="9">
        <v>52982</v>
      </c>
    </row>
    <row r="720" spans="1:5" x14ac:dyDescent="0.25">
      <c r="A720" s="8" t="s">
        <v>704</v>
      </c>
      <c r="B720" s="8" t="s">
        <v>686</v>
      </c>
      <c r="C720" s="8" t="s">
        <v>23</v>
      </c>
      <c r="D720" s="13">
        <v>45440</v>
      </c>
      <c r="E720" s="9">
        <v>46973</v>
      </c>
    </row>
    <row r="721" spans="1:5" x14ac:dyDescent="0.25">
      <c r="A721" s="8" t="s">
        <v>705</v>
      </c>
      <c r="B721" s="8" t="s">
        <v>686</v>
      </c>
      <c r="C721" s="8" t="s">
        <v>33</v>
      </c>
      <c r="D721" s="13">
        <v>45442</v>
      </c>
      <c r="E721" s="9">
        <v>32214</v>
      </c>
    </row>
    <row r="722" spans="1:5" x14ac:dyDescent="0.25">
      <c r="A722" s="8" t="s">
        <v>706</v>
      </c>
      <c r="B722" s="8" t="s">
        <v>686</v>
      </c>
      <c r="C722" s="8" t="s">
        <v>19</v>
      </c>
      <c r="D722" s="13">
        <v>45549</v>
      </c>
      <c r="E722" s="9">
        <v>52414</v>
      </c>
    </row>
    <row r="723" spans="1:5" x14ac:dyDescent="0.25">
      <c r="A723" s="8" t="s">
        <v>707</v>
      </c>
      <c r="B723" s="8" t="s">
        <v>686</v>
      </c>
      <c r="C723" s="8" t="s">
        <v>110</v>
      </c>
      <c r="D723" s="13">
        <v>45559</v>
      </c>
      <c r="E723" s="9">
        <v>43619</v>
      </c>
    </row>
    <row r="724" spans="1:5" x14ac:dyDescent="0.25">
      <c r="A724" s="8" t="s">
        <v>708</v>
      </c>
      <c r="B724" s="8" t="s">
        <v>686</v>
      </c>
      <c r="C724" s="8" t="s">
        <v>10</v>
      </c>
      <c r="D724" s="13">
        <v>45564</v>
      </c>
      <c r="E724" s="9">
        <v>34458</v>
      </c>
    </row>
    <row r="725" spans="1:5" x14ac:dyDescent="0.25">
      <c r="A725" s="8" t="s">
        <v>709</v>
      </c>
      <c r="B725" s="8" t="s">
        <v>686</v>
      </c>
      <c r="C725" s="8" t="s">
        <v>8</v>
      </c>
      <c r="D725" s="13">
        <v>45571</v>
      </c>
      <c r="E725" s="9">
        <v>43442</v>
      </c>
    </row>
    <row r="726" spans="1:5" x14ac:dyDescent="0.25">
      <c r="A726" s="8" t="s">
        <v>710</v>
      </c>
      <c r="B726" s="8" t="s">
        <v>686</v>
      </c>
      <c r="C726" s="8" t="s">
        <v>17</v>
      </c>
      <c r="D726" s="13">
        <v>45575</v>
      </c>
      <c r="E726" s="9">
        <v>41580</v>
      </c>
    </row>
    <row r="727" spans="1:5" x14ac:dyDescent="0.25">
      <c r="A727" s="8" t="s">
        <v>711</v>
      </c>
      <c r="B727" s="8" t="s">
        <v>686</v>
      </c>
      <c r="C727" s="8" t="s">
        <v>50</v>
      </c>
      <c r="D727" s="13">
        <v>45576</v>
      </c>
      <c r="E727" s="9">
        <v>44420</v>
      </c>
    </row>
    <row r="728" spans="1:5" x14ac:dyDescent="0.25">
      <c r="A728" s="8" t="s">
        <v>712</v>
      </c>
      <c r="B728" s="8" t="s">
        <v>686</v>
      </c>
      <c r="C728" s="8" t="s">
        <v>71</v>
      </c>
      <c r="D728" s="13">
        <v>45596</v>
      </c>
      <c r="E728" s="9">
        <v>51145</v>
      </c>
    </row>
    <row r="729" spans="1:5" x14ac:dyDescent="0.25">
      <c r="A729" s="8" t="s">
        <v>713</v>
      </c>
      <c r="B729" s="8" t="s">
        <v>686</v>
      </c>
      <c r="C729" s="8" t="s">
        <v>55</v>
      </c>
      <c r="D729" s="13">
        <v>45597</v>
      </c>
      <c r="E729" s="9">
        <v>69175</v>
      </c>
    </row>
    <row r="730" spans="1:5" x14ac:dyDescent="0.25">
      <c r="A730" s="8" t="s">
        <v>714</v>
      </c>
      <c r="B730" s="8" t="s">
        <v>686</v>
      </c>
      <c r="C730" s="8" t="s">
        <v>73</v>
      </c>
      <c r="D730" s="13">
        <v>45611</v>
      </c>
      <c r="E730" s="9">
        <v>47860</v>
      </c>
    </row>
    <row r="731" spans="1:5" x14ac:dyDescent="0.25">
      <c r="A731" s="8" t="s">
        <v>715</v>
      </c>
      <c r="B731" s="8" t="s">
        <v>686</v>
      </c>
      <c r="C731" s="8" t="s">
        <v>44</v>
      </c>
      <c r="D731" s="13">
        <v>45612</v>
      </c>
      <c r="E731" s="9">
        <v>42571</v>
      </c>
    </row>
    <row r="732" spans="1:5" x14ac:dyDescent="0.25">
      <c r="A732" s="8" t="s">
        <v>716</v>
      </c>
      <c r="B732" s="8" t="s">
        <v>686</v>
      </c>
      <c r="C732" s="8" t="s">
        <v>21</v>
      </c>
      <c r="D732" s="13">
        <v>45616</v>
      </c>
      <c r="E732" s="9">
        <v>21020</v>
      </c>
    </row>
    <row r="733" spans="1:5" x14ac:dyDescent="0.25">
      <c r="A733" s="8" t="s">
        <v>717</v>
      </c>
      <c r="B733" s="8" t="s">
        <v>686</v>
      </c>
      <c r="C733" s="8" t="s">
        <v>21</v>
      </c>
      <c r="D733" s="13">
        <v>45618</v>
      </c>
      <c r="E733" s="9">
        <v>19073</v>
      </c>
    </row>
    <row r="734" spans="1:5" x14ac:dyDescent="0.25">
      <c r="A734" s="8" t="s">
        <v>718</v>
      </c>
      <c r="B734" s="8" t="s">
        <v>686</v>
      </c>
      <c r="C734" s="8" t="s">
        <v>21</v>
      </c>
      <c r="D734" s="13">
        <v>45631</v>
      </c>
      <c r="E734" s="9">
        <v>45545</v>
      </c>
    </row>
    <row r="735" spans="1:5" x14ac:dyDescent="0.25">
      <c r="A735" s="8" t="s">
        <v>719</v>
      </c>
      <c r="B735" s="8" t="s">
        <v>686</v>
      </c>
      <c r="C735" s="8" t="s">
        <v>10</v>
      </c>
      <c r="D735" s="13">
        <v>45645</v>
      </c>
      <c r="E735" s="9">
        <v>37408</v>
      </c>
    </row>
    <row r="736" spans="1:5" x14ac:dyDescent="0.25">
      <c r="A736" s="8" t="s">
        <v>720</v>
      </c>
      <c r="B736" s="8" t="s">
        <v>686</v>
      </c>
      <c r="C736" s="8" t="s">
        <v>19</v>
      </c>
      <c r="D736" s="13">
        <v>45651</v>
      </c>
      <c r="E736" s="9">
        <v>21290</v>
      </c>
    </row>
    <row r="737" spans="1:5" x14ac:dyDescent="0.25">
      <c r="A737" s="8" t="s">
        <v>721</v>
      </c>
      <c r="B737" s="8" t="s">
        <v>686</v>
      </c>
      <c r="C737" s="8" t="s">
        <v>73</v>
      </c>
      <c r="D737" s="13">
        <v>45672</v>
      </c>
      <c r="E737" s="9">
        <v>19200</v>
      </c>
    </row>
    <row r="738" spans="1:5" x14ac:dyDescent="0.25">
      <c r="A738" s="8" t="s">
        <v>722</v>
      </c>
      <c r="B738" s="8" t="s">
        <v>686</v>
      </c>
      <c r="C738" s="8" t="s">
        <v>91</v>
      </c>
      <c r="D738" s="13">
        <v>45681</v>
      </c>
      <c r="E738" s="9">
        <v>24817</v>
      </c>
    </row>
    <row r="739" spans="1:5" x14ac:dyDescent="0.25">
      <c r="A739" s="8" t="s">
        <v>723</v>
      </c>
      <c r="B739" s="8" t="s">
        <v>686</v>
      </c>
      <c r="C739" s="8" t="s">
        <v>44</v>
      </c>
      <c r="D739" s="13">
        <v>45684</v>
      </c>
      <c r="E739" s="9">
        <v>18486</v>
      </c>
    </row>
    <row r="740" spans="1:5" x14ac:dyDescent="0.25">
      <c r="A740" s="8" t="s">
        <v>724</v>
      </c>
      <c r="B740" s="8" t="s">
        <v>686</v>
      </c>
      <c r="C740" s="8" t="s">
        <v>37</v>
      </c>
      <c r="D740" s="13">
        <v>45690</v>
      </c>
      <c r="E740" s="9">
        <v>18436</v>
      </c>
    </row>
    <row r="741" spans="1:5" x14ac:dyDescent="0.25">
      <c r="A741" s="8" t="s">
        <v>725</v>
      </c>
      <c r="B741" s="8" t="s">
        <v>686</v>
      </c>
      <c r="C741" s="8" t="s">
        <v>109</v>
      </c>
      <c r="D741" s="13">
        <v>45696</v>
      </c>
      <c r="E741" s="9">
        <v>29299</v>
      </c>
    </row>
    <row r="742" spans="1:5" x14ac:dyDescent="0.25">
      <c r="A742" s="8" t="s">
        <v>726</v>
      </c>
      <c r="B742" s="8" t="s">
        <v>686</v>
      </c>
      <c r="C742" s="8" t="s">
        <v>23</v>
      </c>
      <c r="D742" s="13">
        <v>45704</v>
      </c>
      <c r="E742" s="9">
        <v>40835</v>
      </c>
    </row>
    <row r="743" spans="1:5" x14ac:dyDescent="0.25">
      <c r="A743" s="8" t="s">
        <v>727</v>
      </c>
      <c r="B743" s="8" t="s">
        <v>686</v>
      </c>
      <c r="C743" s="8" t="s">
        <v>50</v>
      </c>
      <c r="D743" s="13">
        <v>45711</v>
      </c>
      <c r="E743" s="9">
        <v>41881</v>
      </c>
    </row>
    <row r="744" spans="1:5" x14ac:dyDescent="0.25">
      <c r="A744" s="8" t="s">
        <v>728</v>
      </c>
      <c r="B744" s="8" t="s">
        <v>686</v>
      </c>
      <c r="C744" s="8" t="s">
        <v>25</v>
      </c>
      <c r="D744" s="13">
        <v>45720</v>
      </c>
      <c r="E744" s="9">
        <v>37527</v>
      </c>
    </row>
    <row r="745" spans="1:5" x14ac:dyDescent="0.25">
      <c r="A745" s="8" t="s">
        <v>729</v>
      </c>
      <c r="B745" s="8" t="s">
        <v>686</v>
      </c>
      <c r="C745" s="8" t="s">
        <v>25</v>
      </c>
      <c r="D745" s="13">
        <v>45726</v>
      </c>
      <c r="E745" s="9">
        <v>36774</v>
      </c>
    </row>
    <row r="746" spans="1:5" x14ac:dyDescent="0.25">
      <c r="A746" s="8" t="s">
        <v>730</v>
      </c>
      <c r="B746" s="8" t="s">
        <v>686</v>
      </c>
      <c r="C746" s="8" t="s">
        <v>110</v>
      </c>
      <c r="D746" s="13">
        <v>45745</v>
      </c>
      <c r="E746" s="9">
        <v>23599</v>
      </c>
    </row>
    <row r="747" spans="1:5" x14ac:dyDescent="0.25">
      <c r="A747" s="8" t="s">
        <v>731</v>
      </c>
      <c r="B747" s="8" t="s">
        <v>686</v>
      </c>
      <c r="C747" s="8" t="s">
        <v>37</v>
      </c>
      <c r="D747" s="13">
        <v>45763</v>
      </c>
      <c r="E747" s="9">
        <v>34766</v>
      </c>
    </row>
    <row r="748" spans="1:5" x14ac:dyDescent="0.25">
      <c r="A748" s="8" t="s">
        <v>732</v>
      </c>
      <c r="B748" s="8" t="s">
        <v>686</v>
      </c>
      <c r="C748" s="8" t="s">
        <v>110</v>
      </c>
      <c r="D748" s="13">
        <v>45767</v>
      </c>
      <c r="E748" s="9">
        <v>33316</v>
      </c>
    </row>
    <row r="749" spans="1:5" x14ac:dyDescent="0.25">
      <c r="A749" s="8" t="s">
        <v>733</v>
      </c>
      <c r="B749" s="8" t="s">
        <v>734</v>
      </c>
      <c r="C749" s="8" t="s">
        <v>17</v>
      </c>
      <c r="D749" s="13">
        <v>45220</v>
      </c>
      <c r="E749" s="9">
        <v>46669</v>
      </c>
    </row>
    <row r="750" spans="1:5" x14ac:dyDescent="0.25">
      <c r="A750" s="8" t="s">
        <v>735</v>
      </c>
      <c r="B750" s="8" t="s">
        <v>734</v>
      </c>
      <c r="C750" s="8" t="s">
        <v>25</v>
      </c>
      <c r="D750" s="13">
        <v>45223</v>
      </c>
      <c r="E750" s="9">
        <v>45244</v>
      </c>
    </row>
    <row r="751" spans="1:5" x14ac:dyDescent="0.25">
      <c r="A751" s="8" t="s">
        <v>736</v>
      </c>
      <c r="B751" s="8" t="s">
        <v>734</v>
      </c>
      <c r="C751" s="8" t="s">
        <v>25</v>
      </c>
      <c r="D751" s="13">
        <v>45250</v>
      </c>
      <c r="E751" s="9">
        <v>52124</v>
      </c>
    </row>
    <row r="752" spans="1:5" x14ac:dyDescent="0.25">
      <c r="A752" s="8" t="s">
        <v>737</v>
      </c>
      <c r="B752" s="8" t="s">
        <v>734</v>
      </c>
      <c r="C752" s="8" t="s">
        <v>29</v>
      </c>
      <c r="D752" s="13">
        <v>45260</v>
      </c>
      <c r="E752" s="9">
        <v>26306</v>
      </c>
    </row>
    <row r="753" spans="1:5" x14ac:dyDescent="0.25">
      <c r="A753" s="8" t="s">
        <v>738</v>
      </c>
      <c r="B753" s="8" t="s">
        <v>734</v>
      </c>
      <c r="C753" s="8" t="s">
        <v>44</v>
      </c>
      <c r="D753" s="13">
        <v>45269</v>
      </c>
      <c r="E753" s="9">
        <v>53493</v>
      </c>
    </row>
    <row r="754" spans="1:5" x14ac:dyDescent="0.25">
      <c r="A754" s="8" t="s">
        <v>739</v>
      </c>
      <c r="B754" s="8" t="s">
        <v>734</v>
      </c>
      <c r="C754" s="8" t="s">
        <v>71</v>
      </c>
      <c r="D754" s="13">
        <v>45274</v>
      </c>
      <c r="E754" s="9">
        <v>40850</v>
      </c>
    </row>
    <row r="755" spans="1:5" x14ac:dyDescent="0.25">
      <c r="A755" s="8" t="s">
        <v>740</v>
      </c>
      <c r="B755" s="8" t="s">
        <v>734</v>
      </c>
      <c r="C755" s="8" t="s">
        <v>35</v>
      </c>
      <c r="D755" s="13">
        <v>45282</v>
      </c>
      <c r="E755" s="9">
        <v>21591</v>
      </c>
    </row>
    <row r="756" spans="1:5" x14ac:dyDescent="0.25">
      <c r="A756" s="8" t="s">
        <v>741</v>
      </c>
      <c r="B756" s="8" t="s">
        <v>734</v>
      </c>
      <c r="C756" s="8" t="s">
        <v>17</v>
      </c>
      <c r="D756" s="13">
        <v>45289</v>
      </c>
      <c r="E756" s="9">
        <v>45171</v>
      </c>
    </row>
    <row r="757" spans="1:5" x14ac:dyDescent="0.25">
      <c r="A757" s="8" t="s">
        <v>742</v>
      </c>
      <c r="B757" s="8" t="s">
        <v>734</v>
      </c>
      <c r="C757" s="8" t="s">
        <v>27</v>
      </c>
      <c r="D757" s="13">
        <v>45318</v>
      </c>
      <c r="E757" s="9">
        <v>62269</v>
      </c>
    </row>
    <row r="758" spans="1:5" x14ac:dyDescent="0.25">
      <c r="A758" s="8" t="s">
        <v>743</v>
      </c>
      <c r="B758" s="8" t="s">
        <v>734</v>
      </c>
      <c r="C758" s="8" t="s">
        <v>48</v>
      </c>
      <c r="D758" s="13">
        <v>45326</v>
      </c>
      <c r="E758" s="9">
        <v>43430</v>
      </c>
    </row>
    <row r="759" spans="1:5" x14ac:dyDescent="0.25">
      <c r="A759" s="8" t="s">
        <v>744</v>
      </c>
      <c r="B759" s="8" t="s">
        <v>734</v>
      </c>
      <c r="C759" s="8" t="s">
        <v>33</v>
      </c>
      <c r="D759" s="13">
        <v>45332</v>
      </c>
      <c r="E759" s="9">
        <v>22307</v>
      </c>
    </row>
    <row r="760" spans="1:5" x14ac:dyDescent="0.25">
      <c r="A760" s="8" t="s">
        <v>745</v>
      </c>
      <c r="B760" s="8" t="s">
        <v>734</v>
      </c>
      <c r="C760" s="8" t="s">
        <v>108</v>
      </c>
      <c r="D760" s="13">
        <v>45336</v>
      </c>
      <c r="E760" s="9">
        <v>33882</v>
      </c>
    </row>
    <row r="761" spans="1:5" x14ac:dyDescent="0.25">
      <c r="A761" s="8" t="s">
        <v>746</v>
      </c>
      <c r="B761" s="8" t="s">
        <v>734</v>
      </c>
      <c r="C761" s="8" t="s">
        <v>71</v>
      </c>
      <c r="D761" s="13">
        <v>45355</v>
      </c>
      <c r="E761" s="9">
        <v>44909</v>
      </c>
    </row>
    <row r="762" spans="1:5" x14ac:dyDescent="0.25">
      <c r="A762" s="8" t="s">
        <v>747</v>
      </c>
      <c r="B762" s="8" t="s">
        <v>734</v>
      </c>
      <c r="C762" s="8" t="s">
        <v>48</v>
      </c>
      <c r="D762" s="13">
        <v>45362</v>
      </c>
      <c r="E762" s="9">
        <v>62815</v>
      </c>
    </row>
    <row r="763" spans="1:5" x14ac:dyDescent="0.25">
      <c r="A763" s="8" t="s">
        <v>748</v>
      </c>
      <c r="B763" s="8" t="s">
        <v>734</v>
      </c>
      <c r="C763" s="8" t="s">
        <v>44</v>
      </c>
      <c r="D763" s="13">
        <v>45366</v>
      </c>
      <c r="E763" s="9">
        <v>40108</v>
      </c>
    </row>
    <row r="764" spans="1:5" x14ac:dyDescent="0.25">
      <c r="A764" s="8" t="s">
        <v>749</v>
      </c>
      <c r="B764" s="8" t="s">
        <v>734</v>
      </c>
      <c r="C764" s="8" t="s">
        <v>110</v>
      </c>
      <c r="D764" s="13">
        <v>45380</v>
      </c>
      <c r="E764" s="9">
        <v>54128</v>
      </c>
    </row>
    <row r="765" spans="1:5" x14ac:dyDescent="0.25">
      <c r="A765" s="8" t="s">
        <v>750</v>
      </c>
      <c r="B765" s="8" t="s">
        <v>734</v>
      </c>
      <c r="C765" s="8" t="s">
        <v>108</v>
      </c>
      <c r="D765" s="13">
        <v>45413</v>
      </c>
      <c r="E765" s="9">
        <v>49595</v>
      </c>
    </row>
    <row r="766" spans="1:5" x14ac:dyDescent="0.25">
      <c r="A766" s="8" t="s">
        <v>751</v>
      </c>
      <c r="B766" s="8" t="s">
        <v>734</v>
      </c>
      <c r="C766" s="8" t="s">
        <v>48</v>
      </c>
      <c r="D766" s="13">
        <v>45424</v>
      </c>
      <c r="E766" s="9">
        <v>25211</v>
      </c>
    </row>
    <row r="767" spans="1:5" x14ac:dyDescent="0.25">
      <c r="A767" s="8" t="s">
        <v>752</v>
      </c>
      <c r="B767" s="8" t="s">
        <v>734</v>
      </c>
      <c r="C767" s="8" t="s">
        <v>73</v>
      </c>
      <c r="D767" s="13">
        <v>45449</v>
      </c>
      <c r="E767" s="9">
        <v>24343</v>
      </c>
    </row>
    <row r="768" spans="1:5" x14ac:dyDescent="0.25">
      <c r="A768" s="8" t="s">
        <v>753</v>
      </c>
      <c r="B768" s="8" t="s">
        <v>734</v>
      </c>
      <c r="C768" s="8" t="s">
        <v>55</v>
      </c>
      <c r="D768" s="13">
        <v>45460</v>
      </c>
      <c r="E768" s="9">
        <v>32542</v>
      </c>
    </row>
    <row r="769" spans="1:5" x14ac:dyDescent="0.25">
      <c r="A769" s="8" t="s">
        <v>754</v>
      </c>
      <c r="B769" s="8" t="s">
        <v>734</v>
      </c>
      <c r="C769" s="8" t="s">
        <v>55</v>
      </c>
      <c r="D769" s="13">
        <v>45465</v>
      </c>
      <c r="E769" s="9">
        <v>58720</v>
      </c>
    </row>
    <row r="770" spans="1:5" x14ac:dyDescent="0.25">
      <c r="A770" s="8" t="s">
        <v>755</v>
      </c>
      <c r="B770" s="8" t="s">
        <v>734</v>
      </c>
      <c r="C770" s="8" t="s">
        <v>23</v>
      </c>
      <c r="D770" s="13">
        <v>45475</v>
      </c>
      <c r="E770" s="9">
        <v>25298</v>
      </c>
    </row>
    <row r="771" spans="1:5" x14ac:dyDescent="0.25">
      <c r="A771" s="8" t="s">
        <v>756</v>
      </c>
      <c r="B771" s="8" t="s">
        <v>734</v>
      </c>
      <c r="C771" s="8" t="s">
        <v>27</v>
      </c>
      <c r="D771" s="13">
        <v>45486</v>
      </c>
      <c r="E771" s="9">
        <v>55658</v>
      </c>
    </row>
    <row r="772" spans="1:5" x14ac:dyDescent="0.25">
      <c r="A772" s="8" t="s">
        <v>757</v>
      </c>
      <c r="B772" s="8" t="s">
        <v>734</v>
      </c>
      <c r="C772" s="8" t="s">
        <v>71</v>
      </c>
      <c r="D772" s="13">
        <v>45491</v>
      </c>
      <c r="E772" s="9">
        <v>43064</v>
      </c>
    </row>
    <row r="773" spans="1:5" x14ac:dyDescent="0.25">
      <c r="A773" s="8" t="s">
        <v>758</v>
      </c>
      <c r="B773" s="8" t="s">
        <v>734</v>
      </c>
      <c r="C773" s="8" t="s">
        <v>25</v>
      </c>
      <c r="D773" s="13">
        <v>45504</v>
      </c>
      <c r="E773" s="9">
        <v>38772</v>
      </c>
    </row>
    <row r="774" spans="1:5" x14ac:dyDescent="0.25">
      <c r="A774" s="8" t="s">
        <v>759</v>
      </c>
      <c r="B774" s="8" t="s">
        <v>734</v>
      </c>
      <c r="C774" s="8" t="s">
        <v>12</v>
      </c>
      <c r="D774" s="13">
        <v>45515</v>
      </c>
      <c r="E774" s="9">
        <v>25945</v>
      </c>
    </row>
    <row r="775" spans="1:5" x14ac:dyDescent="0.25">
      <c r="A775" s="8" t="s">
        <v>760</v>
      </c>
      <c r="B775" s="8" t="s">
        <v>734</v>
      </c>
      <c r="C775" s="8" t="s">
        <v>33</v>
      </c>
      <c r="D775" s="13">
        <v>45518</v>
      </c>
      <c r="E775" s="9">
        <v>55985</v>
      </c>
    </row>
    <row r="776" spans="1:5" x14ac:dyDescent="0.25">
      <c r="A776" s="8" t="s">
        <v>761</v>
      </c>
      <c r="B776" s="8" t="s">
        <v>734</v>
      </c>
      <c r="C776" s="8" t="s">
        <v>91</v>
      </c>
      <c r="D776" s="13">
        <v>45521</v>
      </c>
      <c r="E776" s="9">
        <v>50916</v>
      </c>
    </row>
    <row r="777" spans="1:5" x14ac:dyDescent="0.25">
      <c r="A777" s="8" t="s">
        <v>762</v>
      </c>
      <c r="B777" s="8" t="s">
        <v>734</v>
      </c>
      <c r="C777" s="8" t="s">
        <v>25</v>
      </c>
      <c r="D777" s="13">
        <v>45564</v>
      </c>
      <c r="E777" s="9">
        <v>53829</v>
      </c>
    </row>
    <row r="778" spans="1:5" x14ac:dyDescent="0.25">
      <c r="A778" s="8" t="s">
        <v>763</v>
      </c>
      <c r="B778" s="8" t="s">
        <v>734</v>
      </c>
      <c r="C778" s="8" t="s">
        <v>91</v>
      </c>
      <c r="D778" s="13">
        <v>45601</v>
      </c>
      <c r="E778" s="9">
        <v>49307</v>
      </c>
    </row>
    <row r="779" spans="1:5" x14ac:dyDescent="0.25">
      <c r="A779" s="8" t="s">
        <v>764</v>
      </c>
      <c r="B779" s="8" t="s">
        <v>734</v>
      </c>
      <c r="C779" s="8" t="s">
        <v>35</v>
      </c>
      <c r="D779" s="13">
        <v>45613</v>
      </c>
      <c r="E779" s="9">
        <v>51463</v>
      </c>
    </row>
    <row r="780" spans="1:5" x14ac:dyDescent="0.25">
      <c r="A780" s="8" t="s">
        <v>765</v>
      </c>
      <c r="B780" s="8" t="s">
        <v>734</v>
      </c>
      <c r="C780" s="8" t="s">
        <v>91</v>
      </c>
      <c r="D780" s="13">
        <v>45649</v>
      </c>
      <c r="E780" s="9">
        <v>50669</v>
      </c>
    </row>
    <row r="781" spans="1:5" x14ac:dyDescent="0.25">
      <c r="A781" s="8" t="s">
        <v>766</v>
      </c>
      <c r="B781" s="8" t="s">
        <v>734</v>
      </c>
      <c r="C781" s="8" t="s">
        <v>33</v>
      </c>
      <c r="D781" s="13">
        <v>45654</v>
      </c>
      <c r="E781" s="9">
        <v>39168</v>
      </c>
    </row>
    <row r="782" spans="1:5" x14ac:dyDescent="0.25">
      <c r="A782" s="8" t="s">
        <v>767</v>
      </c>
      <c r="B782" s="8" t="s">
        <v>734</v>
      </c>
      <c r="C782" s="8" t="s">
        <v>29</v>
      </c>
      <c r="D782" s="13">
        <v>45656</v>
      </c>
      <c r="E782" s="9">
        <v>47863</v>
      </c>
    </row>
    <row r="783" spans="1:5" x14ac:dyDescent="0.25">
      <c r="A783" s="8" t="s">
        <v>768</v>
      </c>
      <c r="B783" s="8" t="s">
        <v>734</v>
      </c>
      <c r="C783" s="8" t="s">
        <v>50</v>
      </c>
      <c r="D783" s="13">
        <v>45672</v>
      </c>
      <c r="E783" s="9">
        <v>49692</v>
      </c>
    </row>
    <row r="784" spans="1:5" x14ac:dyDescent="0.25">
      <c r="A784" s="8" t="s">
        <v>769</v>
      </c>
      <c r="B784" s="8" t="s">
        <v>734</v>
      </c>
      <c r="C784" s="8" t="s">
        <v>44</v>
      </c>
      <c r="D784" s="13">
        <v>45684</v>
      </c>
      <c r="E784" s="9">
        <v>20561</v>
      </c>
    </row>
    <row r="785" spans="1:5" x14ac:dyDescent="0.25">
      <c r="A785" s="8" t="s">
        <v>770</v>
      </c>
      <c r="B785" s="8" t="s">
        <v>734</v>
      </c>
      <c r="C785" s="8" t="s">
        <v>110</v>
      </c>
      <c r="D785" s="13">
        <v>45688</v>
      </c>
      <c r="E785" s="9">
        <v>29940</v>
      </c>
    </row>
    <row r="786" spans="1:5" x14ac:dyDescent="0.25">
      <c r="A786" s="8" t="s">
        <v>771</v>
      </c>
      <c r="B786" s="8" t="s">
        <v>734</v>
      </c>
      <c r="C786" s="8" t="s">
        <v>29</v>
      </c>
      <c r="D786" s="13">
        <v>45696</v>
      </c>
      <c r="E786" s="9">
        <v>107366</v>
      </c>
    </row>
    <row r="787" spans="1:5" x14ac:dyDescent="0.25">
      <c r="A787" s="8" t="s">
        <v>772</v>
      </c>
      <c r="B787" s="8" t="s">
        <v>734</v>
      </c>
      <c r="C787" s="8" t="s">
        <v>71</v>
      </c>
      <c r="D787" s="13">
        <v>45699</v>
      </c>
      <c r="E787" s="9">
        <v>27785</v>
      </c>
    </row>
    <row r="788" spans="1:5" x14ac:dyDescent="0.25">
      <c r="A788" s="8" t="s">
        <v>773</v>
      </c>
      <c r="B788" s="8" t="s">
        <v>734</v>
      </c>
      <c r="C788" s="8" t="s">
        <v>23</v>
      </c>
      <c r="D788" s="13">
        <v>45705</v>
      </c>
      <c r="E788" s="9">
        <v>31152</v>
      </c>
    </row>
    <row r="789" spans="1:5" x14ac:dyDescent="0.25">
      <c r="A789" s="8" t="s">
        <v>774</v>
      </c>
      <c r="B789" s="8" t="s">
        <v>734</v>
      </c>
      <c r="C789" s="8" t="s">
        <v>23</v>
      </c>
      <c r="D789" s="13">
        <v>45723</v>
      </c>
      <c r="E789" s="9">
        <v>31181</v>
      </c>
    </row>
    <row r="790" spans="1:5" x14ac:dyDescent="0.25">
      <c r="A790" s="8" t="s">
        <v>775</v>
      </c>
      <c r="B790" s="8" t="s">
        <v>734</v>
      </c>
      <c r="C790" s="8" t="s">
        <v>73</v>
      </c>
      <c r="D790" s="13">
        <v>45724</v>
      </c>
      <c r="E790" s="9">
        <v>41445</v>
      </c>
    </row>
    <row r="791" spans="1:5" x14ac:dyDescent="0.25">
      <c r="A791" s="8" t="s">
        <v>776</v>
      </c>
      <c r="B791" s="8" t="s">
        <v>734</v>
      </c>
      <c r="C791" s="8" t="s">
        <v>44</v>
      </c>
      <c r="D791" s="13">
        <v>45725</v>
      </c>
      <c r="E791" s="9">
        <v>21736</v>
      </c>
    </row>
    <row r="792" spans="1:5" x14ac:dyDescent="0.25">
      <c r="A792" s="8" t="s">
        <v>777</v>
      </c>
      <c r="B792" s="8" t="s">
        <v>734</v>
      </c>
      <c r="C792" s="8" t="s">
        <v>48</v>
      </c>
      <c r="D792" s="13">
        <v>45736</v>
      </c>
      <c r="E792" s="9">
        <v>30304</v>
      </c>
    </row>
    <row r="793" spans="1:5" x14ac:dyDescent="0.25">
      <c r="A793" s="8" t="s">
        <v>778</v>
      </c>
      <c r="B793" s="8" t="s">
        <v>734</v>
      </c>
      <c r="C793" s="8" t="s">
        <v>8</v>
      </c>
      <c r="D793" s="13">
        <v>45758</v>
      </c>
      <c r="E793" s="9">
        <v>51400</v>
      </c>
    </row>
    <row r="794" spans="1:5" x14ac:dyDescent="0.25">
      <c r="A794" s="8" t="s">
        <v>779</v>
      </c>
      <c r="B794" s="8" t="s">
        <v>734</v>
      </c>
      <c r="C794" s="8" t="s">
        <v>8</v>
      </c>
      <c r="D794" s="13">
        <v>45758</v>
      </c>
      <c r="E794" s="9">
        <v>53242</v>
      </c>
    </row>
    <row r="795" spans="1:5" x14ac:dyDescent="0.25">
      <c r="A795" s="8" t="s">
        <v>780</v>
      </c>
      <c r="B795" s="8" t="s">
        <v>734</v>
      </c>
      <c r="C795" s="8" t="s">
        <v>91</v>
      </c>
      <c r="D795" s="13">
        <v>45761</v>
      </c>
      <c r="E795" s="9">
        <v>37443</v>
      </c>
    </row>
    <row r="796" spans="1:5" x14ac:dyDescent="0.25">
      <c r="A796" s="8" t="s">
        <v>781</v>
      </c>
      <c r="B796" s="8" t="s">
        <v>734</v>
      </c>
      <c r="C796" s="8" t="s">
        <v>27</v>
      </c>
      <c r="D796" s="13">
        <v>45769</v>
      </c>
      <c r="E796" s="9">
        <v>52980</v>
      </c>
    </row>
    <row r="797" spans="1:5" x14ac:dyDescent="0.25">
      <c r="A797" s="8" t="s">
        <v>782</v>
      </c>
      <c r="B797" s="8" t="s">
        <v>734</v>
      </c>
      <c r="C797" s="8" t="s">
        <v>12</v>
      </c>
      <c r="D797" s="13">
        <v>45771</v>
      </c>
      <c r="E797" s="9">
        <v>54448</v>
      </c>
    </row>
    <row r="798" spans="1:5" x14ac:dyDescent="0.25">
      <c r="A798" s="8" t="s">
        <v>783</v>
      </c>
      <c r="B798" s="8" t="s">
        <v>734</v>
      </c>
      <c r="C798" s="8" t="s">
        <v>71</v>
      </c>
      <c r="D798" s="13">
        <v>45779</v>
      </c>
      <c r="E798" s="9">
        <v>20304</v>
      </c>
    </row>
    <row r="799" spans="1:5" x14ac:dyDescent="0.25">
      <c r="A799" s="8" t="s">
        <v>784</v>
      </c>
      <c r="B799" s="8" t="s">
        <v>734</v>
      </c>
      <c r="C799" s="8" t="s">
        <v>110</v>
      </c>
      <c r="D799" s="13">
        <v>45788</v>
      </c>
      <c r="E799" s="9">
        <v>19275</v>
      </c>
    </row>
    <row r="800" spans="1:5" x14ac:dyDescent="0.25">
      <c r="A800" s="8" t="s">
        <v>785</v>
      </c>
      <c r="B800" s="8" t="s">
        <v>734</v>
      </c>
      <c r="C800" s="8" t="s">
        <v>23</v>
      </c>
      <c r="D800" s="13">
        <v>45813</v>
      </c>
      <c r="E800" s="9">
        <v>39466</v>
      </c>
    </row>
    <row r="801" spans="1:5" x14ac:dyDescent="0.25">
      <c r="A801" s="8" t="s">
        <v>786</v>
      </c>
      <c r="B801" s="8" t="s">
        <v>734</v>
      </c>
      <c r="C801" s="8" t="s">
        <v>29</v>
      </c>
      <c r="D801" s="13">
        <v>45836</v>
      </c>
      <c r="E801" s="9">
        <v>52231</v>
      </c>
    </row>
    <row r="802" spans="1:5" x14ac:dyDescent="0.25">
      <c r="A802" s="8" t="s">
        <v>787</v>
      </c>
      <c r="B802" s="8" t="s">
        <v>734</v>
      </c>
      <c r="C802" s="8" t="s">
        <v>109</v>
      </c>
      <c r="D802" s="13">
        <v>45844</v>
      </c>
      <c r="E802" s="9">
        <v>32192</v>
      </c>
    </row>
    <row r="803" spans="1:5" x14ac:dyDescent="0.25">
      <c r="A803" s="8" t="s">
        <v>788</v>
      </c>
      <c r="B803" s="8" t="s">
        <v>734</v>
      </c>
      <c r="C803" s="8" t="s">
        <v>25</v>
      </c>
      <c r="D803" s="13">
        <v>45847</v>
      </c>
      <c r="E803" s="9">
        <v>46242</v>
      </c>
    </row>
    <row r="804" spans="1:5" x14ac:dyDescent="0.25">
      <c r="A804" s="8" t="s">
        <v>789</v>
      </c>
      <c r="B804" s="8" t="s">
        <v>734</v>
      </c>
      <c r="C804" s="8" t="s">
        <v>25</v>
      </c>
      <c r="D804" s="13">
        <v>45848</v>
      </c>
      <c r="E804" s="9">
        <v>48048</v>
      </c>
    </row>
    <row r="805" spans="1:5" x14ac:dyDescent="0.25">
      <c r="A805" s="8" t="s">
        <v>790</v>
      </c>
      <c r="B805" s="8" t="s">
        <v>734</v>
      </c>
      <c r="C805" s="8" t="s">
        <v>23</v>
      </c>
      <c r="D805" s="13">
        <v>45850</v>
      </c>
      <c r="E805" s="9">
        <v>43042</v>
      </c>
    </row>
    <row r="806" spans="1:5" x14ac:dyDescent="0.25">
      <c r="A806" s="8" t="s">
        <v>791</v>
      </c>
      <c r="B806" s="8" t="s">
        <v>734</v>
      </c>
      <c r="C806" s="8" t="s">
        <v>14</v>
      </c>
      <c r="D806" s="13">
        <v>45851</v>
      </c>
      <c r="E806" s="9">
        <v>42816</v>
      </c>
    </row>
    <row r="807" spans="1:5" x14ac:dyDescent="0.25">
      <c r="A807" s="8" t="s">
        <v>792</v>
      </c>
      <c r="B807" s="8" t="s">
        <v>734</v>
      </c>
      <c r="C807" s="8" t="s">
        <v>48</v>
      </c>
      <c r="D807" s="13">
        <v>45868</v>
      </c>
      <c r="E807" s="9">
        <v>40550</v>
      </c>
    </row>
    <row r="808" spans="1:5" x14ac:dyDescent="0.25">
      <c r="A808" s="8" t="s">
        <v>793</v>
      </c>
      <c r="B808" s="8" t="s">
        <v>734</v>
      </c>
      <c r="C808" s="8" t="s">
        <v>55</v>
      </c>
      <c r="D808" s="13">
        <v>45892</v>
      </c>
      <c r="E808" s="9">
        <v>47080</v>
      </c>
    </row>
    <row r="809" spans="1:5" x14ac:dyDescent="0.25">
      <c r="A809" s="8" t="s">
        <v>794</v>
      </c>
      <c r="B809" s="8" t="s">
        <v>795</v>
      </c>
      <c r="C809" s="8" t="s">
        <v>37</v>
      </c>
      <c r="D809" s="13">
        <v>45185</v>
      </c>
      <c r="E809" s="9">
        <v>93126</v>
      </c>
    </row>
    <row r="810" spans="1:5" x14ac:dyDescent="0.25">
      <c r="A810" s="8" t="s">
        <v>796</v>
      </c>
      <c r="B810" s="8" t="s">
        <v>795</v>
      </c>
      <c r="C810" s="8" t="s">
        <v>6</v>
      </c>
      <c r="D810" s="13">
        <v>45190</v>
      </c>
      <c r="E810" s="9">
        <v>169373</v>
      </c>
    </row>
    <row r="811" spans="1:5" x14ac:dyDescent="0.25">
      <c r="A811" s="8" t="s">
        <v>797</v>
      </c>
      <c r="B811" s="8" t="s">
        <v>795</v>
      </c>
      <c r="C811" s="8" t="s">
        <v>29</v>
      </c>
      <c r="D811" s="13">
        <v>45200</v>
      </c>
      <c r="E811" s="9">
        <v>34891</v>
      </c>
    </row>
    <row r="812" spans="1:5" x14ac:dyDescent="0.25">
      <c r="A812" s="8" t="s">
        <v>798</v>
      </c>
      <c r="B812" s="8" t="s">
        <v>795</v>
      </c>
      <c r="C812" s="8" t="s">
        <v>91</v>
      </c>
      <c r="D812" s="13">
        <v>45231</v>
      </c>
      <c r="E812" s="9">
        <v>99532</v>
      </c>
    </row>
    <row r="813" spans="1:5" x14ac:dyDescent="0.25">
      <c r="A813" s="8" t="s">
        <v>799</v>
      </c>
      <c r="B813" s="8" t="s">
        <v>795</v>
      </c>
      <c r="C813" s="8" t="s">
        <v>109</v>
      </c>
      <c r="D813" s="13">
        <v>45238</v>
      </c>
      <c r="E813" s="9">
        <v>56294</v>
      </c>
    </row>
    <row r="814" spans="1:5" x14ac:dyDescent="0.25">
      <c r="A814" s="8" t="s">
        <v>800</v>
      </c>
      <c r="B814" s="8" t="s">
        <v>795</v>
      </c>
      <c r="C814" s="8" t="s">
        <v>71</v>
      </c>
      <c r="D814" s="13">
        <v>45249</v>
      </c>
      <c r="E814" s="9">
        <v>94570</v>
      </c>
    </row>
    <row r="815" spans="1:5" x14ac:dyDescent="0.25">
      <c r="A815" s="8" t="s">
        <v>801</v>
      </c>
      <c r="B815" s="8" t="s">
        <v>795</v>
      </c>
      <c r="C815" s="8" t="s">
        <v>109</v>
      </c>
      <c r="D815" s="13">
        <v>45251</v>
      </c>
      <c r="E815" s="9">
        <v>41045</v>
      </c>
    </row>
    <row r="816" spans="1:5" x14ac:dyDescent="0.25">
      <c r="A816" s="8" t="s">
        <v>802</v>
      </c>
      <c r="B816" s="8" t="s">
        <v>795</v>
      </c>
      <c r="C816" s="8" t="s">
        <v>10</v>
      </c>
      <c r="D816" s="13">
        <v>45260</v>
      </c>
      <c r="E816" s="9">
        <v>59407</v>
      </c>
    </row>
    <row r="817" spans="1:5" x14ac:dyDescent="0.25">
      <c r="A817" s="8" t="s">
        <v>803</v>
      </c>
      <c r="B817" s="8" t="s">
        <v>795</v>
      </c>
      <c r="C817" s="8" t="s">
        <v>71</v>
      </c>
      <c r="D817" s="13">
        <v>45264</v>
      </c>
      <c r="E817" s="9">
        <v>52389</v>
      </c>
    </row>
    <row r="818" spans="1:5" x14ac:dyDescent="0.25">
      <c r="A818" s="8" t="s">
        <v>804</v>
      </c>
      <c r="B818" s="8" t="s">
        <v>795</v>
      </c>
      <c r="C818" s="8" t="s">
        <v>91</v>
      </c>
      <c r="D818" s="13">
        <v>45272</v>
      </c>
      <c r="E818" s="9">
        <v>97011</v>
      </c>
    </row>
    <row r="819" spans="1:5" x14ac:dyDescent="0.25">
      <c r="A819" s="8" t="s">
        <v>805</v>
      </c>
      <c r="B819" s="8" t="s">
        <v>795</v>
      </c>
      <c r="C819" s="8" t="s">
        <v>12</v>
      </c>
      <c r="D819" s="13">
        <v>45286</v>
      </c>
      <c r="E819" s="9">
        <v>48029</v>
      </c>
    </row>
    <row r="820" spans="1:5" x14ac:dyDescent="0.25">
      <c r="A820" s="8" t="s">
        <v>806</v>
      </c>
      <c r="B820" s="8" t="s">
        <v>795</v>
      </c>
      <c r="C820" s="8" t="s">
        <v>55</v>
      </c>
      <c r="D820" s="13">
        <v>45291</v>
      </c>
      <c r="E820" s="9">
        <v>37346</v>
      </c>
    </row>
    <row r="821" spans="1:5" x14ac:dyDescent="0.25">
      <c r="A821" s="8" t="s">
        <v>807</v>
      </c>
      <c r="B821" s="8" t="s">
        <v>795</v>
      </c>
      <c r="C821" s="8" t="s">
        <v>17</v>
      </c>
      <c r="D821" s="13">
        <v>45302</v>
      </c>
      <c r="E821" s="9">
        <v>40284</v>
      </c>
    </row>
    <row r="822" spans="1:5" x14ac:dyDescent="0.25">
      <c r="A822" s="8" t="s">
        <v>808</v>
      </c>
      <c r="B822" s="8" t="s">
        <v>795</v>
      </c>
      <c r="C822" s="8" t="s">
        <v>17</v>
      </c>
      <c r="D822" s="13">
        <v>45333</v>
      </c>
      <c r="E822" s="9">
        <v>43206</v>
      </c>
    </row>
    <row r="823" spans="1:5" x14ac:dyDescent="0.25">
      <c r="A823" s="8" t="s">
        <v>809</v>
      </c>
      <c r="B823" s="8" t="s">
        <v>795</v>
      </c>
      <c r="C823" s="8" t="s">
        <v>6</v>
      </c>
      <c r="D823" s="13">
        <v>45342</v>
      </c>
      <c r="E823" s="9">
        <v>113448</v>
      </c>
    </row>
    <row r="824" spans="1:5" x14ac:dyDescent="0.25">
      <c r="A824" s="8" t="s">
        <v>810</v>
      </c>
      <c r="B824" s="8" t="s">
        <v>795</v>
      </c>
      <c r="C824" s="8" t="s">
        <v>91</v>
      </c>
      <c r="D824" s="13">
        <v>45347</v>
      </c>
      <c r="E824" s="9">
        <v>54618</v>
      </c>
    </row>
    <row r="825" spans="1:5" x14ac:dyDescent="0.25">
      <c r="A825" s="8" t="s">
        <v>811</v>
      </c>
      <c r="B825" s="8" t="s">
        <v>795</v>
      </c>
      <c r="C825" s="8" t="s">
        <v>109</v>
      </c>
      <c r="D825" s="13">
        <v>45385</v>
      </c>
      <c r="E825" s="9">
        <v>57862</v>
      </c>
    </row>
    <row r="826" spans="1:5" x14ac:dyDescent="0.25">
      <c r="A826" s="8" t="s">
        <v>1883</v>
      </c>
      <c r="B826" s="8" t="s">
        <v>795</v>
      </c>
      <c r="C826" s="8" t="s">
        <v>17</v>
      </c>
      <c r="D826" s="13">
        <v>45392</v>
      </c>
      <c r="E826" s="9">
        <v>69353</v>
      </c>
    </row>
    <row r="827" spans="1:5" x14ac:dyDescent="0.25">
      <c r="A827" s="8" t="s">
        <v>1884</v>
      </c>
      <c r="B827" s="8" t="s">
        <v>795</v>
      </c>
      <c r="C827" s="8" t="s">
        <v>17</v>
      </c>
      <c r="D827" s="13">
        <v>45409</v>
      </c>
      <c r="E827" s="9">
        <v>60890</v>
      </c>
    </row>
    <row r="828" spans="1:5" x14ac:dyDescent="0.25">
      <c r="A828" s="8" t="s">
        <v>1885</v>
      </c>
      <c r="B828" s="8" t="s">
        <v>795</v>
      </c>
      <c r="C828" s="8" t="s">
        <v>21</v>
      </c>
      <c r="D828" s="13">
        <v>45427</v>
      </c>
      <c r="E828" s="9">
        <v>109954</v>
      </c>
    </row>
    <row r="829" spans="1:5" x14ac:dyDescent="0.25">
      <c r="A829" s="8" t="s">
        <v>1886</v>
      </c>
      <c r="B829" s="8" t="s">
        <v>795</v>
      </c>
      <c r="C829" s="8" t="s">
        <v>109</v>
      </c>
      <c r="D829" s="13">
        <v>45431</v>
      </c>
      <c r="E829" s="9">
        <v>61657</v>
      </c>
    </row>
    <row r="830" spans="1:5" x14ac:dyDescent="0.25">
      <c r="A830" s="8" t="s">
        <v>1887</v>
      </c>
      <c r="B830" s="8" t="s">
        <v>795</v>
      </c>
      <c r="C830" s="8" t="s">
        <v>35</v>
      </c>
      <c r="D830" s="13">
        <v>45454</v>
      </c>
      <c r="E830" s="9">
        <v>117334</v>
      </c>
    </row>
    <row r="831" spans="1:5" x14ac:dyDescent="0.25">
      <c r="A831" s="8" t="s">
        <v>1888</v>
      </c>
      <c r="B831" s="8" t="s">
        <v>795</v>
      </c>
      <c r="C831" s="8" t="s">
        <v>35</v>
      </c>
      <c r="D831" s="13">
        <v>45465</v>
      </c>
      <c r="E831" s="9">
        <v>93118</v>
      </c>
    </row>
    <row r="832" spans="1:5" x14ac:dyDescent="0.25">
      <c r="A832" s="8" t="s">
        <v>1889</v>
      </c>
      <c r="B832" s="8" t="s">
        <v>795</v>
      </c>
      <c r="C832" s="8" t="s">
        <v>91</v>
      </c>
      <c r="D832" s="13">
        <v>45486</v>
      </c>
      <c r="E832" s="9">
        <v>56666</v>
      </c>
    </row>
    <row r="833" spans="1:5" x14ac:dyDescent="0.25">
      <c r="A833" s="8" t="s">
        <v>1890</v>
      </c>
      <c r="B833" s="8" t="s">
        <v>795</v>
      </c>
      <c r="C833" s="8" t="s">
        <v>10</v>
      </c>
      <c r="D833" s="13">
        <v>45492</v>
      </c>
      <c r="E833" s="9">
        <v>110135</v>
      </c>
    </row>
    <row r="834" spans="1:5" x14ac:dyDescent="0.25">
      <c r="A834" s="8" t="s">
        <v>1891</v>
      </c>
      <c r="B834" s="8" t="s">
        <v>795</v>
      </c>
      <c r="C834" s="8" t="s">
        <v>29</v>
      </c>
      <c r="D834" s="13">
        <v>45500</v>
      </c>
      <c r="E834" s="9">
        <v>71686</v>
      </c>
    </row>
    <row r="835" spans="1:5" x14ac:dyDescent="0.25">
      <c r="A835" s="8" t="s">
        <v>1892</v>
      </c>
      <c r="B835" s="8" t="s">
        <v>795</v>
      </c>
      <c r="C835" s="8" t="s">
        <v>6</v>
      </c>
      <c r="D835" s="13">
        <v>45513</v>
      </c>
      <c r="E835" s="9">
        <v>292300</v>
      </c>
    </row>
    <row r="836" spans="1:5" x14ac:dyDescent="0.25">
      <c r="A836" s="8" t="s">
        <v>1893</v>
      </c>
      <c r="B836" s="8" t="s">
        <v>795</v>
      </c>
      <c r="C836" s="8" t="s">
        <v>27</v>
      </c>
      <c r="D836" s="13">
        <v>45516</v>
      </c>
      <c r="E836" s="9">
        <v>99060</v>
      </c>
    </row>
    <row r="837" spans="1:5" x14ac:dyDescent="0.25">
      <c r="A837" s="8" t="s">
        <v>1894</v>
      </c>
      <c r="B837" s="8" t="s">
        <v>795</v>
      </c>
      <c r="C837" s="8" t="s">
        <v>8</v>
      </c>
      <c r="D837" s="13">
        <v>45532</v>
      </c>
      <c r="E837" s="9">
        <v>48065</v>
      </c>
    </row>
    <row r="838" spans="1:5" x14ac:dyDescent="0.25">
      <c r="A838" s="8" t="s">
        <v>1895</v>
      </c>
      <c r="B838" s="8" t="s">
        <v>795</v>
      </c>
      <c r="C838" s="8" t="s">
        <v>33</v>
      </c>
      <c r="D838" s="13">
        <v>45534</v>
      </c>
      <c r="E838" s="9">
        <v>94405</v>
      </c>
    </row>
    <row r="839" spans="1:5" x14ac:dyDescent="0.25">
      <c r="A839" s="8" t="s">
        <v>1896</v>
      </c>
      <c r="B839" s="8" t="s">
        <v>795</v>
      </c>
      <c r="C839" s="8" t="s">
        <v>44</v>
      </c>
      <c r="D839" s="13">
        <v>45541</v>
      </c>
      <c r="E839" s="9">
        <v>45567</v>
      </c>
    </row>
    <row r="840" spans="1:5" x14ac:dyDescent="0.25">
      <c r="A840" s="8" t="s">
        <v>1897</v>
      </c>
      <c r="B840" s="8" t="s">
        <v>795</v>
      </c>
      <c r="C840" s="8" t="s">
        <v>71</v>
      </c>
      <c r="D840" s="13">
        <v>45549</v>
      </c>
      <c r="E840" s="9">
        <v>109655</v>
      </c>
    </row>
    <row r="841" spans="1:5" x14ac:dyDescent="0.25">
      <c r="A841" s="8" t="s">
        <v>1898</v>
      </c>
      <c r="B841" s="8" t="s">
        <v>795</v>
      </c>
      <c r="C841" s="8" t="s">
        <v>55</v>
      </c>
      <c r="D841" s="13">
        <v>45550</v>
      </c>
      <c r="E841" s="9">
        <v>81136</v>
      </c>
    </row>
    <row r="842" spans="1:5" x14ac:dyDescent="0.25">
      <c r="A842" s="8" t="s">
        <v>1899</v>
      </c>
      <c r="B842" s="8" t="s">
        <v>795</v>
      </c>
      <c r="C842" s="8" t="s">
        <v>37</v>
      </c>
      <c r="D842" s="13">
        <v>45551</v>
      </c>
      <c r="E842" s="9">
        <v>90985</v>
      </c>
    </row>
    <row r="843" spans="1:5" x14ac:dyDescent="0.25">
      <c r="A843" s="8" t="s">
        <v>1900</v>
      </c>
      <c r="B843" s="8" t="s">
        <v>795</v>
      </c>
      <c r="C843" s="8" t="s">
        <v>33</v>
      </c>
      <c r="D843" s="13">
        <v>45564</v>
      </c>
      <c r="E843" s="9">
        <v>61106</v>
      </c>
    </row>
    <row r="844" spans="1:5" x14ac:dyDescent="0.25">
      <c r="A844" s="8" t="s">
        <v>1901</v>
      </c>
      <c r="B844" s="8" t="s">
        <v>795</v>
      </c>
      <c r="C844" s="8" t="s">
        <v>71</v>
      </c>
      <c r="D844" s="13">
        <v>45567</v>
      </c>
      <c r="E844" s="9">
        <v>46182</v>
      </c>
    </row>
    <row r="845" spans="1:5" x14ac:dyDescent="0.25">
      <c r="A845" s="8" t="s">
        <v>1902</v>
      </c>
      <c r="B845" s="8" t="s">
        <v>795</v>
      </c>
      <c r="C845" s="8" t="s">
        <v>8</v>
      </c>
      <c r="D845" s="13">
        <v>45603</v>
      </c>
      <c r="E845" s="9">
        <v>48321</v>
      </c>
    </row>
    <row r="846" spans="1:5" x14ac:dyDescent="0.25">
      <c r="A846" s="8" t="s">
        <v>1903</v>
      </c>
      <c r="B846" s="8" t="s">
        <v>795</v>
      </c>
      <c r="C846" s="8" t="s">
        <v>8</v>
      </c>
      <c r="D846" s="13">
        <v>45617</v>
      </c>
      <c r="E846" s="9">
        <v>96065</v>
      </c>
    </row>
    <row r="847" spans="1:5" x14ac:dyDescent="0.25">
      <c r="A847" s="8" t="s">
        <v>1904</v>
      </c>
      <c r="B847" s="8" t="s">
        <v>795</v>
      </c>
      <c r="C847" s="8" t="s">
        <v>25</v>
      </c>
      <c r="D847" s="13">
        <v>45624</v>
      </c>
      <c r="E847" s="9">
        <v>43642</v>
      </c>
    </row>
    <row r="848" spans="1:5" x14ac:dyDescent="0.25">
      <c r="A848" s="8" t="s">
        <v>1905</v>
      </c>
      <c r="B848" s="8" t="s">
        <v>795</v>
      </c>
      <c r="C848" s="8" t="s">
        <v>44</v>
      </c>
      <c r="D848" s="13">
        <v>45625</v>
      </c>
      <c r="E848" s="9">
        <v>66312</v>
      </c>
    </row>
    <row r="849" spans="1:5" x14ac:dyDescent="0.25">
      <c r="A849" s="8" t="s">
        <v>1906</v>
      </c>
      <c r="B849" s="8" t="s">
        <v>795</v>
      </c>
      <c r="C849" s="8" t="s">
        <v>50</v>
      </c>
      <c r="D849" s="13">
        <v>45649</v>
      </c>
      <c r="E849" s="9">
        <v>43216</v>
      </c>
    </row>
    <row r="850" spans="1:5" x14ac:dyDescent="0.25">
      <c r="A850" s="8" t="s">
        <v>1907</v>
      </c>
      <c r="B850" s="8" t="s">
        <v>795</v>
      </c>
      <c r="C850" s="8" t="s">
        <v>25</v>
      </c>
      <c r="D850" s="13">
        <v>45656</v>
      </c>
      <c r="E850" s="9">
        <v>147443</v>
      </c>
    </row>
    <row r="851" spans="1:5" x14ac:dyDescent="0.25">
      <c r="A851" s="8" t="s">
        <v>1908</v>
      </c>
      <c r="B851" s="8" t="s">
        <v>795</v>
      </c>
      <c r="C851" s="8" t="s">
        <v>109</v>
      </c>
      <c r="D851" s="13">
        <v>45660</v>
      </c>
      <c r="E851" s="9">
        <v>55952</v>
      </c>
    </row>
    <row r="852" spans="1:5" x14ac:dyDescent="0.25">
      <c r="A852" s="8" t="s">
        <v>1909</v>
      </c>
      <c r="B852" s="8" t="s">
        <v>795</v>
      </c>
      <c r="C852" s="8" t="s">
        <v>10</v>
      </c>
      <c r="D852" s="13">
        <v>45666</v>
      </c>
      <c r="E852" s="9">
        <v>51476</v>
      </c>
    </row>
    <row r="853" spans="1:5" x14ac:dyDescent="0.25">
      <c r="A853" s="8" t="s">
        <v>1910</v>
      </c>
      <c r="B853" s="8" t="s">
        <v>795</v>
      </c>
      <c r="C853" s="8" t="s">
        <v>73</v>
      </c>
      <c r="D853" s="13">
        <v>45666</v>
      </c>
      <c r="E853" s="9">
        <v>67019</v>
      </c>
    </row>
    <row r="854" spans="1:5" x14ac:dyDescent="0.25">
      <c r="A854" s="8" t="s">
        <v>1911</v>
      </c>
      <c r="B854" s="8" t="s">
        <v>795</v>
      </c>
      <c r="C854" s="8" t="s">
        <v>6</v>
      </c>
      <c r="D854" s="13">
        <v>45702</v>
      </c>
      <c r="E854" s="9">
        <v>74151</v>
      </c>
    </row>
    <row r="855" spans="1:5" x14ac:dyDescent="0.25">
      <c r="A855" s="8" t="s">
        <v>1912</v>
      </c>
      <c r="B855" s="8" t="s">
        <v>795</v>
      </c>
      <c r="C855" s="8" t="s">
        <v>6</v>
      </c>
      <c r="D855" s="13">
        <v>45705</v>
      </c>
      <c r="E855" s="9">
        <v>84364</v>
      </c>
    </row>
    <row r="856" spans="1:5" x14ac:dyDescent="0.25">
      <c r="A856" s="8" t="s">
        <v>1913</v>
      </c>
      <c r="B856" s="8" t="s">
        <v>795</v>
      </c>
      <c r="C856" s="8" t="s">
        <v>108</v>
      </c>
      <c r="D856" s="13">
        <v>45714</v>
      </c>
      <c r="E856" s="9">
        <v>84229</v>
      </c>
    </row>
    <row r="857" spans="1:5" x14ac:dyDescent="0.25">
      <c r="A857" s="8" t="s">
        <v>1914</v>
      </c>
      <c r="B857" s="8" t="s">
        <v>795</v>
      </c>
      <c r="C857" s="8" t="s">
        <v>19</v>
      </c>
      <c r="D857" s="13">
        <v>45730</v>
      </c>
      <c r="E857" s="9">
        <v>54870</v>
      </c>
    </row>
    <row r="858" spans="1:5" x14ac:dyDescent="0.25">
      <c r="A858" s="8" t="s">
        <v>1915</v>
      </c>
      <c r="B858" s="8" t="s">
        <v>795</v>
      </c>
      <c r="C858" s="8" t="s">
        <v>23</v>
      </c>
      <c r="D858" s="13">
        <v>45736</v>
      </c>
      <c r="E858" s="9">
        <v>80641</v>
      </c>
    </row>
    <row r="859" spans="1:5" x14ac:dyDescent="0.25">
      <c r="A859" s="8" t="s">
        <v>1916</v>
      </c>
      <c r="B859" s="8" t="s">
        <v>795</v>
      </c>
      <c r="C859" s="8" t="s">
        <v>48</v>
      </c>
      <c r="D859" s="13">
        <v>45746</v>
      </c>
      <c r="E859" s="9">
        <v>57854</v>
      </c>
    </row>
    <row r="860" spans="1:5" x14ac:dyDescent="0.25">
      <c r="A860" s="8" t="s">
        <v>1917</v>
      </c>
      <c r="B860" s="8" t="s">
        <v>795</v>
      </c>
      <c r="C860" s="8" t="s">
        <v>14</v>
      </c>
      <c r="D860" s="13">
        <v>45766</v>
      </c>
      <c r="E860" s="9">
        <v>54241</v>
      </c>
    </row>
    <row r="861" spans="1:5" x14ac:dyDescent="0.25">
      <c r="A861" s="8" t="s">
        <v>1918</v>
      </c>
      <c r="B861" s="8" t="s">
        <v>795</v>
      </c>
      <c r="C861" s="8" t="s">
        <v>14</v>
      </c>
      <c r="D861" s="13">
        <v>45777</v>
      </c>
      <c r="E861" s="9">
        <v>45369</v>
      </c>
    </row>
    <row r="862" spans="1:5" x14ac:dyDescent="0.25">
      <c r="A862" s="8" t="s">
        <v>1919</v>
      </c>
      <c r="B862" s="8" t="s">
        <v>795</v>
      </c>
      <c r="C862" s="8" t="s">
        <v>8</v>
      </c>
      <c r="D862" s="13">
        <v>45808</v>
      </c>
      <c r="E862" s="9">
        <v>77744</v>
      </c>
    </row>
    <row r="863" spans="1:5" x14ac:dyDescent="0.25">
      <c r="A863" s="8" t="s">
        <v>1920</v>
      </c>
      <c r="B863" s="8" t="s">
        <v>795</v>
      </c>
      <c r="C863" s="8" t="s">
        <v>48</v>
      </c>
      <c r="D863" s="13">
        <v>45840</v>
      </c>
      <c r="E863" s="9">
        <v>64704</v>
      </c>
    </row>
    <row r="864" spans="1:5" x14ac:dyDescent="0.25">
      <c r="A864" s="8" t="s">
        <v>1921</v>
      </c>
      <c r="B864" s="8" t="s">
        <v>795</v>
      </c>
      <c r="C864" s="8" t="s">
        <v>29</v>
      </c>
      <c r="D864" s="13">
        <v>45864</v>
      </c>
      <c r="E864" s="9">
        <v>64852</v>
      </c>
    </row>
    <row r="865" spans="1:5" x14ac:dyDescent="0.25">
      <c r="A865" s="8" t="s">
        <v>1922</v>
      </c>
      <c r="B865" s="8" t="s">
        <v>795</v>
      </c>
      <c r="C865" s="8" t="s">
        <v>33</v>
      </c>
      <c r="D865" s="13">
        <v>45869</v>
      </c>
      <c r="E865" s="9">
        <v>33854</v>
      </c>
    </row>
    <row r="866" spans="1:5" x14ac:dyDescent="0.25">
      <c r="A866" s="8" t="s">
        <v>1923</v>
      </c>
      <c r="B866" s="8" t="s">
        <v>795</v>
      </c>
      <c r="C866" s="8" t="s">
        <v>6</v>
      </c>
      <c r="D866" s="13">
        <v>45874</v>
      </c>
      <c r="E866" s="9">
        <v>35337</v>
      </c>
    </row>
    <row r="867" spans="1:5" x14ac:dyDescent="0.25">
      <c r="A867" s="8" t="s">
        <v>1924</v>
      </c>
      <c r="B867" s="8" t="s">
        <v>795</v>
      </c>
      <c r="C867" s="8" t="s">
        <v>21</v>
      </c>
      <c r="D867" s="13">
        <v>45881</v>
      </c>
      <c r="E867" s="9">
        <v>67730</v>
      </c>
    </row>
    <row r="868" spans="1:5" x14ac:dyDescent="0.25">
      <c r="A868" s="8" t="s">
        <v>1925</v>
      </c>
      <c r="B868" s="8" t="s">
        <v>795</v>
      </c>
      <c r="C868" s="8" t="s">
        <v>8</v>
      </c>
      <c r="D868" s="13">
        <v>45896</v>
      </c>
      <c r="E868" s="9">
        <v>67150</v>
      </c>
    </row>
    <row r="869" spans="1:5" x14ac:dyDescent="0.25">
      <c r="A869" s="8" t="s">
        <v>812</v>
      </c>
      <c r="B869" s="8" t="s">
        <v>813</v>
      </c>
      <c r="C869" s="8" t="s">
        <v>108</v>
      </c>
      <c r="D869" s="13">
        <v>45417</v>
      </c>
      <c r="E869" s="9">
        <v>128092</v>
      </c>
    </row>
    <row r="870" spans="1:5" x14ac:dyDescent="0.25">
      <c r="A870" s="8" t="s">
        <v>814</v>
      </c>
      <c r="B870" s="8" t="s">
        <v>813</v>
      </c>
      <c r="C870" s="8" t="s">
        <v>19</v>
      </c>
      <c r="D870" s="13">
        <v>45438</v>
      </c>
      <c r="E870" s="9">
        <v>67784</v>
      </c>
    </row>
    <row r="871" spans="1:5" x14ac:dyDescent="0.25">
      <c r="A871" s="8" t="s">
        <v>815</v>
      </c>
      <c r="B871" s="8" t="s">
        <v>813</v>
      </c>
      <c r="C871" s="8" t="s">
        <v>17</v>
      </c>
      <c r="D871" s="13">
        <v>45449</v>
      </c>
      <c r="E871" s="9">
        <v>108402</v>
      </c>
    </row>
    <row r="872" spans="1:5" x14ac:dyDescent="0.25">
      <c r="A872" s="8" t="s">
        <v>816</v>
      </c>
      <c r="B872" s="8" t="s">
        <v>813</v>
      </c>
      <c r="C872" s="8" t="s">
        <v>25</v>
      </c>
      <c r="D872" s="13">
        <v>45459</v>
      </c>
      <c r="E872" s="9">
        <v>62514</v>
      </c>
    </row>
    <row r="873" spans="1:5" x14ac:dyDescent="0.25">
      <c r="A873" s="8" t="s">
        <v>817</v>
      </c>
      <c r="B873" s="8" t="s">
        <v>813</v>
      </c>
      <c r="C873" s="8" t="s">
        <v>71</v>
      </c>
      <c r="D873" s="13">
        <v>45465</v>
      </c>
      <c r="E873" s="9">
        <v>72536</v>
      </c>
    </row>
    <row r="874" spans="1:5" x14ac:dyDescent="0.25">
      <c r="A874" s="8" t="s">
        <v>818</v>
      </c>
      <c r="B874" s="8" t="s">
        <v>813</v>
      </c>
      <c r="C874" s="8" t="s">
        <v>8</v>
      </c>
      <c r="D874" s="13">
        <v>45467</v>
      </c>
      <c r="E874" s="9">
        <v>183497</v>
      </c>
    </row>
    <row r="875" spans="1:5" x14ac:dyDescent="0.25">
      <c r="A875" s="8" t="s">
        <v>819</v>
      </c>
      <c r="B875" s="8" t="s">
        <v>813</v>
      </c>
      <c r="C875" s="8" t="s">
        <v>110</v>
      </c>
      <c r="D875" s="13">
        <v>45476</v>
      </c>
      <c r="E875" s="9">
        <v>129559</v>
      </c>
    </row>
    <row r="876" spans="1:5" x14ac:dyDescent="0.25">
      <c r="A876" s="8" t="s">
        <v>820</v>
      </c>
      <c r="B876" s="8" t="s">
        <v>813</v>
      </c>
      <c r="C876" s="8" t="s">
        <v>48</v>
      </c>
      <c r="D876" s="13">
        <v>45477</v>
      </c>
      <c r="E876" s="9">
        <v>79988</v>
      </c>
    </row>
    <row r="877" spans="1:5" x14ac:dyDescent="0.25">
      <c r="A877" s="8" t="s">
        <v>821</v>
      </c>
      <c r="B877" s="8" t="s">
        <v>813</v>
      </c>
      <c r="C877" s="8" t="s">
        <v>19</v>
      </c>
      <c r="D877" s="13">
        <v>45496</v>
      </c>
      <c r="E877" s="9">
        <v>65403</v>
      </c>
    </row>
    <row r="878" spans="1:5" x14ac:dyDescent="0.25">
      <c r="A878" s="8" t="s">
        <v>822</v>
      </c>
      <c r="B878" s="8" t="s">
        <v>813</v>
      </c>
      <c r="C878" s="8" t="s">
        <v>55</v>
      </c>
      <c r="D878" s="13">
        <v>45503</v>
      </c>
      <c r="E878" s="9">
        <v>109199</v>
      </c>
    </row>
    <row r="879" spans="1:5" x14ac:dyDescent="0.25">
      <c r="A879" s="8" t="s">
        <v>823</v>
      </c>
      <c r="B879" s="8" t="s">
        <v>813</v>
      </c>
      <c r="C879" s="8" t="s">
        <v>33</v>
      </c>
      <c r="D879" s="13">
        <v>45508</v>
      </c>
      <c r="E879" s="9">
        <v>51367</v>
      </c>
    </row>
    <row r="880" spans="1:5" x14ac:dyDescent="0.25">
      <c r="A880" s="8" t="s">
        <v>824</v>
      </c>
      <c r="B880" s="8" t="s">
        <v>813</v>
      </c>
      <c r="C880" s="8" t="s">
        <v>27</v>
      </c>
      <c r="D880" s="13">
        <v>45513</v>
      </c>
      <c r="E880" s="9">
        <v>97889</v>
      </c>
    </row>
    <row r="881" spans="1:5" x14ac:dyDescent="0.25">
      <c r="A881" s="8" t="s">
        <v>825</v>
      </c>
      <c r="B881" s="8" t="s">
        <v>813</v>
      </c>
      <c r="C881" s="8" t="s">
        <v>48</v>
      </c>
      <c r="D881" s="13">
        <v>45542</v>
      </c>
      <c r="E881" s="9">
        <v>57768</v>
      </c>
    </row>
    <row r="882" spans="1:5" x14ac:dyDescent="0.25">
      <c r="A882" s="8" t="s">
        <v>826</v>
      </c>
      <c r="B882" s="8" t="s">
        <v>813</v>
      </c>
      <c r="C882" s="8" t="s">
        <v>50</v>
      </c>
      <c r="D882" s="13">
        <v>45553</v>
      </c>
      <c r="E882" s="9">
        <v>108586</v>
      </c>
    </row>
    <row r="883" spans="1:5" x14ac:dyDescent="0.25">
      <c r="A883" s="8" t="s">
        <v>827</v>
      </c>
      <c r="B883" s="8" t="s">
        <v>813</v>
      </c>
      <c r="C883" s="8" t="s">
        <v>21</v>
      </c>
      <c r="D883" s="13">
        <v>45555</v>
      </c>
      <c r="E883" s="9">
        <v>119973</v>
      </c>
    </row>
    <row r="884" spans="1:5" x14ac:dyDescent="0.25">
      <c r="A884" s="8" t="s">
        <v>828</v>
      </c>
      <c r="B884" s="8" t="s">
        <v>813</v>
      </c>
      <c r="C884" s="8" t="s">
        <v>37</v>
      </c>
      <c r="D884" s="13">
        <v>45563</v>
      </c>
      <c r="E884" s="9">
        <v>71785</v>
      </c>
    </row>
    <row r="885" spans="1:5" x14ac:dyDescent="0.25">
      <c r="A885" s="8" t="s">
        <v>829</v>
      </c>
      <c r="B885" s="8" t="s">
        <v>813</v>
      </c>
      <c r="C885" s="8" t="s">
        <v>33</v>
      </c>
      <c r="D885" s="13">
        <v>45586</v>
      </c>
      <c r="E885" s="9">
        <v>94666</v>
      </c>
    </row>
    <row r="886" spans="1:5" x14ac:dyDescent="0.25">
      <c r="A886" s="8" t="s">
        <v>830</v>
      </c>
      <c r="B886" s="8" t="s">
        <v>813</v>
      </c>
      <c r="C886" s="8" t="s">
        <v>10</v>
      </c>
      <c r="D886" s="13">
        <v>45602</v>
      </c>
      <c r="E886" s="9">
        <v>52103</v>
      </c>
    </row>
    <row r="887" spans="1:5" x14ac:dyDescent="0.25">
      <c r="A887" s="8" t="s">
        <v>831</v>
      </c>
      <c r="B887" s="8" t="s">
        <v>813</v>
      </c>
      <c r="C887" s="8" t="s">
        <v>110</v>
      </c>
      <c r="D887" s="13">
        <v>45603</v>
      </c>
      <c r="E887" s="9">
        <v>54450</v>
      </c>
    </row>
    <row r="888" spans="1:5" x14ac:dyDescent="0.25">
      <c r="A888" s="8" t="s">
        <v>832</v>
      </c>
      <c r="B888" s="8" t="s">
        <v>813</v>
      </c>
      <c r="C888" s="8" t="s">
        <v>109</v>
      </c>
      <c r="D888" s="13">
        <v>45606</v>
      </c>
      <c r="E888" s="9">
        <v>54657</v>
      </c>
    </row>
    <row r="889" spans="1:5" x14ac:dyDescent="0.25">
      <c r="A889" s="8" t="s">
        <v>833</v>
      </c>
      <c r="B889" s="8" t="s">
        <v>813</v>
      </c>
      <c r="C889" s="8" t="s">
        <v>10</v>
      </c>
      <c r="D889" s="13">
        <v>45629</v>
      </c>
      <c r="E889" s="9">
        <v>105971</v>
      </c>
    </row>
    <row r="890" spans="1:5" x14ac:dyDescent="0.25">
      <c r="A890" s="8" t="s">
        <v>834</v>
      </c>
      <c r="B890" s="8" t="s">
        <v>813</v>
      </c>
      <c r="C890" s="8" t="s">
        <v>6</v>
      </c>
      <c r="D890" s="13">
        <v>45633</v>
      </c>
      <c r="E890" s="9">
        <v>70438</v>
      </c>
    </row>
    <row r="891" spans="1:5" x14ac:dyDescent="0.25">
      <c r="A891" s="8" t="s">
        <v>835</v>
      </c>
      <c r="B891" s="8" t="s">
        <v>813</v>
      </c>
      <c r="C891" s="8" t="s">
        <v>55</v>
      </c>
      <c r="D891" s="13">
        <v>45654</v>
      </c>
      <c r="E891" s="9">
        <v>96839</v>
      </c>
    </row>
    <row r="892" spans="1:5" x14ac:dyDescent="0.25">
      <c r="A892" s="8" t="s">
        <v>836</v>
      </c>
      <c r="B892" s="8" t="s">
        <v>813</v>
      </c>
      <c r="C892" s="8" t="s">
        <v>109</v>
      </c>
      <c r="D892" s="13">
        <v>45659</v>
      </c>
      <c r="E892" s="9">
        <v>61638</v>
      </c>
    </row>
    <row r="893" spans="1:5" x14ac:dyDescent="0.25">
      <c r="A893" s="8" t="s">
        <v>837</v>
      </c>
      <c r="B893" s="8" t="s">
        <v>813</v>
      </c>
      <c r="C893" s="8" t="s">
        <v>8</v>
      </c>
      <c r="D893" s="13">
        <v>45678</v>
      </c>
      <c r="E893" s="9">
        <v>85337</v>
      </c>
    </row>
    <row r="894" spans="1:5" x14ac:dyDescent="0.25">
      <c r="A894" s="8" t="s">
        <v>1926</v>
      </c>
      <c r="B894" s="8" t="s">
        <v>813</v>
      </c>
      <c r="C894" s="8" t="s">
        <v>19</v>
      </c>
      <c r="D894" s="13">
        <v>45683</v>
      </c>
      <c r="E894" s="9">
        <v>104627</v>
      </c>
    </row>
    <row r="895" spans="1:5" x14ac:dyDescent="0.25">
      <c r="A895" s="8" t="s">
        <v>1927</v>
      </c>
      <c r="B895" s="8" t="s">
        <v>813</v>
      </c>
      <c r="C895" s="8" t="s">
        <v>21</v>
      </c>
      <c r="D895" s="13">
        <v>45690</v>
      </c>
      <c r="E895" s="9">
        <v>91551</v>
      </c>
    </row>
    <row r="896" spans="1:5" x14ac:dyDescent="0.25">
      <c r="A896" s="8" t="s">
        <v>1928</v>
      </c>
      <c r="B896" s="8" t="s">
        <v>813</v>
      </c>
      <c r="C896" s="8" t="s">
        <v>35</v>
      </c>
      <c r="D896" s="13">
        <v>45696</v>
      </c>
      <c r="E896" s="9">
        <v>91599</v>
      </c>
    </row>
    <row r="897" spans="1:5" x14ac:dyDescent="0.25">
      <c r="A897" s="8" t="s">
        <v>1929</v>
      </c>
      <c r="B897" s="8" t="s">
        <v>813</v>
      </c>
      <c r="C897" s="8" t="s">
        <v>33</v>
      </c>
      <c r="D897" s="13">
        <v>45700</v>
      </c>
      <c r="E897" s="9">
        <v>79433</v>
      </c>
    </row>
    <row r="898" spans="1:5" x14ac:dyDescent="0.25">
      <c r="A898" s="8" t="s">
        <v>1930</v>
      </c>
      <c r="B898" s="8" t="s">
        <v>813</v>
      </c>
      <c r="C898" s="8" t="s">
        <v>25</v>
      </c>
      <c r="D898" s="13">
        <v>45707</v>
      </c>
      <c r="E898" s="9">
        <v>100754</v>
      </c>
    </row>
    <row r="899" spans="1:5" x14ac:dyDescent="0.25">
      <c r="A899" s="8" t="s">
        <v>1931</v>
      </c>
      <c r="B899" s="8" t="s">
        <v>813</v>
      </c>
      <c r="C899" s="8" t="s">
        <v>48</v>
      </c>
      <c r="D899" s="13">
        <v>45709</v>
      </c>
      <c r="E899" s="9">
        <v>144862</v>
      </c>
    </row>
    <row r="900" spans="1:5" x14ac:dyDescent="0.25">
      <c r="A900" s="8" t="s">
        <v>1932</v>
      </c>
      <c r="B900" s="8" t="s">
        <v>813</v>
      </c>
      <c r="C900" s="8" t="s">
        <v>27</v>
      </c>
      <c r="D900" s="13">
        <v>45721</v>
      </c>
      <c r="E900" s="9">
        <v>79203</v>
      </c>
    </row>
    <row r="901" spans="1:5" x14ac:dyDescent="0.25">
      <c r="A901" s="8" t="s">
        <v>1933</v>
      </c>
      <c r="B901" s="8" t="s">
        <v>813</v>
      </c>
      <c r="C901" s="8" t="s">
        <v>37</v>
      </c>
      <c r="D901" s="13">
        <v>45721</v>
      </c>
      <c r="E901" s="9">
        <v>54602</v>
      </c>
    </row>
    <row r="902" spans="1:5" x14ac:dyDescent="0.25">
      <c r="A902" s="8" t="s">
        <v>1934</v>
      </c>
      <c r="B902" s="8" t="s">
        <v>813</v>
      </c>
      <c r="C902" s="8" t="s">
        <v>14</v>
      </c>
      <c r="D902" s="13">
        <v>45722</v>
      </c>
      <c r="E902" s="9">
        <v>43058</v>
      </c>
    </row>
    <row r="903" spans="1:5" x14ac:dyDescent="0.25">
      <c r="A903" s="8" t="s">
        <v>1935</v>
      </c>
      <c r="B903" s="8" t="s">
        <v>813</v>
      </c>
      <c r="C903" s="8" t="s">
        <v>14</v>
      </c>
      <c r="D903" s="13">
        <v>45737</v>
      </c>
      <c r="E903" s="9">
        <v>40731</v>
      </c>
    </row>
    <row r="904" spans="1:5" x14ac:dyDescent="0.25">
      <c r="A904" s="8" t="s">
        <v>1936</v>
      </c>
      <c r="B904" s="8" t="s">
        <v>813</v>
      </c>
      <c r="C904" s="8" t="s">
        <v>50</v>
      </c>
      <c r="D904" s="13">
        <v>45756</v>
      </c>
      <c r="E904" s="9">
        <v>63348</v>
      </c>
    </row>
    <row r="905" spans="1:5" x14ac:dyDescent="0.25">
      <c r="A905" s="8" t="s">
        <v>1937</v>
      </c>
      <c r="B905" s="8" t="s">
        <v>813</v>
      </c>
      <c r="C905" s="8" t="s">
        <v>71</v>
      </c>
      <c r="D905" s="13">
        <v>45757</v>
      </c>
      <c r="E905" s="9">
        <v>62185</v>
      </c>
    </row>
    <row r="906" spans="1:5" x14ac:dyDescent="0.25">
      <c r="A906" s="8" t="s">
        <v>1938</v>
      </c>
      <c r="B906" s="8" t="s">
        <v>813</v>
      </c>
      <c r="C906" s="8" t="s">
        <v>91</v>
      </c>
      <c r="D906" s="13">
        <v>45758</v>
      </c>
      <c r="E906" s="9">
        <v>91323</v>
      </c>
    </row>
    <row r="907" spans="1:5" x14ac:dyDescent="0.25">
      <c r="A907" s="8" t="s">
        <v>1939</v>
      </c>
      <c r="B907" s="8" t="s">
        <v>813</v>
      </c>
      <c r="C907" s="8" t="s">
        <v>17</v>
      </c>
      <c r="D907" s="13">
        <v>45768</v>
      </c>
      <c r="E907" s="9">
        <v>79106</v>
      </c>
    </row>
    <row r="908" spans="1:5" x14ac:dyDescent="0.25">
      <c r="A908" s="8" t="s">
        <v>1940</v>
      </c>
      <c r="B908" s="8" t="s">
        <v>813</v>
      </c>
      <c r="C908" s="8" t="s">
        <v>37</v>
      </c>
      <c r="D908" s="13">
        <v>45805</v>
      </c>
      <c r="E908" s="9">
        <v>85395</v>
      </c>
    </row>
    <row r="909" spans="1:5" x14ac:dyDescent="0.25">
      <c r="A909" s="8" t="s">
        <v>838</v>
      </c>
      <c r="B909" s="8" t="s">
        <v>839</v>
      </c>
      <c r="C909" s="8" t="s">
        <v>27</v>
      </c>
      <c r="D909" s="13">
        <v>45420</v>
      </c>
      <c r="E909" s="9">
        <v>225960</v>
      </c>
    </row>
    <row r="910" spans="1:5" x14ac:dyDescent="0.25">
      <c r="A910" s="8" t="s">
        <v>840</v>
      </c>
      <c r="B910" s="8" t="s">
        <v>839</v>
      </c>
      <c r="C910" s="8" t="s">
        <v>55</v>
      </c>
      <c r="D910" s="13">
        <v>45443</v>
      </c>
      <c r="E910" s="9">
        <v>219405</v>
      </c>
    </row>
    <row r="911" spans="1:5" x14ac:dyDescent="0.25">
      <c r="A911" s="8" t="s">
        <v>841</v>
      </c>
      <c r="B911" s="8" t="s">
        <v>839</v>
      </c>
      <c r="C911" s="8" t="s">
        <v>25</v>
      </c>
      <c r="D911" s="13">
        <v>45443</v>
      </c>
      <c r="E911" s="9">
        <v>117182</v>
      </c>
    </row>
    <row r="912" spans="1:5" x14ac:dyDescent="0.25">
      <c r="A912" s="8" t="s">
        <v>842</v>
      </c>
      <c r="B912" s="8" t="s">
        <v>839</v>
      </c>
      <c r="C912" s="8" t="s">
        <v>27</v>
      </c>
      <c r="D912" s="13">
        <v>45448</v>
      </c>
      <c r="E912" s="9">
        <v>290576</v>
      </c>
    </row>
    <row r="913" spans="1:5" x14ac:dyDescent="0.25">
      <c r="A913" s="8" t="s">
        <v>843</v>
      </c>
      <c r="B913" s="8" t="s">
        <v>839</v>
      </c>
      <c r="C913" s="8" t="s">
        <v>25</v>
      </c>
      <c r="D913" s="13">
        <v>45467</v>
      </c>
      <c r="E913" s="9">
        <v>166386</v>
      </c>
    </row>
    <row r="914" spans="1:5" x14ac:dyDescent="0.25">
      <c r="A914" s="8" t="s">
        <v>844</v>
      </c>
      <c r="B914" s="8" t="s">
        <v>839</v>
      </c>
      <c r="C914" s="8" t="s">
        <v>35</v>
      </c>
      <c r="D914" s="13">
        <v>45482</v>
      </c>
      <c r="E914" s="9">
        <v>292268</v>
      </c>
    </row>
    <row r="915" spans="1:5" x14ac:dyDescent="0.25">
      <c r="A915" s="8" t="s">
        <v>845</v>
      </c>
      <c r="B915" s="8" t="s">
        <v>839</v>
      </c>
      <c r="C915" s="8" t="s">
        <v>50</v>
      </c>
      <c r="D915" s="13">
        <v>45513</v>
      </c>
      <c r="E915" s="9">
        <v>281062</v>
      </c>
    </row>
    <row r="916" spans="1:5" x14ac:dyDescent="0.25">
      <c r="A916" s="8" t="s">
        <v>846</v>
      </c>
      <c r="B916" s="8" t="s">
        <v>839</v>
      </c>
      <c r="C916" s="8" t="s">
        <v>37</v>
      </c>
      <c r="D916" s="13">
        <v>45521</v>
      </c>
      <c r="E916" s="9">
        <v>318521</v>
      </c>
    </row>
    <row r="917" spans="1:5" x14ac:dyDescent="0.25">
      <c r="A917" s="8" t="s">
        <v>847</v>
      </c>
      <c r="B917" s="8" t="s">
        <v>839</v>
      </c>
      <c r="C917" s="8" t="s">
        <v>14</v>
      </c>
      <c r="D917" s="13">
        <v>45528</v>
      </c>
      <c r="E917" s="9">
        <v>308927</v>
      </c>
    </row>
    <row r="918" spans="1:5" x14ac:dyDescent="0.25">
      <c r="A918" s="8" t="s">
        <v>848</v>
      </c>
      <c r="B918" s="8" t="s">
        <v>839</v>
      </c>
      <c r="C918" s="8" t="s">
        <v>73</v>
      </c>
      <c r="D918" s="13">
        <v>45529</v>
      </c>
      <c r="E918" s="9">
        <v>312010</v>
      </c>
    </row>
    <row r="919" spans="1:5" x14ac:dyDescent="0.25">
      <c r="A919" s="8" t="s">
        <v>849</v>
      </c>
      <c r="B919" s="8" t="s">
        <v>839</v>
      </c>
      <c r="C919" s="8" t="s">
        <v>73</v>
      </c>
      <c r="D919" s="13">
        <v>45530</v>
      </c>
      <c r="E919" s="9">
        <v>199389</v>
      </c>
    </row>
    <row r="920" spans="1:5" x14ac:dyDescent="0.25">
      <c r="A920" s="8" t="s">
        <v>850</v>
      </c>
      <c r="B920" s="8" t="s">
        <v>839</v>
      </c>
      <c r="C920" s="8" t="s">
        <v>19</v>
      </c>
      <c r="D920" s="13">
        <v>45543</v>
      </c>
      <c r="E920" s="9">
        <v>215126</v>
      </c>
    </row>
    <row r="921" spans="1:5" x14ac:dyDescent="0.25">
      <c r="A921" s="8" t="s">
        <v>851</v>
      </c>
      <c r="B921" s="8" t="s">
        <v>839</v>
      </c>
      <c r="C921" s="8" t="s">
        <v>25</v>
      </c>
      <c r="D921" s="13">
        <v>45545</v>
      </c>
      <c r="E921" s="9">
        <v>317730</v>
      </c>
    </row>
    <row r="922" spans="1:5" x14ac:dyDescent="0.25">
      <c r="A922" s="8" t="s">
        <v>852</v>
      </c>
      <c r="B922" s="8" t="s">
        <v>839</v>
      </c>
      <c r="C922" s="8" t="s">
        <v>110</v>
      </c>
      <c r="D922" s="13">
        <v>45548</v>
      </c>
      <c r="E922" s="9">
        <v>135879</v>
      </c>
    </row>
    <row r="923" spans="1:5" x14ac:dyDescent="0.25">
      <c r="A923" s="8" t="s">
        <v>853</v>
      </c>
      <c r="B923" s="8" t="s">
        <v>839</v>
      </c>
      <c r="C923" s="8" t="s">
        <v>110</v>
      </c>
      <c r="D923" s="13">
        <v>45551</v>
      </c>
      <c r="E923" s="9">
        <v>150242</v>
      </c>
    </row>
    <row r="924" spans="1:5" x14ac:dyDescent="0.25">
      <c r="A924" s="8" t="s">
        <v>854</v>
      </c>
      <c r="B924" s="8" t="s">
        <v>839</v>
      </c>
      <c r="C924" s="8" t="s">
        <v>21</v>
      </c>
      <c r="D924" s="13">
        <v>45558</v>
      </c>
      <c r="E924" s="9">
        <v>169801</v>
      </c>
    </row>
    <row r="925" spans="1:5" x14ac:dyDescent="0.25">
      <c r="A925" s="8" t="s">
        <v>855</v>
      </c>
      <c r="B925" s="8" t="s">
        <v>839</v>
      </c>
      <c r="C925" s="8" t="s">
        <v>10</v>
      </c>
      <c r="D925" s="13">
        <v>45590</v>
      </c>
      <c r="E925" s="9">
        <v>178190</v>
      </c>
    </row>
    <row r="926" spans="1:5" x14ac:dyDescent="0.25">
      <c r="A926" s="8" t="s">
        <v>856</v>
      </c>
      <c r="B926" s="8" t="s">
        <v>857</v>
      </c>
      <c r="C926" s="8" t="s">
        <v>50</v>
      </c>
      <c r="D926" s="13">
        <v>45148</v>
      </c>
      <c r="E926" s="9">
        <v>81231</v>
      </c>
    </row>
    <row r="927" spans="1:5" x14ac:dyDescent="0.25">
      <c r="A927" s="8" t="s">
        <v>858</v>
      </c>
      <c r="B927" s="8" t="s">
        <v>857</v>
      </c>
      <c r="C927" s="8" t="s">
        <v>17</v>
      </c>
      <c r="D927" s="13">
        <v>45153</v>
      </c>
      <c r="E927" s="9">
        <v>133560</v>
      </c>
    </row>
    <row r="928" spans="1:5" x14ac:dyDescent="0.25">
      <c r="A928" s="8" t="s">
        <v>859</v>
      </c>
      <c r="B928" s="8" t="s">
        <v>857</v>
      </c>
      <c r="C928" s="8" t="s">
        <v>44</v>
      </c>
      <c r="D928" s="13">
        <v>45176</v>
      </c>
      <c r="E928" s="9">
        <v>110491</v>
      </c>
    </row>
    <row r="929" spans="1:5" x14ac:dyDescent="0.25">
      <c r="A929" s="8" t="s">
        <v>860</v>
      </c>
      <c r="B929" s="8" t="s">
        <v>857</v>
      </c>
      <c r="C929" s="8" t="s">
        <v>110</v>
      </c>
      <c r="D929" s="13">
        <v>45177</v>
      </c>
      <c r="E929" s="9">
        <v>148894</v>
      </c>
    </row>
    <row r="930" spans="1:5" x14ac:dyDescent="0.25">
      <c r="A930" s="8" t="s">
        <v>861</v>
      </c>
      <c r="B930" s="8" t="s">
        <v>857</v>
      </c>
      <c r="C930" s="8" t="s">
        <v>21</v>
      </c>
      <c r="D930" s="13">
        <v>45218</v>
      </c>
      <c r="E930" s="9">
        <v>59911</v>
      </c>
    </row>
    <row r="931" spans="1:5" x14ac:dyDescent="0.25">
      <c r="A931" s="8" t="s">
        <v>862</v>
      </c>
      <c r="B931" s="8" t="s">
        <v>857</v>
      </c>
      <c r="C931" s="8" t="s">
        <v>6</v>
      </c>
      <c r="D931" s="13">
        <v>45222</v>
      </c>
      <c r="E931" s="9">
        <v>85946</v>
      </c>
    </row>
    <row r="932" spans="1:5" x14ac:dyDescent="0.25">
      <c r="A932" s="8" t="s">
        <v>863</v>
      </c>
      <c r="B932" s="8" t="s">
        <v>857</v>
      </c>
      <c r="C932" s="8" t="s">
        <v>21</v>
      </c>
      <c r="D932" s="13">
        <v>45227</v>
      </c>
      <c r="E932" s="9">
        <v>156703</v>
      </c>
    </row>
    <row r="933" spans="1:5" x14ac:dyDescent="0.25">
      <c r="A933" s="8" t="s">
        <v>864</v>
      </c>
      <c r="B933" s="8" t="s">
        <v>857</v>
      </c>
      <c r="C933" s="8" t="s">
        <v>19</v>
      </c>
      <c r="D933" s="13">
        <v>45230</v>
      </c>
      <c r="E933" s="9">
        <v>57291</v>
      </c>
    </row>
    <row r="934" spans="1:5" x14ac:dyDescent="0.25">
      <c r="A934" s="8" t="s">
        <v>865</v>
      </c>
      <c r="B934" s="8" t="s">
        <v>857</v>
      </c>
      <c r="C934" s="8" t="s">
        <v>6</v>
      </c>
      <c r="D934" s="13">
        <v>45236</v>
      </c>
      <c r="E934" s="9">
        <v>129491</v>
      </c>
    </row>
    <row r="935" spans="1:5" x14ac:dyDescent="0.25">
      <c r="A935" s="8" t="s">
        <v>866</v>
      </c>
      <c r="B935" s="8" t="s">
        <v>857</v>
      </c>
      <c r="C935" s="8" t="s">
        <v>35</v>
      </c>
      <c r="D935" s="13">
        <v>45253</v>
      </c>
      <c r="E935" s="9">
        <v>90311</v>
      </c>
    </row>
    <row r="936" spans="1:5" x14ac:dyDescent="0.25">
      <c r="A936" s="8" t="s">
        <v>867</v>
      </c>
      <c r="B936" s="8" t="s">
        <v>857</v>
      </c>
      <c r="C936" s="8" t="s">
        <v>19</v>
      </c>
      <c r="D936" s="13">
        <v>45254</v>
      </c>
      <c r="E936" s="9">
        <v>109389</v>
      </c>
    </row>
    <row r="937" spans="1:5" x14ac:dyDescent="0.25">
      <c r="A937" s="8" t="s">
        <v>868</v>
      </c>
      <c r="B937" s="8" t="s">
        <v>857</v>
      </c>
      <c r="C937" s="8" t="s">
        <v>21</v>
      </c>
      <c r="D937" s="13">
        <v>45260</v>
      </c>
      <c r="E937" s="9">
        <v>88190</v>
      </c>
    </row>
    <row r="938" spans="1:5" x14ac:dyDescent="0.25">
      <c r="A938" s="8" t="s">
        <v>869</v>
      </c>
      <c r="B938" s="8" t="s">
        <v>857</v>
      </c>
      <c r="C938" s="8" t="s">
        <v>44</v>
      </c>
      <c r="D938" s="13">
        <v>45275</v>
      </c>
      <c r="E938" s="9">
        <v>74872</v>
      </c>
    </row>
    <row r="939" spans="1:5" x14ac:dyDescent="0.25">
      <c r="A939" s="8" t="s">
        <v>870</v>
      </c>
      <c r="B939" s="8" t="s">
        <v>857</v>
      </c>
      <c r="C939" s="8" t="s">
        <v>23</v>
      </c>
      <c r="D939" s="13">
        <v>45276</v>
      </c>
      <c r="E939" s="9">
        <v>104029</v>
      </c>
    </row>
    <row r="940" spans="1:5" x14ac:dyDescent="0.25">
      <c r="A940" s="8" t="s">
        <v>871</v>
      </c>
      <c r="B940" s="8" t="s">
        <v>857</v>
      </c>
      <c r="C940" s="8" t="s">
        <v>44</v>
      </c>
      <c r="D940" s="13">
        <v>45282</v>
      </c>
      <c r="E940" s="9">
        <v>79504</v>
      </c>
    </row>
    <row r="941" spans="1:5" x14ac:dyDescent="0.25">
      <c r="A941" s="8" t="s">
        <v>872</v>
      </c>
      <c r="B941" s="8" t="s">
        <v>857</v>
      </c>
      <c r="C941" s="8" t="s">
        <v>25</v>
      </c>
      <c r="D941" s="13">
        <v>45292</v>
      </c>
      <c r="E941" s="9">
        <v>143916</v>
      </c>
    </row>
    <row r="942" spans="1:5" x14ac:dyDescent="0.25">
      <c r="A942" s="8" t="s">
        <v>873</v>
      </c>
      <c r="B942" s="8" t="s">
        <v>857</v>
      </c>
      <c r="C942" s="8" t="s">
        <v>44</v>
      </c>
      <c r="D942" s="13">
        <v>45302</v>
      </c>
      <c r="E942" s="9">
        <v>81330</v>
      </c>
    </row>
    <row r="943" spans="1:5" x14ac:dyDescent="0.25">
      <c r="A943" s="8" t="s">
        <v>874</v>
      </c>
      <c r="B943" s="8" t="s">
        <v>857</v>
      </c>
      <c r="C943" s="8" t="s">
        <v>10</v>
      </c>
      <c r="D943" s="13">
        <v>45318</v>
      </c>
      <c r="E943" s="9">
        <v>121800</v>
      </c>
    </row>
    <row r="944" spans="1:5" x14ac:dyDescent="0.25">
      <c r="A944" s="8" t="s">
        <v>875</v>
      </c>
      <c r="B944" s="8" t="s">
        <v>857</v>
      </c>
      <c r="C944" s="8" t="s">
        <v>14</v>
      </c>
      <c r="D944" s="13">
        <v>45319</v>
      </c>
      <c r="E944" s="9">
        <v>376769</v>
      </c>
    </row>
    <row r="945" spans="1:5" x14ac:dyDescent="0.25">
      <c r="A945" s="8" t="s">
        <v>876</v>
      </c>
      <c r="B945" s="8" t="s">
        <v>857</v>
      </c>
      <c r="C945" s="8" t="s">
        <v>73</v>
      </c>
      <c r="D945" s="13">
        <v>45329</v>
      </c>
      <c r="E945" s="9">
        <v>78174</v>
      </c>
    </row>
    <row r="946" spans="1:5" x14ac:dyDescent="0.25">
      <c r="A946" s="8" t="s">
        <v>877</v>
      </c>
      <c r="B946" s="8" t="s">
        <v>857</v>
      </c>
      <c r="C946" s="8" t="s">
        <v>48</v>
      </c>
      <c r="D946" s="13">
        <v>45336</v>
      </c>
      <c r="E946" s="9">
        <v>137461</v>
      </c>
    </row>
    <row r="947" spans="1:5" x14ac:dyDescent="0.25">
      <c r="A947" s="8" t="s">
        <v>878</v>
      </c>
      <c r="B947" s="8" t="s">
        <v>857</v>
      </c>
      <c r="C947" s="8" t="s">
        <v>8</v>
      </c>
      <c r="D947" s="13">
        <v>45343</v>
      </c>
      <c r="E947" s="9">
        <v>126734</v>
      </c>
    </row>
    <row r="948" spans="1:5" x14ac:dyDescent="0.25">
      <c r="A948" s="8" t="s">
        <v>879</v>
      </c>
      <c r="B948" s="8" t="s">
        <v>857</v>
      </c>
      <c r="C948" s="8" t="s">
        <v>91</v>
      </c>
      <c r="D948" s="13">
        <v>45346</v>
      </c>
      <c r="E948" s="9">
        <v>489120</v>
      </c>
    </row>
    <row r="949" spans="1:5" x14ac:dyDescent="0.25">
      <c r="A949" s="8" t="s">
        <v>880</v>
      </c>
      <c r="B949" s="8" t="s">
        <v>857</v>
      </c>
      <c r="C949" s="8" t="s">
        <v>10</v>
      </c>
      <c r="D949" s="13">
        <v>45365</v>
      </c>
      <c r="E949" s="9">
        <v>85780</v>
      </c>
    </row>
    <row r="950" spans="1:5" x14ac:dyDescent="0.25">
      <c r="A950" s="8" t="s">
        <v>881</v>
      </c>
      <c r="B950" s="8" t="s">
        <v>857</v>
      </c>
      <c r="C950" s="8" t="s">
        <v>73</v>
      </c>
      <c r="D950" s="13">
        <v>45376</v>
      </c>
      <c r="E950" s="9">
        <v>191723</v>
      </c>
    </row>
    <row r="951" spans="1:5" x14ac:dyDescent="0.25">
      <c r="A951" s="8" t="s">
        <v>882</v>
      </c>
      <c r="B951" s="8" t="s">
        <v>857</v>
      </c>
      <c r="C951" s="8" t="s">
        <v>55</v>
      </c>
      <c r="D951" s="13">
        <v>45380</v>
      </c>
      <c r="E951" s="9">
        <v>167163</v>
      </c>
    </row>
    <row r="952" spans="1:5" x14ac:dyDescent="0.25">
      <c r="A952" s="8" t="s">
        <v>883</v>
      </c>
      <c r="B952" s="8" t="s">
        <v>857</v>
      </c>
      <c r="C952" s="8" t="s">
        <v>37</v>
      </c>
      <c r="D952" s="13">
        <v>45392</v>
      </c>
      <c r="E952" s="9">
        <v>108322</v>
      </c>
    </row>
    <row r="953" spans="1:5" x14ac:dyDescent="0.25">
      <c r="A953" s="8" t="s">
        <v>884</v>
      </c>
      <c r="B953" s="8" t="s">
        <v>857</v>
      </c>
      <c r="C953" s="8" t="s">
        <v>29</v>
      </c>
      <c r="D953" s="13">
        <v>45393</v>
      </c>
      <c r="E953" s="9">
        <v>180048</v>
      </c>
    </row>
    <row r="954" spans="1:5" x14ac:dyDescent="0.25">
      <c r="A954" s="8" t="s">
        <v>885</v>
      </c>
      <c r="B954" s="8" t="s">
        <v>857</v>
      </c>
      <c r="C954" s="8" t="s">
        <v>33</v>
      </c>
      <c r="D954" s="13">
        <v>45402</v>
      </c>
      <c r="E954" s="9">
        <v>163258</v>
      </c>
    </row>
    <row r="955" spans="1:5" x14ac:dyDescent="0.25">
      <c r="A955" s="8" t="s">
        <v>886</v>
      </c>
      <c r="B955" s="8" t="s">
        <v>857</v>
      </c>
      <c r="C955" s="8" t="s">
        <v>71</v>
      </c>
      <c r="D955" s="13">
        <v>45412</v>
      </c>
      <c r="E955" s="9">
        <v>84639</v>
      </c>
    </row>
    <row r="956" spans="1:5" x14ac:dyDescent="0.25">
      <c r="A956" s="8" t="s">
        <v>887</v>
      </c>
      <c r="B956" s="8" t="s">
        <v>857</v>
      </c>
      <c r="C956" s="8" t="s">
        <v>21</v>
      </c>
      <c r="D956" s="13">
        <v>45433</v>
      </c>
      <c r="E956" s="9">
        <v>187671</v>
      </c>
    </row>
    <row r="957" spans="1:5" x14ac:dyDescent="0.25">
      <c r="A957" s="8" t="s">
        <v>888</v>
      </c>
      <c r="B957" s="8" t="s">
        <v>857</v>
      </c>
      <c r="C957" s="8" t="s">
        <v>33</v>
      </c>
      <c r="D957" s="13">
        <v>45435</v>
      </c>
      <c r="E957" s="9">
        <v>141065</v>
      </c>
    </row>
    <row r="958" spans="1:5" x14ac:dyDescent="0.25">
      <c r="A958" s="8" t="s">
        <v>889</v>
      </c>
      <c r="B958" s="8" t="s">
        <v>857</v>
      </c>
      <c r="C958" s="8" t="s">
        <v>71</v>
      </c>
      <c r="D958" s="13">
        <v>45441</v>
      </c>
      <c r="E958" s="9">
        <v>158242</v>
      </c>
    </row>
    <row r="959" spans="1:5" x14ac:dyDescent="0.25">
      <c r="A959" s="8" t="s">
        <v>890</v>
      </c>
      <c r="B959" s="8" t="s">
        <v>857</v>
      </c>
      <c r="C959" s="8" t="s">
        <v>8</v>
      </c>
      <c r="D959" s="13">
        <v>45441</v>
      </c>
      <c r="E959" s="9">
        <v>112566</v>
      </c>
    </row>
    <row r="960" spans="1:5" x14ac:dyDescent="0.25">
      <c r="A960" s="8" t="s">
        <v>891</v>
      </c>
      <c r="B960" s="8" t="s">
        <v>857</v>
      </c>
      <c r="C960" s="8" t="s">
        <v>23</v>
      </c>
      <c r="D960" s="13">
        <v>45448</v>
      </c>
      <c r="E960" s="9">
        <v>100615</v>
      </c>
    </row>
    <row r="961" spans="1:5" x14ac:dyDescent="0.25">
      <c r="A961" s="8" t="s">
        <v>892</v>
      </c>
      <c r="B961" s="8" t="s">
        <v>857</v>
      </c>
      <c r="C961" s="8" t="s">
        <v>73</v>
      </c>
      <c r="D961" s="13">
        <v>45482</v>
      </c>
      <c r="E961" s="9">
        <v>76677</v>
      </c>
    </row>
    <row r="962" spans="1:5" x14ac:dyDescent="0.25">
      <c r="A962" s="8" t="s">
        <v>893</v>
      </c>
      <c r="B962" s="8" t="s">
        <v>857</v>
      </c>
      <c r="C962" s="8" t="s">
        <v>29</v>
      </c>
      <c r="D962" s="13">
        <v>45531</v>
      </c>
      <c r="E962" s="9">
        <v>119025</v>
      </c>
    </row>
    <row r="963" spans="1:5" x14ac:dyDescent="0.25">
      <c r="A963" s="8" t="s">
        <v>894</v>
      </c>
      <c r="B963" s="8" t="s">
        <v>857</v>
      </c>
      <c r="C963" s="8" t="s">
        <v>14</v>
      </c>
      <c r="D963" s="13">
        <v>45545</v>
      </c>
      <c r="E963" s="9">
        <v>130029</v>
      </c>
    </row>
    <row r="964" spans="1:5" x14ac:dyDescent="0.25">
      <c r="A964" s="8" t="s">
        <v>895</v>
      </c>
      <c r="B964" s="8" t="s">
        <v>857</v>
      </c>
      <c r="C964" s="8" t="s">
        <v>37</v>
      </c>
      <c r="D964" s="13">
        <v>45576</v>
      </c>
      <c r="E964" s="9">
        <v>140384</v>
      </c>
    </row>
    <row r="965" spans="1:5" x14ac:dyDescent="0.25">
      <c r="A965" s="8" t="s">
        <v>896</v>
      </c>
      <c r="B965" s="8" t="s">
        <v>857</v>
      </c>
      <c r="C965" s="8" t="s">
        <v>55</v>
      </c>
      <c r="D965" s="13">
        <v>45604</v>
      </c>
      <c r="E965" s="9">
        <v>138133</v>
      </c>
    </row>
    <row r="966" spans="1:5" x14ac:dyDescent="0.25">
      <c r="A966" s="8" t="s">
        <v>897</v>
      </c>
      <c r="B966" s="8" t="s">
        <v>857</v>
      </c>
      <c r="C966" s="8" t="s">
        <v>14</v>
      </c>
      <c r="D966" s="13">
        <v>45618</v>
      </c>
      <c r="E966" s="9">
        <v>104885</v>
      </c>
    </row>
    <row r="967" spans="1:5" x14ac:dyDescent="0.25">
      <c r="A967" s="8" t="s">
        <v>898</v>
      </c>
      <c r="B967" s="8" t="s">
        <v>857</v>
      </c>
      <c r="C967" s="8" t="s">
        <v>21</v>
      </c>
      <c r="D967" s="13">
        <v>45621</v>
      </c>
      <c r="E967" s="9">
        <v>91313</v>
      </c>
    </row>
    <row r="968" spans="1:5" x14ac:dyDescent="0.25">
      <c r="A968" s="8" t="s">
        <v>899</v>
      </c>
      <c r="B968" s="8" t="s">
        <v>857</v>
      </c>
      <c r="C968" s="8" t="s">
        <v>35</v>
      </c>
      <c r="D968" s="13">
        <v>45644</v>
      </c>
      <c r="E968" s="9">
        <v>69319</v>
      </c>
    </row>
    <row r="969" spans="1:5" x14ac:dyDescent="0.25">
      <c r="A969" s="8" t="s">
        <v>900</v>
      </c>
      <c r="B969" s="8" t="s">
        <v>857</v>
      </c>
      <c r="C969" s="8" t="s">
        <v>17</v>
      </c>
      <c r="D969" s="13">
        <v>45653</v>
      </c>
      <c r="E969" s="9">
        <v>135624</v>
      </c>
    </row>
    <row r="970" spans="1:5" x14ac:dyDescent="0.25">
      <c r="A970" s="8" t="s">
        <v>901</v>
      </c>
      <c r="B970" s="8" t="s">
        <v>857</v>
      </c>
      <c r="C970" s="8" t="s">
        <v>14</v>
      </c>
      <c r="D970" s="13">
        <v>45679</v>
      </c>
      <c r="E970" s="9">
        <v>155702</v>
      </c>
    </row>
    <row r="971" spans="1:5" x14ac:dyDescent="0.25">
      <c r="A971" s="8" t="s">
        <v>902</v>
      </c>
      <c r="B971" s="8" t="s">
        <v>857</v>
      </c>
      <c r="C971" s="8" t="s">
        <v>109</v>
      </c>
      <c r="D971" s="13">
        <v>45699</v>
      </c>
      <c r="E971" s="9">
        <v>158559</v>
      </c>
    </row>
    <row r="972" spans="1:5" x14ac:dyDescent="0.25">
      <c r="A972" s="8" t="s">
        <v>903</v>
      </c>
      <c r="B972" s="8" t="s">
        <v>857</v>
      </c>
      <c r="C972" s="8" t="s">
        <v>48</v>
      </c>
      <c r="D972" s="13">
        <v>45725</v>
      </c>
      <c r="E972" s="9">
        <v>140980</v>
      </c>
    </row>
    <row r="973" spans="1:5" x14ac:dyDescent="0.25">
      <c r="A973" s="8" t="s">
        <v>904</v>
      </c>
      <c r="B973" s="8" t="s">
        <v>857</v>
      </c>
      <c r="C973" s="8" t="s">
        <v>91</v>
      </c>
      <c r="D973" s="13">
        <v>45749</v>
      </c>
      <c r="E973" s="9">
        <v>85209</v>
      </c>
    </row>
    <row r="974" spans="1:5" x14ac:dyDescent="0.25">
      <c r="A974" s="8" t="s">
        <v>905</v>
      </c>
      <c r="B974" s="8" t="s">
        <v>857</v>
      </c>
      <c r="C974" s="8" t="s">
        <v>109</v>
      </c>
      <c r="D974" s="13">
        <v>45756</v>
      </c>
      <c r="E974" s="9">
        <v>111031</v>
      </c>
    </row>
    <row r="975" spans="1:5" x14ac:dyDescent="0.25">
      <c r="A975" s="8" t="s">
        <v>906</v>
      </c>
      <c r="B975" s="8" t="s">
        <v>857</v>
      </c>
      <c r="C975" s="8" t="s">
        <v>21</v>
      </c>
      <c r="D975" s="13">
        <v>45759</v>
      </c>
      <c r="E975" s="9">
        <v>94313</v>
      </c>
    </row>
    <row r="976" spans="1:5" x14ac:dyDescent="0.25">
      <c r="A976" s="8" t="s">
        <v>907</v>
      </c>
      <c r="B976" s="8" t="s">
        <v>857</v>
      </c>
      <c r="C976" s="8" t="s">
        <v>33</v>
      </c>
      <c r="D976" s="13">
        <v>45793</v>
      </c>
      <c r="E976" s="9">
        <v>97408</v>
      </c>
    </row>
    <row r="977" spans="1:5" x14ac:dyDescent="0.25">
      <c r="A977" s="8" t="s">
        <v>908</v>
      </c>
      <c r="B977" s="8" t="s">
        <v>857</v>
      </c>
      <c r="C977" s="8" t="s">
        <v>8</v>
      </c>
      <c r="D977" s="13">
        <v>45795</v>
      </c>
      <c r="E977" s="9">
        <v>166143</v>
      </c>
    </row>
    <row r="978" spans="1:5" x14ac:dyDescent="0.25">
      <c r="A978" s="8" t="s">
        <v>909</v>
      </c>
      <c r="B978" s="8" t="s">
        <v>857</v>
      </c>
      <c r="C978" s="8" t="s">
        <v>8</v>
      </c>
      <c r="D978" s="13">
        <v>45800</v>
      </c>
      <c r="E978" s="9">
        <v>108675</v>
      </c>
    </row>
    <row r="979" spans="1:5" x14ac:dyDescent="0.25">
      <c r="A979" s="8" t="s">
        <v>910</v>
      </c>
      <c r="B979" s="8" t="s">
        <v>857</v>
      </c>
      <c r="C979" s="8" t="s">
        <v>50</v>
      </c>
      <c r="D979" s="13">
        <v>45808</v>
      </c>
      <c r="E979" s="9">
        <v>98456</v>
      </c>
    </row>
    <row r="980" spans="1:5" x14ac:dyDescent="0.25">
      <c r="A980" s="8" t="s">
        <v>911</v>
      </c>
      <c r="B980" s="8" t="s">
        <v>857</v>
      </c>
      <c r="C980" s="8" t="s">
        <v>25</v>
      </c>
      <c r="D980" s="13">
        <v>45819</v>
      </c>
      <c r="E980" s="9">
        <v>58396</v>
      </c>
    </row>
    <row r="981" spans="1:5" x14ac:dyDescent="0.25">
      <c r="A981" s="8" t="s">
        <v>912</v>
      </c>
      <c r="B981" s="8" t="s">
        <v>857</v>
      </c>
      <c r="C981" s="8" t="s">
        <v>6</v>
      </c>
      <c r="D981" s="13">
        <v>45845</v>
      </c>
      <c r="E981" s="9">
        <v>161433</v>
      </c>
    </row>
    <row r="982" spans="1:5" x14ac:dyDescent="0.25">
      <c r="A982" s="8" t="s">
        <v>913</v>
      </c>
      <c r="B982" s="8" t="s">
        <v>857</v>
      </c>
      <c r="C982" s="8" t="s">
        <v>110</v>
      </c>
      <c r="D982" s="13">
        <v>45857</v>
      </c>
      <c r="E982" s="9">
        <v>150448</v>
      </c>
    </row>
    <row r="983" spans="1:5" x14ac:dyDescent="0.25">
      <c r="A983" s="8" t="s">
        <v>914</v>
      </c>
      <c r="B983" s="8" t="s">
        <v>857</v>
      </c>
      <c r="C983" s="8" t="s">
        <v>44</v>
      </c>
      <c r="D983" s="13">
        <v>45859</v>
      </c>
      <c r="E983" s="9">
        <v>168626</v>
      </c>
    </row>
    <row r="984" spans="1:5" x14ac:dyDescent="0.25">
      <c r="A984" s="8" t="s">
        <v>915</v>
      </c>
      <c r="B984" s="8" t="s">
        <v>857</v>
      </c>
      <c r="C984" s="8" t="s">
        <v>110</v>
      </c>
      <c r="D984" s="13">
        <v>45879</v>
      </c>
      <c r="E984" s="9">
        <v>125210</v>
      </c>
    </row>
    <row r="985" spans="1:5" x14ac:dyDescent="0.25">
      <c r="A985" s="8" t="s">
        <v>916</v>
      </c>
      <c r="B985" s="8" t="s">
        <v>857</v>
      </c>
      <c r="C985" s="8" t="s">
        <v>29</v>
      </c>
      <c r="D985" s="13">
        <v>45887</v>
      </c>
      <c r="E985" s="9">
        <v>62493</v>
      </c>
    </row>
    <row r="986" spans="1:5" x14ac:dyDescent="0.25">
      <c r="A986" s="8" t="s">
        <v>917</v>
      </c>
      <c r="B986" s="8" t="s">
        <v>918</v>
      </c>
      <c r="C986" s="8" t="s">
        <v>91</v>
      </c>
      <c r="D986" s="13">
        <v>45337</v>
      </c>
      <c r="E986" s="9">
        <v>601323</v>
      </c>
    </row>
    <row r="987" spans="1:5" x14ac:dyDescent="0.25">
      <c r="A987" s="8" t="s">
        <v>919</v>
      </c>
      <c r="B987" s="8" t="s">
        <v>918</v>
      </c>
      <c r="C987" s="8" t="s">
        <v>91</v>
      </c>
      <c r="D987" s="13">
        <v>45350</v>
      </c>
      <c r="E987" s="9">
        <v>208864</v>
      </c>
    </row>
    <row r="988" spans="1:5" x14ac:dyDescent="0.25">
      <c r="A988" s="8" t="s">
        <v>920</v>
      </c>
      <c r="B988" s="8" t="s">
        <v>918</v>
      </c>
      <c r="C988" s="8" t="s">
        <v>35</v>
      </c>
      <c r="D988" s="13">
        <v>45357</v>
      </c>
      <c r="E988" s="9">
        <v>292066</v>
      </c>
    </row>
    <row r="989" spans="1:5" x14ac:dyDescent="0.25">
      <c r="A989" s="8" t="s">
        <v>921</v>
      </c>
      <c r="B989" s="8" t="s">
        <v>918</v>
      </c>
      <c r="C989" s="8" t="s">
        <v>10</v>
      </c>
      <c r="D989" s="13">
        <v>45368</v>
      </c>
      <c r="E989" s="9">
        <v>163698</v>
      </c>
    </row>
    <row r="990" spans="1:5" x14ac:dyDescent="0.25">
      <c r="A990" s="8" t="s">
        <v>922</v>
      </c>
      <c r="B990" s="8" t="s">
        <v>918</v>
      </c>
      <c r="C990" s="8" t="s">
        <v>6</v>
      </c>
      <c r="D990" s="13">
        <v>45379</v>
      </c>
      <c r="E990" s="9">
        <v>136915</v>
      </c>
    </row>
    <row r="991" spans="1:5" x14ac:dyDescent="0.25">
      <c r="A991" s="8" t="s">
        <v>923</v>
      </c>
      <c r="B991" s="8" t="s">
        <v>918</v>
      </c>
      <c r="C991" s="8" t="s">
        <v>27</v>
      </c>
      <c r="D991" s="13">
        <v>45383</v>
      </c>
      <c r="E991" s="9">
        <v>116169</v>
      </c>
    </row>
    <row r="992" spans="1:5" x14ac:dyDescent="0.25">
      <c r="A992" s="8" t="s">
        <v>924</v>
      </c>
      <c r="B992" s="8" t="s">
        <v>918</v>
      </c>
      <c r="C992" s="8" t="s">
        <v>23</v>
      </c>
      <c r="D992" s="13">
        <v>45391</v>
      </c>
      <c r="E992" s="9">
        <v>97222</v>
      </c>
    </row>
    <row r="993" spans="1:5" x14ac:dyDescent="0.25">
      <c r="A993" s="8" t="s">
        <v>925</v>
      </c>
      <c r="B993" s="8" t="s">
        <v>918</v>
      </c>
      <c r="C993" s="8" t="s">
        <v>29</v>
      </c>
      <c r="D993" s="13">
        <v>45393</v>
      </c>
      <c r="E993" s="9">
        <v>175349</v>
      </c>
    </row>
    <row r="994" spans="1:5" x14ac:dyDescent="0.25">
      <c r="A994" s="8" t="s">
        <v>926</v>
      </c>
      <c r="B994" s="8" t="s">
        <v>918</v>
      </c>
      <c r="C994" s="8" t="s">
        <v>21</v>
      </c>
      <c r="D994" s="13">
        <v>45395</v>
      </c>
      <c r="E994" s="9">
        <v>121125</v>
      </c>
    </row>
    <row r="995" spans="1:5" x14ac:dyDescent="0.25">
      <c r="A995" s="8" t="s">
        <v>927</v>
      </c>
      <c r="B995" s="8" t="s">
        <v>918</v>
      </c>
      <c r="C995" s="8" t="s">
        <v>44</v>
      </c>
      <c r="D995" s="13">
        <v>45402</v>
      </c>
      <c r="E995" s="9">
        <v>290201</v>
      </c>
    </row>
    <row r="996" spans="1:5" x14ac:dyDescent="0.25">
      <c r="A996" s="8" t="s">
        <v>928</v>
      </c>
      <c r="B996" s="8" t="s">
        <v>918</v>
      </c>
      <c r="C996" s="8" t="s">
        <v>21</v>
      </c>
      <c r="D996" s="13">
        <v>45404</v>
      </c>
      <c r="E996" s="9">
        <v>296625</v>
      </c>
    </row>
    <row r="997" spans="1:5" x14ac:dyDescent="0.25">
      <c r="A997" s="8" t="s">
        <v>929</v>
      </c>
      <c r="B997" s="8" t="s">
        <v>918</v>
      </c>
      <c r="C997" s="8" t="s">
        <v>6</v>
      </c>
      <c r="D997" s="13">
        <v>45408</v>
      </c>
      <c r="E997" s="9">
        <v>277274</v>
      </c>
    </row>
    <row r="998" spans="1:5" x14ac:dyDescent="0.25">
      <c r="A998" s="8" t="s">
        <v>930</v>
      </c>
      <c r="B998" s="8" t="s">
        <v>918</v>
      </c>
      <c r="C998" s="8" t="s">
        <v>37</v>
      </c>
      <c r="D998" s="13">
        <v>45449</v>
      </c>
      <c r="E998" s="9">
        <v>155817</v>
      </c>
    </row>
    <row r="999" spans="1:5" x14ac:dyDescent="0.25">
      <c r="A999" s="8" t="s">
        <v>931</v>
      </c>
      <c r="B999" s="8" t="s">
        <v>918</v>
      </c>
      <c r="C999" s="8" t="s">
        <v>6</v>
      </c>
      <c r="D999" s="13">
        <v>45470</v>
      </c>
      <c r="E999" s="9">
        <v>254214</v>
      </c>
    </row>
    <row r="1000" spans="1:5" x14ac:dyDescent="0.25">
      <c r="A1000" s="8" t="s">
        <v>932</v>
      </c>
      <c r="B1000" s="8" t="s">
        <v>918</v>
      </c>
      <c r="C1000" s="8" t="s">
        <v>71</v>
      </c>
      <c r="D1000" s="13">
        <v>45472</v>
      </c>
      <c r="E1000" s="9">
        <v>243451</v>
      </c>
    </row>
    <row r="1001" spans="1:5" x14ac:dyDescent="0.25">
      <c r="A1001" s="8" t="s">
        <v>933</v>
      </c>
      <c r="B1001" s="8" t="s">
        <v>918</v>
      </c>
      <c r="C1001" s="8" t="s">
        <v>73</v>
      </c>
      <c r="D1001" s="13">
        <v>45480</v>
      </c>
      <c r="E1001" s="9">
        <v>272468</v>
      </c>
    </row>
    <row r="1002" spans="1:5" x14ac:dyDescent="0.25">
      <c r="A1002" s="8" t="s">
        <v>934</v>
      </c>
      <c r="B1002" s="8" t="s">
        <v>918</v>
      </c>
      <c r="C1002" s="8" t="s">
        <v>91</v>
      </c>
      <c r="D1002" s="13">
        <v>45527</v>
      </c>
      <c r="E1002" s="9">
        <v>124356</v>
      </c>
    </row>
    <row r="1003" spans="1:5" x14ac:dyDescent="0.25">
      <c r="A1003" s="8" t="s">
        <v>935</v>
      </c>
      <c r="B1003" s="8" t="s">
        <v>918</v>
      </c>
      <c r="C1003" s="8" t="s">
        <v>33</v>
      </c>
      <c r="D1003" s="13">
        <v>45544</v>
      </c>
      <c r="E1003" s="9">
        <v>457292</v>
      </c>
    </row>
    <row r="1004" spans="1:5" x14ac:dyDescent="0.25">
      <c r="A1004" s="8" t="s">
        <v>936</v>
      </c>
      <c r="B1004" s="8" t="s">
        <v>918</v>
      </c>
      <c r="C1004" s="8" t="s">
        <v>14</v>
      </c>
      <c r="D1004" s="13">
        <v>45560</v>
      </c>
      <c r="E1004" s="9">
        <v>152791</v>
      </c>
    </row>
    <row r="1005" spans="1:5" x14ac:dyDescent="0.25">
      <c r="A1005" s="8" t="s">
        <v>937</v>
      </c>
      <c r="B1005" s="8" t="s">
        <v>918</v>
      </c>
      <c r="C1005" s="8" t="s">
        <v>14</v>
      </c>
      <c r="D1005" s="13">
        <v>45562</v>
      </c>
      <c r="E1005" s="9">
        <v>208302</v>
      </c>
    </row>
    <row r="1006" spans="1:5" x14ac:dyDescent="0.25">
      <c r="A1006" s="8" t="s">
        <v>938</v>
      </c>
      <c r="B1006" s="8" t="s">
        <v>918</v>
      </c>
      <c r="C1006" s="8" t="s">
        <v>50</v>
      </c>
      <c r="D1006" s="13">
        <v>45569</v>
      </c>
      <c r="E1006" s="9">
        <v>216436</v>
      </c>
    </row>
    <row r="1007" spans="1:5" x14ac:dyDescent="0.25">
      <c r="A1007" s="8" t="s">
        <v>939</v>
      </c>
      <c r="B1007" s="8" t="s">
        <v>918</v>
      </c>
      <c r="C1007" s="8" t="s">
        <v>17</v>
      </c>
      <c r="D1007" s="13">
        <v>45573</v>
      </c>
      <c r="E1007" s="9">
        <v>179396</v>
      </c>
    </row>
    <row r="1008" spans="1:5" x14ac:dyDescent="0.25">
      <c r="A1008" s="8" t="s">
        <v>940</v>
      </c>
      <c r="B1008" s="8" t="s">
        <v>918</v>
      </c>
      <c r="C1008" s="8" t="s">
        <v>110</v>
      </c>
      <c r="D1008" s="13">
        <v>45615</v>
      </c>
      <c r="E1008" s="9">
        <v>174965</v>
      </c>
    </row>
    <row r="1009" spans="1:5" x14ac:dyDescent="0.25">
      <c r="A1009" s="8" t="s">
        <v>941</v>
      </c>
      <c r="B1009" s="8" t="s">
        <v>918</v>
      </c>
      <c r="C1009" s="8" t="s">
        <v>25</v>
      </c>
      <c r="D1009" s="13">
        <v>45630</v>
      </c>
      <c r="E1009" s="9">
        <v>150631</v>
      </c>
    </row>
    <row r="1010" spans="1:5" x14ac:dyDescent="0.25">
      <c r="A1010" s="8" t="s">
        <v>942</v>
      </c>
      <c r="B1010" s="8" t="s">
        <v>918</v>
      </c>
      <c r="C1010" s="8" t="s">
        <v>37</v>
      </c>
      <c r="D1010" s="13">
        <v>45649</v>
      </c>
      <c r="E1010" s="9">
        <v>150685</v>
      </c>
    </row>
    <row r="1011" spans="1:5" x14ac:dyDescent="0.25">
      <c r="A1011" s="8" t="s">
        <v>943</v>
      </c>
      <c r="B1011" s="8" t="s">
        <v>918</v>
      </c>
      <c r="C1011" s="8" t="s">
        <v>23</v>
      </c>
      <c r="D1011" s="13">
        <v>45660</v>
      </c>
      <c r="E1011" s="9">
        <v>182247</v>
      </c>
    </row>
    <row r="1012" spans="1:5" x14ac:dyDescent="0.25">
      <c r="A1012" s="8" t="s">
        <v>944</v>
      </c>
      <c r="B1012" s="8" t="s">
        <v>918</v>
      </c>
      <c r="C1012" s="8" t="s">
        <v>33</v>
      </c>
      <c r="D1012" s="13">
        <v>45662</v>
      </c>
      <c r="E1012" s="9">
        <v>127271</v>
      </c>
    </row>
    <row r="1013" spans="1:5" x14ac:dyDescent="0.25">
      <c r="A1013" s="8" t="s">
        <v>945</v>
      </c>
      <c r="B1013" s="8" t="s">
        <v>918</v>
      </c>
      <c r="C1013" s="8" t="s">
        <v>35</v>
      </c>
      <c r="D1013" s="13">
        <v>45686</v>
      </c>
      <c r="E1013" s="9">
        <v>103588</v>
      </c>
    </row>
    <row r="1014" spans="1:5" x14ac:dyDescent="0.25">
      <c r="A1014" s="8" t="s">
        <v>946</v>
      </c>
      <c r="B1014" s="8" t="s">
        <v>918</v>
      </c>
      <c r="C1014" s="8" t="s">
        <v>44</v>
      </c>
      <c r="D1014" s="13">
        <v>45688</v>
      </c>
      <c r="E1014" s="9">
        <v>149828</v>
      </c>
    </row>
    <row r="1015" spans="1:5" x14ac:dyDescent="0.25">
      <c r="A1015" s="8" t="s">
        <v>947</v>
      </c>
      <c r="B1015" s="8" t="s">
        <v>918</v>
      </c>
      <c r="C1015" s="8" t="s">
        <v>27</v>
      </c>
      <c r="D1015" s="13">
        <v>45690</v>
      </c>
      <c r="E1015" s="9">
        <v>145617</v>
      </c>
    </row>
    <row r="1016" spans="1:5" x14ac:dyDescent="0.25">
      <c r="A1016" s="8" t="s">
        <v>948</v>
      </c>
      <c r="B1016" s="8" t="s">
        <v>918</v>
      </c>
      <c r="C1016" s="8" t="s">
        <v>14</v>
      </c>
      <c r="D1016" s="13">
        <v>45720</v>
      </c>
      <c r="E1016" s="9">
        <v>208920</v>
      </c>
    </row>
    <row r="1017" spans="1:5" x14ac:dyDescent="0.25">
      <c r="A1017" s="8" t="s">
        <v>949</v>
      </c>
      <c r="B1017" s="8" t="s">
        <v>918</v>
      </c>
      <c r="C1017" s="8" t="s">
        <v>10</v>
      </c>
      <c r="D1017" s="13">
        <v>45725</v>
      </c>
      <c r="E1017" s="9">
        <v>130132</v>
      </c>
    </row>
    <row r="1018" spans="1:5" x14ac:dyDescent="0.25">
      <c r="A1018" s="8" t="s">
        <v>950</v>
      </c>
      <c r="B1018" s="8" t="s">
        <v>918</v>
      </c>
      <c r="C1018" s="8" t="s">
        <v>14</v>
      </c>
      <c r="D1018" s="13">
        <v>45736</v>
      </c>
      <c r="E1018" s="9">
        <v>235006</v>
      </c>
    </row>
    <row r="1019" spans="1:5" x14ac:dyDescent="0.25">
      <c r="A1019" s="8" t="s">
        <v>951</v>
      </c>
      <c r="B1019" s="8" t="s">
        <v>918</v>
      </c>
      <c r="C1019" s="8" t="s">
        <v>8</v>
      </c>
      <c r="D1019" s="13">
        <v>45739</v>
      </c>
      <c r="E1019" s="9">
        <v>230909</v>
      </c>
    </row>
    <row r="1020" spans="1:5" x14ac:dyDescent="0.25">
      <c r="A1020" s="8" t="s">
        <v>952</v>
      </c>
      <c r="B1020" s="8" t="s">
        <v>918</v>
      </c>
      <c r="C1020" s="8" t="s">
        <v>27</v>
      </c>
      <c r="D1020" s="13">
        <v>45752</v>
      </c>
      <c r="E1020" s="9">
        <v>89344</v>
      </c>
    </row>
    <row r="1021" spans="1:5" x14ac:dyDescent="0.25">
      <c r="A1021" s="8" t="s">
        <v>953</v>
      </c>
      <c r="B1021" s="8" t="s">
        <v>918</v>
      </c>
      <c r="C1021" s="8" t="s">
        <v>29</v>
      </c>
      <c r="D1021" s="13">
        <v>45759</v>
      </c>
      <c r="E1021" s="9">
        <v>174576</v>
      </c>
    </row>
    <row r="1022" spans="1:5" x14ac:dyDescent="0.25">
      <c r="A1022" s="8" t="s">
        <v>954</v>
      </c>
      <c r="B1022" s="8" t="s">
        <v>918</v>
      </c>
      <c r="C1022" s="8" t="s">
        <v>55</v>
      </c>
      <c r="D1022" s="13">
        <v>45763</v>
      </c>
      <c r="E1022" s="9">
        <v>365776</v>
      </c>
    </row>
    <row r="1023" spans="1:5" x14ac:dyDescent="0.25">
      <c r="A1023" s="8" t="s">
        <v>955</v>
      </c>
      <c r="B1023" s="8" t="s">
        <v>918</v>
      </c>
      <c r="C1023" s="8" t="s">
        <v>110</v>
      </c>
      <c r="D1023" s="13">
        <v>45764</v>
      </c>
      <c r="E1023" s="9">
        <v>149451</v>
      </c>
    </row>
    <row r="1024" spans="1:5" x14ac:dyDescent="0.25">
      <c r="A1024" s="8" t="s">
        <v>956</v>
      </c>
      <c r="B1024" s="8" t="s">
        <v>918</v>
      </c>
      <c r="C1024" s="8" t="s">
        <v>108</v>
      </c>
      <c r="D1024" s="13">
        <v>45768</v>
      </c>
      <c r="E1024" s="9">
        <v>247457</v>
      </c>
    </row>
    <row r="1025" spans="1:5" x14ac:dyDescent="0.25">
      <c r="A1025" s="8" t="s">
        <v>957</v>
      </c>
      <c r="B1025" s="8" t="s">
        <v>918</v>
      </c>
      <c r="C1025" s="8" t="s">
        <v>21</v>
      </c>
      <c r="D1025" s="13">
        <v>45786</v>
      </c>
      <c r="E1025" s="9">
        <v>233778</v>
      </c>
    </row>
    <row r="1026" spans="1:5" x14ac:dyDescent="0.25">
      <c r="A1026" s="8" t="s">
        <v>958</v>
      </c>
      <c r="B1026" s="8" t="s">
        <v>918</v>
      </c>
      <c r="C1026" s="8" t="s">
        <v>55</v>
      </c>
      <c r="D1026" s="13">
        <v>45790</v>
      </c>
      <c r="E1026" s="9">
        <v>92659</v>
      </c>
    </row>
    <row r="1027" spans="1:5" x14ac:dyDescent="0.25">
      <c r="A1027" s="8" t="s">
        <v>959</v>
      </c>
      <c r="B1027" s="8" t="s">
        <v>918</v>
      </c>
      <c r="C1027" s="8" t="s">
        <v>14</v>
      </c>
      <c r="D1027" s="13">
        <v>45798</v>
      </c>
      <c r="E1027" s="9">
        <v>189317</v>
      </c>
    </row>
    <row r="1028" spans="1:5" x14ac:dyDescent="0.25">
      <c r="A1028" s="8" t="s">
        <v>960</v>
      </c>
      <c r="B1028" s="8" t="s">
        <v>918</v>
      </c>
      <c r="C1028" s="8" t="s">
        <v>108</v>
      </c>
      <c r="D1028" s="13">
        <v>45808</v>
      </c>
      <c r="E1028" s="9">
        <v>143644</v>
      </c>
    </row>
    <row r="1029" spans="1:5" x14ac:dyDescent="0.25">
      <c r="A1029" s="8" t="s">
        <v>961</v>
      </c>
      <c r="B1029" s="8" t="s">
        <v>918</v>
      </c>
      <c r="C1029" s="8" t="s">
        <v>33</v>
      </c>
      <c r="D1029" s="13">
        <v>45817</v>
      </c>
      <c r="E1029" s="9">
        <v>138513</v>
      </c>
    </row>
    <row r="1030" spans="1:5" x14ac:dyDescent="0.25">
      <c r="A1030" s="8" t="s">
        <v>962</v>
      </c>
      <c r="B1030" s="8" t="s">
        <v>918</v>
      </c>
      <c r="C1030" s="8" t="s">
        <v>50</v>
      </c>
      <c r="D1030" s="13">
        <v>45834</v>
      </c>
      <c r="E1030" s="9">
        <v>228572</v>
      </c>
    </row>
    <row r="1031" spans="1:5" x14ac:dyDescent="0.25">
      <c r="A1031" s="8" t="s">
        <v>963</v>
      </c>
      <c r="B1031" s="8" t="s">
        <v>964</v>
      </c>
      <c r="C1031" s="8" t="s">
        <v>73</v>
      </c>
      <c r="D1031" s="13">
        <v>45154</v>
      </c>
      <c r="E1031" s="9">
        <v>12591</v>
      </c>
    </row>
    <row r="1032" spans="1:5" x14ac:dyDescent="0.25">
      <c r="A1032" s="8" t="s">
        <v>965</v>
      </c>
      <c r="B1032" s="8" t="s">
        <v>964</v>
      </c>
      <c r="C1032" s="8" t="s">
        <v>23</v>
      </c>
      <c r="D1032" s="13">
        <v>45155</v>
      </c>
      <c r="E1032" s="9">
        <v>13707</v>
      </c>
    </row>
    <row r="1033" spans="1:5" x14ac:dyDescent="0.25">
      <c r="A1033" s="8" t="s">
        <v>966</v>
      </c>
      <c r="B1033" s="8" t="s">
        <v>964</v>
      </c>
      <c r="C1033" s="8" t="s">
        <v>55</v>
      </c>
      <c r="D1033" s="13">
        <v>45185</v>
      </c>
      <c r="E1033" s="9">
        <v>16170</v>
      </c>
    </row>
    <row r="1034" spans="1:5" x14ac:dyDescent="0.25">
      <c r="A1034" s="8" t="s">
        <v>967</v>
      </c>
      <c r="B1034" s="8" t="s">
        <v>964</v>
      </c>
      <c r="C1034" s="8" t="s">
        <v>17</v>
      </c>
      <c r="D1034" s="13">
        <v>45187</v>
      </c>
      <c r="E1034" s="9">
        <v>12034</v>
      </c>
    </row>
    <row r="1035" spans="1:5" x14ac:dyDescent="0.25">
      <c r="A1035" s="8" t="s">
        <v>968</v>
      </c>
      <c r="B1035" s="8" t="s">
        <v>964</v>
      </c>
      <c r="C1035" s="8" t="s">
        <v>33</v>
      </c>
      <c r="D1035" s="13">
        <v>45199</v>
      </c>
      <c r="E1035" s="9">
        <v>16339</v>
      </c>
    </row>
    <row r="1036" spans="1:5" x14ac:dyDescent="0.25">
      <c r="A1036" s="8" t="s">
        <v>969</v>
      </c>
      <c r="B1036" s="8" t="s">
        <v>964</v>
      </c>
      <c r="C1036" s="8" t="s">
        <v>44</v>
      </c>
      <c r="D1036" s="13">
        <v>45213</v>
      </c>
      <c r="E1036" s="9">
        <v>14629</v>
      </c>
    </row>
    <row r="1037" spans="1:5" x14ac:dyDescent="0.25">
      <c r="A1037" s="8" t="s">
        <v>970</v>
      </c>
      <c r="B1037" s="8" t="s">
        <v>964</v>
      </c>
      <c r="C1037" s="8" t="s">
        <v>23</v>
      </c>
      <c r="D1037" s="13">
        <v>45233</v>
      </c>
      <c r="E1037" s="9">
        <v>8132</v>
      </c>
    </row>
    <row r="1038" spans="1:5" x14ac:dyDescent="0.25">
      <c r="A1038" s="8" t="s">
        <v>971</v>
      </c>
      <c r="B1038" s="8" t="s">
        <v>964</v>
      </c>
      <c r="C1038" s="8" t="s">
        <v>25</v>
      </c>
      <c r="D1038" s="13">
        <v>45259</v>
      </c>
      <c r="E1038" s="9">
        <v>6933</v>
      </c>
    </row>
    <row r="1039" spans="1:5" x14ac:dyDescent="0.25">
      <c r="A1039" s="8" t="s">
        <v>972</v>
      </c>
      <c r="B1039" s="8" t="s">
        <v>964</v>
      </c>
      <c r="C1039" s="8" t="s">
        <v>50</v>
      </c>
      <c r="D1039" s="13">
        <v>45276</v>
      </c>
      <c r="E1039" s="9">
        <v>10062</v>
      </c>
    </row>
    <row r="1040" spans="1:5" x14ac:dyDescent="0.25">
      <c r="A1040" s="8" t="s">
        <v>973</v>
      </c>
      <c r="B1040" s="8" t="s">
        <v>964</v>
      </c>
      <c r="C1040" s="8" t="s">
        <v>6</v>
      </c>
      <c r="D1040" s="13">
        <v>45318</v>
      </c>
      <c r="E1040" s="9">
        <v>15098</v>
      </c>
    </row>
    <row r="1041" spans="1:5" x14ac:dyDescent="0.25">
      <c r="A1041" s="8" t="s">
        <v>974</v>
      </c>
      <c r="B1041" s="8" t="s">
        <v>964</v>
      </c>
      <c r="C1041" s="8" t="s">
        <v>50</v>
      </c>
      <c r="D1041" s="13">
        <v>45327</v>
      </c>
      <c r="E1041" s="9">
        <v>12314</v>
      </c>
    </row>
    <row r="1042" spans="1:5" x14ac:dyDescent="0.25">
      <c r="A1042" s="8" t="s">
        <v>975</v>
      </c>
      <c r="B1042" s="8" t="s">
        <v>964</v>
      </c>
      <c r="C1042" s="8" t="s">
        <v>12</v>
      </c>
      <c r="D1042" s="13">
        <v>45333</v>
      </c>
      <c r="E1042" s="9">
        <v>18618</v>
      </c>
    </row>
    <row r="1043" spans="1:5" x14ac:dyDescent="0.25">
      <c r="A1043" s="8" t="s">
        <v>976</v>
      </c>
      <c r="B1043" s="8" t="s">
        <v>964</v>
      </c>
      <c r="C1043" s="8" t="s">
        <v>110</v>
      </c>
      <c r="D1043" s="13">
        <v>45334</v>
      </c>
      <c r="E1043" s="9">
        <v>12192</v>
      </c>
    </row>
    <row r="1044" spans="1:5" x14ac:dyDescent="0.25">
      <c r="A1044" s="8" t="s">
        <v>977</v>
      </c>
      <c r="B1044" s="8" t="s">
        <v>964</v>
      </c>
      <c r="C1044" s="8" t="s">
        <v>17</v>
      </c>
      <c r="D1044" s="13">
        <v>45339</v>
      </c>
      <c r="E1044" s="9">
        <v>38418</v>
      </c>
    </row>
    <row r="1045" spans="1:5" x14ac:dyDescent="0.25">
      <c r="A1045" s="8" t="s">
        <v>978</v>
      </c>
      <c r="B1045" s="8" t="s">
        <v>964</v>
      </c>
      <c r="C1045" s="8" t="s">
        <v>33</v>
      </c>
      <c r="D1045" s="13">
        <v>45348</v>
      </c>
      <c r="E1045" s="9">
        <v>11808</v>
      </c>
    </row>
    <row r="1046" spans="1:5" x14ac:dyDescent="0.25">
      <c r="A1046" s="8" t="s">
        <v>979</v>
      </c>
      <c r="B1046" s="8" t="s">
        <v>964</v>
      </c>
      <c r="C1046" s="8" t="s">
        <v>37</v>
      </c>
      <c r="D1046" s="13">
        <v>45352</v>
      </c>
      <c r="E1046" s="9">
        <v>9685</v>
      </c>
    </row>
    <row r="1047" spans="1:5" x14ac:dyDescent="0.25">
      <c r="A1047" s="8" t="s">
        <v>980</v>
      </c>
      <c r="B1047" s="8" t="s">
        <v>964</v>
      </c>
      <c r="C1047" s="8" t="s">
        <v>10</v>
      </c>
      <c r="D1047" s="13">
        <v>45365</v>
      </c>
      <c r="E1047" s="9">
        <v>9739</v>
      </c>
    </row>
    <row r="1048" spans="1:5" x14ac:dyDescent="0.25">
      <c r="A1048" s="8" t="s">
        <v>981</v>
      </c>
      <c r="B1048" s="8" t="s">
        <v>964</v>
      </c>
      <c r="C1048" s="8" t="s">
        <v>10</v>
      </c>
      <c r="D1048" s="13">
        <v>45369</v>
      </c>
      <c r="E1048" s="9">
        <v>16938</v>
      </c>
    </row>
    <row r="1049" spans="1:5" x14ac:dyDescent="0.25">
      <c r="A1049" s="8" t="s">
        <v>982</v>
      </c>
      <c r="B1049" s="8" t="s">
        <v>964</v>
      </c>
      <c r="C1049" s="8" t="s">
        <v>55</v>
      </c>
      <c r="D1049" s="13">
        <v>45384</v>
      </c>
      <c r="E1049" s="9">
        <v>7483</v>
      </c>
    </row>
    <row r="1050" spans="1:5" x14ac:dyDescent="0.25">
      <c r="A1050" s="8" t="s">
        <v>983</v>
      </c>
      <c r="B1050" s="8" t="s">
        <v>964</v>
      </c>
      <c r="C1050" s="8" t="s">
        <v>29</v>
      </c>
      <c r="D1050" s="13">
        <v>45390</v>
      </c>
      <c r="E1050" s="9">
        <v>11074</v>
      </c>
    </row>
    <row r="1051" spans="1:5" x14ac:dyDescent="0.25">
      <c r="A1051" s="8" t="s">
        <v>984</v>
      </c>
      <c r="B1051" s="8" t="s">
        <v>964</v>
      </c>
      <c r="C1051" s="8" t="s">
        <v>27</v>
      </c>
      <c r="D1051" s="13">
        <v>45400</v>
      </c>
      <c r="E1051" s="9">
        <v>22973</v>
      </c>
    </row>
    <row r="1052" spans="1:5" x14ac:dyDescent="0.25">
      <c r="A1052" s="8" t="s">
        <v>985</v>
      </c>
      <c r="B1052" s="8" t="s">
        <v>964</v>
      </c>
      <c r="C1052" s="8" t="s">
        <v>23</v>
      </c>
      <c r="D1052" s="13">
        <v>45428</v>
      </c>
      <c r="E1052" s="9">
        <v>18708</v>
      </c>
    </row>
    <row r="1053" spans="1:5" x14ac:dyDescent="0.25">
      <c r="A1053" s="8" t="s">
        <v>986</v>
      </c>
      <c r="B1053" s="8" t="s">
        <v>964</v>
      </c>
      <c r="C1053" s="8" t="s">
        <v>17</v>
      </c>
      <c r="D1053" s="13">
        <v>45446</v>
      </c>
      <c r="E1053" s="9">
        <v>18143</v>
      </c>
    </row>
    <row r="1054" spans="1:5" x14ac:dyDescent="0.25">
      <c r="A1054" s="8" t="s">
        <v>987</v>
      </c>
      <c r="B1054" s="8" t="s">
        <v>964</v>
      </c>
      <c r="C1054" s="8" t="s">
        <v>71</v>
      </c>
      <c r="D1054" s="13">
        <v>45454</v>
      </c>
      <c r="E1054" s="9">
        <v>7622</v>
      </c>
    </row>
    <row r="1055" spans="1:5" x14ac:dyDescent="0.25">
      <c r="A1055" s="8" t="s">
        <v>988</v>
      </c>
      <c r="B1055" s="8" t="s">
        <v>964</v>
      </c>
      <c r="C1055" s="8" t="s">
        <v>10</v>
      </c>
      <c r="D1055" s="13">
        <v>45466</v>
      </c>
      <c r="E1055" s="9">
        <v>9249</v>
      </c>
    </row>
    <row r="1056" spans="1:5" x14ac:dyDescent="0.25">
      <c r="A1056" s="8" t="s">
        <v>989</v>
      </c>
      <c r="B1056" s="8" t="s">
        <v>964</v>
      </c>
      <c r="C1056" s="8" t="s">
        <v>35</v>
      </c>
      <c r="D1056" s="13">
        <v>45479</v>
      </c>
      <c r="E1056" s="9">
        <v>16100</v>
      </c>
    </row>
    <row r="1057" spans="1:5" x14ac:dyDescent="0.25">
      <c r="A1057" s="8" t="s">
        <v>990</v>
      </c>
      <c r="B1057" s="8" t="s">
        <v>964</v>
      </c>
      <c r="C1057" s="8" t="s">
        <v>17</v>
      </c>
      <c r="D1057" s="13">
        <v>45484</v>
      </c>
      <c r="E1057" s="9">
        <v>7976</v>
      </c>
    </row>
    <row r="1058" spans="1:5" x14ac:dyDescent="0.25">
      <c r="A1058" s="8" t="s">
        <v>991</v>
      </c>
      <c r="B1058" s="8" t="s">
        <v>964</v>
      </c>
      <c r="C1058" s="8" t="s">
        <v>23</v>
      </c>
      <c r="D1058" s="13">
        <v>45499</v>
      </c>
      <c r="E1058" s="9">
        <v>18234</v>
      </c>
    </row>
    <row r="1059" spans="1:5" x14ac:dyDescent="0.25">
      <c r="A1059" s="8" t="s">
        <v>992</v>
      </c>
      <c r="B1059" s="8" t="s">
        <v>964</v>
      </c>
      <c r="C1059" s="8" t="s">
        <v>21</v>
      </c>
      <c r="D1059" s="13">
        <v>45518</v>
      </c>
      <c r="E1059" s="9">
        <v>9567</v>
      </c>
    </row>
    <row r="1060" spans="1:5" x14ac:dyDescent="0.25">
      <c r="A1060" s="8" t="s">
        <v>993</v>
      </c>
      <c r="B1060" s="8" t="s">
        <v>964</v>
      </c>
      <c r="C1060" s="8" t="s">
        <v>44</v>
      </c>
      <c r="D1060" s="13">
        <v>45525</v>
      </c>
      <c r="E1060" s="9">
        <v>7118</v>
      </c>
    </row>
    <row r="1061" spans="1:5" x14ac:dyDescent="0.25">
      <c r="A1061" s="8" t="s">
        <v>994</v>
      </c>
      <c r="B1061" s="8" t="s">
        <v>964</v>
      </c>
      <c r="C1061" s="8" t="s">
        <v>25</v>
      </c>
      <c r="D1061" s="13">
        <v>45527</v>
      </c>
      <c r="E1061" s="9">
        <v>9654</v>
      </c>
    </row>
    <row r="1062" spans="1:5" x14ac:dyDescent="0.25">
      <c r="A1062" s="8" t="s">
        <v>995</v>
      </c>
      <c r="B1062" s="8" t="s">
        <v>964</v>
      </c>
      <c r="C1062" s="8" t="s">
        <v>6</v>
      </c>
      <c r="D1062" s="13">
        <v>45565</v>
      </c>
      <c r="E1062" s="9">
        <v>7636</v>
      </c>
    </row>
    <row r="1063" spans="1:5" x14ac:dyDescent="0.25">
      <c r="A1063" s="8" t="s">
        <v>996</v>
      </c>
      <c r="B1063" s="8" t="s">
        <v>964</v>
      </c>
      <c r="C1063" s="8" t="s">
        <v>6</v>
      </c>
      <c r="D1063" s="13">
        <v>45565</v>
      </c>
      <c r="E1063" s="9">
        <v>10322</v>
      </c>
    </row>
    <row r="1064" spans="1:5" x14ac:dyDescent="0.25">
      <c r="A1064" s="8" t="s">
        <v>997</v>
      </c>
      <c r="B1064" s="8" t="s">
        <v>964</v>
      </c>
      <c r="C1064" s="8" t="s">
        <v>91</v>
      </c>
      <c r="D1064" s="13">
        <v>45566</v>
      </c>
      <c r="E1064" s="9">
        <v>8541</v>
      </c>
    </row>
    <row r="1065" spans="1:5" x14ac:dyDescent="0.25">
      <c r="A1065" s="8" t="s">
        <v>998</v>
      </c>
      <c r="B1065" s="8" t="s">
        <v>964</v>
      </c>
      <c r="C1065" s="8" t="s">
        <v>6</v>
      </c>
      <c r="D1065" s="13">
        <v>45576</v>
      </c>
      <c r="E1065" s="9">
        <v>14060</v>
      </c>
    </row>
    <row r="1066" spans="1:5" x14ac:dyDescent="0.25">
      <c r="A1066" s="8" t="s">
        <v>999</v>
      </c>
      <c r="B1066" s="8" t="s">
        <v>964</v>
      </c>
      <c r="C1066" s="8" t="s">
        <v>73</v>
      </c>
      <c r="D1066" s="13">
        <v>45599</v>
      </c>
      <c r="E1066" s="9">
        <v>14568</v>
      </c>
    </row>
    <row r="1067" spans="1:5" x14ac:dyDescent="0.25">
      <c r="A1067" s="8" t="s">
        <v>1000</v>
      </c>
      <c r="B1067" s="8" t="s">
        <v>964</v>
      </c>
      <c r="C1067" s="8" t="s">
        <v>71</v>
      </c>
      <c r="D1067" s="13">
        <v>45610</v>
      </c>
      <c r="E1067" s="9">
        <v>8309</v>
      </c>
    </row>
    <row r="1068" spans="1:5" x14ac:dyDescent="0.25">
      <c r="A1068" s="8" t="s">
        <v>1001</v>
      </c>
      <c r="B1068" s="8" t="s">
        <v>964</v>
      </c>
      <c r="C1068" s="8" t="s">
        <v>91</v>
      </c>
      <c r="D1068" s="13">
        <v>45613</v>
      </c>
      <c r="E1068" s="9">
        <v>18402</v>
      </c>
    </row>
    <row r="1069" spans="1:5" x14ac:dyDescent="0.25">
      <c r="A1069" s="8" t="s">
        <v>1002</v>
      </c>
      <c r="B1069" s="8" t="s">
        <v>964</v>
      </c>
      <c r="C1069" s="8" t="s">
        <v>50</v>
      </c>
      <c r="D1069" s="13">
        <v>45616</v>
      </c>
      <c r="E1069" s="9">
        <v>13961</v>
      </c>
    </row>
    <row r="1070" spans="1:5" x14ac:dyDescent="0.25">
      <c r="A1070" s="8" t="s">
        <v>1003</v>
      </c>
      <c r="B1070" s="8" t="s">
        <v>964</v>
      </c>
      <c r="C1070" s="8" t="s">
        <v>35</v>
      </c>
      <c r="D1070" s="13">
        <v>45629</v>
      </c>
      <c r="E1070" s="9">
        <v>5976</v>
      </c>
    </row>
    <row r="1071" spans="1:5" x14ac:dyDescent="0.25">
      <c r="A1071" s="8" t="s">
        <v>1004</v>
      </c>
      <c r="B1071" s="8" t="s">
        <v>964</v>
      </c>
      <c r="C1071" s="8" t="s">
        <v>29</v>
      </c>
      <c r="D1071" s="13">
        <v>45639</v>
      </c>
      <c r="E1071" s="9">
        <v>9469</v>
      </c>
    </row>
    <row r="1072" spans="1:5" x14ac:dyDescent="0.25">
      <c r="A1072" s="8" t="s">
        <v>1005</v>
      </c>
      <c r="B1072" s="8" t="s">
        <v>964</v>
      </c>
      <c r="C1072" s="8" t="s">
        <v>14</v>
      </c>
      <c r="D1072" s="13">
        <v>45664</v>
      </c>
      <c r="E1072" s="9">
        <v>13843</v>
      </c>
    </row>
    <row r="1073" spans="1:5" x14ac:dyDescent="0.25">
      <c r="A1073" s="8" t="s">
        <v>1006</v>
      </c>
      <c r="B1073" s="8" t="s">
        <v>964</v>
      </c>
      <c r="C1073" s="8" t="s">
        <v>19</v>
      </c>
      <c r="D1073" s="13">
        <v>45676</v>
      </c>
      <c r="E1073" s="9">
        <v>15503</v>
      </c>
    </row>
    <row r="1074" spans="1:5" x14ac:dyDescent="0.25">
      <c r="A1074" s="8" t="s">
        <v>1007</v>
      </c>
      <c r="B1074" s="8" t="s">
        <v>964</v>
      </c>
      <c r="C1074" s="8" t="s">
        <v>108</v>
      </c>
      <c r="D1074" s="13">
        <v>45685</v>
      </c>
      <c r="E1074" s="9">
        <v>9642</v>
      </c>
    </row>
    <row r="1075" spans="1:5" x14ac:dyDescent="0.25">
      <c r="A1075" s="8" t="s">
        <v>1008</v>
      </c>
      <c r="B1075" s="8" t="s">
        <v>964</v>
      </c>
      <c r="C1075" s="8" t="s">
        <v>8</v>
      </c>
      <c r="D1075" s="13">
        <v>45689</v>
      </c>
      <c r="E1075" s="9">
        <v>12095</v>
      </c>
    </row>
    <row r="1076" spans="1:5" x14ac:dyDescent="0.25">
      <c r="A1076" s="8" t="s">
        <v>1009</v>
      </c>
      <c r="B1076" s="8" t="s">
        <v>964</v>
      </c>
      <c r="C1076" s="8" t="s">
        <v>21</v>
      </c>
      <c r="D1076" s="13">
        <v>45694</v>
      </c>
      <c r="E1076" s="9">
        <v>15802</v>
      </c>
    </row>
    <row r="1077" spans="1:5" x14ac:dyDescent="0.25">
      <c r="A1077" s="8" t="s">
        <v>1010</v>
      </c>
      <c r="B1077" s="8" t="s">
        <v>964</v>
      </c>
      <c r="C1077" s="8" t="s">
        <v>12</v>
      </c>
      <c r="D1077" s="13">
        <v>45711</v>
      </c>
      <c r="E1077" s="9">
        <v>10546</v>
      </c>
    </row>
    <row r="1078" spans="1:5" x14ac:dyDescent="0.25">
      <c r="A1078" s="8" t="s">
        <v>1011</v>
      </c>
      <c r="B1078" s="8" t="s">
        <v>964</v>
      </c>
      <c r="C1078" s="8" t="s">
        <v>91</v>
      </c>
      <c r="D1078" s="13">
        <v>45714</v>
      </c>
      <c r="E1078" s="9">
        <v>8022</v>
      </c>
    </row>
    <row r="1079" spans="1:5" x14ac:dyDescent="0.25">
      <c r="A1079" s="8" t="s">
        <v>1012</v>
      </c>
      <c r="B1079" s="8" t="s">
        <v>964</v>
      </c>
      <c r="C1079" s="8" t="s">
        <v>10</v>
      </c>
      <c r="D1079" s="13">
        <v>45737</v>
      </c>
      <c r="E1079" s="9">
        <v>5902</v>
      </c>
    </row>
    <row r="1080" spans="1:5" x14ac:dyDescent="0.25">
      <c r="A1080" s="8" t="s">
        <v>1013</v>
      </c>
      <c r="B1080" s="8" t="s">
        <v>964</v>
      </c>
      <c r="C1080" s="8" t="s">
        <v>8</v>
      </c>
      <c r="D1080" s="13">
        <v>45740</v>
      </c>
      <c r="E1080" s="9">
        <v>8803</v>
      </c>
    </row>
    <row r="1081" spans="1:5" x14ac:dyDescent="0.25">
      <c r="A1081" s="8" t="s">
        <v>1014</v>
      </c>
      <c r="B1081" s="8" t="s">
        <v>964</v>
      </c>
      <c r="C1081" s="8" t="s">
        <v>12</v>
      </c>
      <c r="D1081" s="13">
        <v>45744</v>
      </c>
      <c r="E1081" s="9">
        <v>8074</v>
      </c>
    </row>
    <row r="1082" spans="1:5" x14ac:dyDescent="0.25">
      <c r="A1082" s="8" t="s">
        <v>1015</v>
      </c>
      <c r="B1082" s="8" t="s">
        <v>964</v>
      </c>
      <c r="C1082" s="8" t="s">
        <v>21</v>
      </c>
      <c r="D1082" s="13">
        <v>45756</v>
      </c>
      <c r="E1082" s="9">
        <v>12070</v>
      </c>
    </row>
    <row r="1083" spans="1:5" x14ac:dyDescent="0.25">
      <c r="A1083" s="8" t="s">
        <v>1016</v>
      </c>
      <c r="B1083" s="8" t="s">
        <v>964</v>
      </c>
      <c r="C1083" s="8" t="s">
        <v>29</v>
      </c>
      <c r="D1083" s="13">
        <v>45796</v>
      </c>
      <c r="E1083" s="9">
        <v>15106</v>
      </c>
    </row>
    <row r="1084" spans="1:5" x14ac:dyDescent="0.25">
      <c r="A1084" s="8" t="s">
        <v>1017</v>
      </c>
      <c r="B1084" s="8" t="s">
        <v>964</v>
      </c>
      <c r="C1084" s="8" t="s">
        <v>27</v>
      </c>
      <c r="D1084" s="13">
        <v>45797</v>
      </c>
      <c r="E1084" s="9">
        <v>6157</v>
      </c>
    </row>
    <row r="1085" spans="1:5" x14ac:dyDescent="0.25">
      <c r="A1085" s="8" t="s">
        <v>1018</v>
      </c>
      <c r="B1085" s="8" t="s">
        <v>964</v>
      </c>
      <c r="C1085" s="8" t="s">
        <v>55</v>
      </c>
      <c r="D1085" s="13">
        <v>45801</v>
      </c>
      <c r="E1085" s="9">
        <v>13146</v>
      </c>
    </row>
    <row r="1086" spans="1:5" x14ac:dyDescent="0.25">
      <c r="A1086" s="8" t="s">
        <v>1019</v>
      </c>
      <c r="B1086" s="8" t="s">
        <v>964</v>
      </c>
      <c r="C1086" s="8" t="s">
        <v>27</v>
      </c>
      <c r="D1086" s="13">
        <v>45809</v>
      </c>
      <c r="E1086" s="9">
        <v>15248</v>
      </c>
    </row>
    <row r="1087" spans="1:5" x14ac:dyDescent="0.25">
      <c r="A1087" s="8" t="s">
        <v>1020</v>
      </c>
      <c r="B1087" s="8" t="s">
        <v>964</v>
      </c>
      <c r="C1087" s="8" t="s">
        <v>23</v>
      </c>
      <c r="D1087" s="13">
        <v>45851</v>
      </c>
      <c r="E1087" s="9">
        <v>9422</v>
      </c>
    </row>
    <row r="1088" spans="1:5" x14ac:dyDescent="0.25">
      <c r="A1088" s="8" t="s">
        <v>1021</v>
      </c>
      <c r="B1088" s="8" t="s">
        <v>964</v>
      </c>
      <c r="C1088" s="8" t="s">
        <v>23</v>
      </c>
      <c r="D1088" s="13">
        <v>45863</v>
      </c>
      <c r="E1088" s="9">
        <v>13774</v>
      </c>
    </row>
    <row r="1089" spans="1:5" x14ac:dyDescent="0.25">
      <c r="A1089" s="8" t="s">
        <v>1022</v>
      </c>
      <c r="B1089" s="8" t="s">
        <v>964</v>
      </c>
      <c r="C1089" s="8" t="s">
        <v>10</v>
      </c>
      <c r="D1089" s="13">
        <v>45876</v>
      </c>
      <c r="E1089" s="9">
        <v>15140</v>
      </c>
    </row>
    <row r="1090" spans="1:5" x14ac:dyDescent="0.25">
      <c r="A1090" s="8" t="s">
        <v>1023</v>
      </c>
      <c r="B1090" s="8" t="s">
        <v>964</v>
      </c>
      <c r="C1090" s="8" t="s">
        <v>37</v>
      </c>
      <c r="D1090" s="13">
        <v>45878</v>
      </c>
      <c r="E1090" s="9">
        <v>5967</v>
      </c>
    </row>
    <row r="1091" spans="1:5" x14ac:dyDescent="0.25">
      <c r="A1091" s="8" t="s">
        <v>1024</v>
      </c>
      <c r="B1091" s="8" t="s">
        <v>1025</v>
      </c>
      <c r="C1091" s="8" t="s">
        <v>12</v>
      </c>
      <c r="D1091" s="13">
        <v>45622</v>
      </c>
      <c r="E1091" s="9">
        <v>67067</v>
      </c>
    </row>
    <row r="1092" spans="1:5" x14ac:dyDescent="0.25">
      <c r="A1092" s="8" t="s">
        <v>1026</v>
      </c>
      <c r="B1092" s="8" t="s">
        <v>1025</v>
      </c>
      <c r="C1092" s="8" t="s">
        <v>29</v>
      </c>
      <c r="D1092" s="13">
        <v>45630</v>
      </c>
      <c r="E1092" s="9">
        <v>79758</v>
      </c>
    </row>
    <row r="1093" spans="1:5" x14ac:dyDescent="0.25">
      <c r="A1093" s="8" t="s">
        <v>1027</v>
      </c>
      <c r="B1093" s="8" t="s">
        <v>1025</v>
      </c>
      <c r="C1093" s="8" t="s">
        <v>27</v>
      </c>
      <c r="D1093" s="13">
        <v>45638</v>
      </c>
      <c r="E1093" s="9">
        <v>86966</v>
      </c>
    </row>
    <row r="1094" spans="1:5" x14ac:dyDescent="0.25">
      <c r="A1094" s="8" t="s">
        <v>1028</v>
      </c>
      <c r="B1094" s="8" t="s">
        <v>1025</v>
      </c>
      <c r="C1094" s="8" t="s">
        <v>73</v>
      </c>
      <c r="D1094" s="13">
        <v>45644</v>
      </c>
      <c r="E1094" s="9">
        <v>35852</v>
      </c>
    </row>
    <row r="1095" spans="1:5" x14ac:dyDescent="0.25">
      <c r="A1095" s="8" t="s">
        <v>1029</v>
      </c>
      <c r="B1095" s="8" t="s">
        <v>1025</v>
      </c>
      <c r="C1095" s="8" t="s">
        <v>19</v>
      </c>
      <c r="D1095" s="13">
        <v>45652</v>
      </c>
      <c r="E1095" s="9">
        <v>99875</v>
      </c>
    </row>
    <row r="1096" spans="1:5" x14ac:dyDescent="0.25">
      <c r="A1096" s="8" t="s">
        <v>1030</v>
      </c>
      <c r="B1096" s="8" t="s">
        <v>1025</v>
      </c>
      <c r="C1096" s="8" t="s">
        <v>71</v>
      </c>
      <c r="D1096" s="13">
        <v>45655</v>
      </c>
      <c r="E1096" s="9">
        <v>96271</v>
      </c>
    </row>
    <row r="1097" spans="1:5" x14ac:dyDescent="0.25">
      <c r="A1097" s="8" t="s">
        <v>1031</v>
      </c>
      <c r="B1097" s="8" t="s">
        <v>1025</v>
      </c>
      <c r="C1097" s="8" t="s">
        <v>27</v>
      </c>
      <c r="D1097" s="13">
        <v>45663</v>
      </c>
      <c r="E1097" s="9">
        <v>75810</v>
      </c>
    </row>
    <row r="1098" spans="1:5" x14ac:dyDescent="0.25">
      <c r="A1098" s="8" t="s">
        <v>1032</v>
      </c>
      <c r="B1098" s="8" t="s">
        <v>1025</v>
      </c>
      <c r="C1098" s="8" t="s">
        <v>50</v>
      </c>
      <c r="D1098" s="13">
        <v>45691</v>
      </c>
      <c r="E1098" s="9">
        <v>104485</v>
      </c>
    </row>
    <row r="1099" spans="1:5" x14ac:dyDescent="0.25">
      <c r="A1099" s="8" t="s">
        <v>1033</v>
      </c>
      <c r="B1099" s="8" t="s">
        <v>1025</v>
      </c>
      <c r="C1099" s="8" t="s">
        <v>44</v>
      </c>
      <c r="D1099" s="13">
        <v>45705</v>
      </c>
      <c r="E1099" s="9">
        <v>46364</v>
      </c>
    </row>
    <row r="1100" spans="1:5" x14ac:dyDescent="0.25">
      <c r="A1100" s="8" t="s">
        <v>1034</v>
      </c>
      <c r="B1100" s="8" t="s">
        <v>1025</v>
      </c>
      <c r="C1100" s="8" t="s">
        <v>55</v>
      </c>
      <c r="D1100" s="13">
        <v>45729</v>
      </c>
      <c r="E1100" s="9">
        <v>56503</v>
      </c>
    </row>
    <row r="1101" spans="1:5" x14ac:dyDescent="0.25">
      <c r="A1101" s="8" t="s">
        <v>1035</v>
      </c>
      <c r="B1101" s="8" t="s">
        <v>1025</v>
      </c>
      <c r="C1101" s="8" t="s">
        <v>108</v>
      </c>
      <c r="D1101" s="13">
        <v>45732</v>
      </c>
      <c r="E1101" s="9">
        <v>43705</v>
      </c>
    </row>
    <row r="1102" spans="1:5" x14ac:dyDescent="0.25">
      <c r="A1102" s="8" t="s">
        <v>1036</v>
      </c>
      <c r="B1102" s="8" t="s">
        <v>1025</v>
      </c>
      <c r="C1102" s="8" t="s">
        <v>91</v>
      </c>
      <c r="D1102" s="13">
        <v>45737</v>
      </c>
      <c r="E1102" s="9">
        <v>81166</v>
      </c>
    </row>
    <row r="1103" spans="1:5" x14ac:dyDescent="0.25">
      <c r="A1103" s="8" t="s">
        <v>1037</v>
      </c>
      <c r="B1103" s="8" t="s">
        <v>1025</v>
      </c>
      <c r="C1103" s="8" t="s">
        <v>37</v>
      </c>
      <c r="D1103" s="13">
        <v>45738</v>
      </c>
      <c r="E1103" s="9">
        <v>102255</v>
      </c>
    </row>
    <row r="1104" spans="1:5" x14ac:dyDescent="0.25">
      <c r="A1104" s="8" t="s">
        <v>1038</v>
      </c>
      <c r="B1104" s="8" t="s">
        <v>1025</v>
      </c>
      <c r="C1104" s="8" t="s">
        <v>21</v>
      </c>
      <c r="D1104" s="13">
        <v>45760</v>
      </c>
      <c r="E1104" s="9">
        <v>76089</v>
      </c>
    </row>
    <row r="1105" spans="1:5" x14ac:dyDescent="0.25">
      <c r="A1105" s="8" t="s">
        <v>1039</v>
      </c>
      <c r="B1105" s="8" t="s">
        <v>1025</v>
      </c>
      <c r="C1105" s="8" t="s">
        <v>25</v>
      </c>
      <c r="D1105" s="13">
        <v>45795</v>
      </c>
      <c r="E1105" s="9">
        <v>96406</v>
      </c>
    </row>
    <row r="1106" spans="1:5" x14ac:dyDescent="0.25">
      <c r="A1106" s="8" t="s">
        <v>1040</v>
      </c>
      <c r="B1106" s="8" t="s">
        <v>1025</v>
      </c>
      <c r="C1106" s="8" t="s">
        <v>55</v>
      </c>
      <c r="D1106" s="13">
        <v>45808</v>
      </c>
      <c r="E1106" s="9">
        <v>93690</v>
      </c>
    </row>
    <row r="1107" spans="1:5" x14ac:dyDescent="0.25">
      <c r="A1107" s="8" t="s">
        <v>1041</v>
      </c>
      <c r="B1107" s="8" t="s">
        <v>1025</v>
      </c>
      <c r="C1107" s="8" t="s">
        <v>10</v>
      </c>
      <c r="D1107" s="13">
        <v>45817</v>
      </c>
      <c r="E1107" s="9">
        <v>49540</v>
      </c>
    </row>
    <row r="1108" spans="1:5" x14ac:dyDescent="0.25">
      <c r="A1108" s="8" t="s">
        <v>1042</v>
      </c>
      <c r="B1108" s="8" t="s">
        <v>1025</v>
      </c>
      <c r="C1108" s="8" t="s">
        <v>10</v>
      </c>
      <c r="D1108" s="13">
        <v>45821</v>
      </c>
      <c r="E1108" s="9">
        <v>57641</v>
      </c>
    </row>
    <row r="1109" spans="1:5" x14ac:dyDescent="0.25">
      <c r="A1109" s="8" t="s">
        <v>1043</v>
      </c>
      <c r="B1109" s="8" t="s">
        <v>1025</v>
      </c>
      <c r="C1109" s="8" t="s">
        <v>19</v>
      </c>
      <c r="D1109" s="13">
        <v>45824</v>
      </c>
      <c r="E1109" s="9">
        <v>39104</v>
      </c>
    </row>
    <row r="1110" spans="1:5" x14ac:dyDescent="0.25">
      <c r="A1110" s="8" t="s">
        <v>1044</v>
      </c>
      <c r="B1110" s="8" t="s">
        <v>1025</v>
      </c>
      <c r="C1110" s="8" t="s">
        <v>37</v>
      </c>
      <c r="D1110" s="13">
        <v>45825</v>
      </c>
      <c r="E1110" s="9">
        <v>68698</v>
      </c>
    </row>
    <row r="1111" spans="1:5" x14ac:dyDescent="0.25">
      <c r="A1111" s="8" t="s">
        <v>1045</v>
      </c>
      <c r="B1111" s="8" t="s">
        <v>1025</v>
      </c>
      <c r="C1111" s="8" t="s">
        <v>35</v>
      </c>
      <c r="D1111" s="13">
        <v>45834</v>
      </c>
      <c r="E1111" s="9">
        <v>95755</v>
      </c>
    </row>
    <row r="1112" spans="1:5" x14ac:dyDescent="0.25">
      <c r="A1112" s="8" t="s">
        <v>1046</v>
      </c>
      <c r="B1112" s="8" t="s">
        <v>1025</v>
      </c>
      <c r="C1112" s="8" t="s">
        <v>48</v>
      </c>
      <c r="D1112" s="13">
        <v>45861</v>
      </c>
      <c r="E1112" s="9">
        <v>104611</v>
      </c>
    </row>
    <row r="1113" spans="1:5" x14ac:dyDescent="0.25">
      <c r="A1113" s="8" t="s">
        <v>1047</v>
      </c>
      <c r="B1113" s="8" t="s">
        <v>1025</v>
      </c>
      <c r="C1113" s="8" t="s">
        <v>44</v>
      </c>
      <c r="D1113" s="13">
        <v>45872</v>
      </c>
      <c r="E1113" s="9">
        <v>78485</v>
      </c>
    </row>
    <row r="1114" spans="1:5" x14ac:dyDescent="0.25">
      <c r="A1114" s="8" t="s">
        <v>1048</v>
      </c>
      <c r="B1114" s="8" t="s">
        <v>1025</v>
      </c>
      <c r="C1114" s="8" t="s">
        <v>27</v>
      </c>
      <c r="D1114" s="13">
        <v>45883</v>
      </c>
      <c r="E1114" s="9">
        <v>100898</v>
      </c>
    </row>
    <row r="1115" spans="1:5" x14ac:dyDescent="0.25">
      <c r="A1115" s="8" t="s">
        <v>1049</v>
      </c>
      <c r="B1115" s="8" t="s">
        <v>1025</v>
      </c>
      <c r="C1115" s="8" t="s">
        <v>27</v>
      </c>
      <c r="D1115" s="13">
        <v>45885</v>
      </c>
      <c r="E1115" s="9">
        <v>37753</v>
      </c>
    </row>
    <row r="1116" spans="1:5" x14ac:dyDescent="0.25">
      <c r="A1116" s="8" t="s">
        <v>1050</v>
      </c>
      <c r="B1116" s="8" t="s">
        <v>1051</v>
      </c>
      <c r="C1116" s="8" t="s">
        <v>33</v>
      </c>
      <c r="D1116" s="13">
        <v>45172</v>
      </c>
      <c r="E1116" s="9">
        <v>106511</v>
      </c>
    </row>
    <row r="1117" spans="1:5" x14ac:dyDescent="0.25">
      <c r="A1117" s="8" t="s">
        <v>1052</v>
      </c>
      <c r="B1117" s="8" t="s">
        <v>1051</v>
      </c>
      <c r="C1117" s="8" t="s">
        <v>44</v>
      </c>
      <c r="D1117" s="13">
        <v>45189</v>
      </c>
      <c r="E1117" s="9">
        <v>132144</v>
      </c>
    </row>
    <row r="1118" spans="1:5" x14ac:dyDescent="0.25">
      <c r="A1118" s="8" t="s">
        <v>1053</v>
      </c>
      <c r="B1118" s="8" t="s">
        <v>1051</v>
      </c>
      <c r="C1118" s="8" t="s">
        <v>8</v>
      </c>
      <c r="D1118" s="13">
        <v>45206</v>
      </c>
      <c r="E1118" s="9">
        <v>162680</v>
      </c>
    </row>
    <row r="1119" spans="1:5" x14ac:dyDescent="0.25">
      <c r="A1119" s="8" t="s">
        <v>1054</v>
      </c>
      <c r="B1119" s="8" t="s">
        <v>1051</v>
      </c>
      <c r="C1119" s="8" t="s">
        <v>91</v>
      </c>
      <c r="D1119" s="13">
        <v>45206</v>
      </c>
      <c r="E1119" s="9">
        <v>167660</v>
      </c>
    </row>
    <row r="1120" spans="1:5" x14ac:dyDescent="0.25">
      <c r="A1120" s="8" t="s">
        <v>1055</v>
      </c>
      <c r="B1120" s="8" t="s">
        <v>1051</v>
      </c>
      <c r="C1120" s="8" t="s">
        <v>27</v>
      </c>
      <c r="D1120" s="13">
        <v>45210</v>
      </c>
      <c r="E1120" s="9">
        <v>175277</v>
      </c>
    </row>
    <row r="1121" spans="1:5" x14ac:dyDescent="0.25">
      <c r="A1121" s="8" t="s">
        <v>1056</v>
      </c>
      <c r="B1121" s="8" t="s">
        <v>1051</v>
      </c>
      <c r="C1121" s="8" t="s">
        <v>25</v>
      </c>
      <c r="D1121" s="13">
        <v>45216</v>
      </c>
      <c r="E1121" s="9">
        <v>98875</v>
      </c>
    </row>
    <row r="1122" spans="1:5" x14ac:dyDescent="0.25">
      <c r="A1122" s="8" t="s">
        <v>1057</v>
      </c>
      <c r="B1122" s="8" t="s">
        <v>1051</v>
      </c>
      <c r="C1122" s="8" t="s">
        <v>25</v>
      </c>
      <c r="D1122" s="13">
        <v>45259</v>
      </c>
      <c r="E1122" s="9">
        <v>172222</v>
      </c>
    </row>
    <row r="1123" spans="1:5" x14ac:dyDescent="0.25">
      <c r="A1123" s="8" t="s">
        <v>1058</v>
      </c>
      <c r="B1123" s="8" t="s">
        <v>1051</v>
      </c>
      <c r="C1123" s="8" t="s">
        <v>109</v>
      </c>
      <c r="D1123" s="13">
        <v>45274</v>
      </c>
      <c r="E1123" s="9">
        <v>104974</v>
      </c>
    </row>
    <row r="1124" spans="1:5" x14ac:dyDescent="0.25">
      <c r="A1124" s="8" t="s">
        <v>1059</v>
      </c>
      <c r="B1124" s="8" t="s">
        <v>1051</v>
      </c>
      <c r="C1124" s="8" t="s">
        <v>19</v>
      </c>
      <c r="D1124" s="13">
        <v>45291</v>
      </c>
      <c r="E1124" s="9">
        <v>206746</v>
      </c>
    </row>
    <row r="1125" spans="1:5" x14ac:dyDescent="0.25">
      <c r="A1125" s="8" t="s">
        <v>1060</v>
      </c>
      <c r="B1125" s="8" t="s">
        <v>1051</v>
      </c>
      <c r="C1125" s="8" t="s">
        <v>35</v>
      </c>
      <c r="D1125" s="13">
        <v>45311</v>
      </c>
      <c r="E1125" s="9">
        <v>221505</v>
      </c>
    </row>
    <row r="1126" spans="1:5" x14ac:dyDescent="0.25">
      <c r="A1126" s="8" t="s">
        <v>1061</v>
      </c>
      <c r="B1126" s="8" t="s">
        <v>1051</v>
      </c>
      <c r="C1126" s="8" t="s">
        <v>8</v>
      </c>
      <c r="D1126" s="13">
        <v>45321</v>
      </c>
      <c r="E1126" s="9">
        <v>95181</v>
      </c>
    </row>
    <row r="1127" spans="1:5" x14ac:dyDescent="0.25">
      <c r="A1127" s="8" t="s">
        <v>1062</v>
      </c>
      <c r="B1127" s="8" t="s">
        <v>1051</v>
      </c>
      <c r="C1127" s="8" t="s">
        <v>37</v>
      </c>
      <c r="D1127" s="13">
        <v>45329</v>
      </c>
      <c r="E1127" s="9">
        <v>102826</v>
      </c>
    </row>
    <row r="1128" spans="1:5" x14ac:dyDescent="0.25">
      <c r="A1128" s="8" t="s">
        <v>1063</v>
      </c>
      <c r="B1128" s="8" t="s">
        <v>1051</v>
      </c>
      <c r="C1128" s="8" t="s">
        <v>44</v>
      </c>
      <c r="D1128" s="13">
        <v>45337</v>
      </c>
      <c r="E1128" s="9">
        <v>254863</v>
      </c>
    </row>
    <row r="1129" spans="1:5" x14ac:dyDescent="0.25">
      <c r="A1129" s="8" t="s">
        <v>1064</v>
      </c>
      <c r="B1129" s="8" t="s">
        <v>1051</v>
      </c>
      <c r="C1129" s="8" t="s">
        <v>21</v>
      </c>
      <c r="D1129" s="13">
        <v>45345</v>
      </c>
      <c r="E1129" s="9">
        <v>230688</v>
      </c>
    </row>
    <row r="1130" spans="1:5" x14ac:dyDescent="0.25">
      <c r="A1130" s="8" t="s">
        <v>1065</v>
      </c>
      <c r="B1130" s="8" t="s">
        <v>1051</v>
      </c>
      <c r="C1130" s="8" t="s">
        <v>19</v>
      </c>
      <c r="D1130" s="13">
        <v>45350</v>
      </c>
      <c r="E1130" s="9">
        <v>101098</v>
      </c>
    </row>
    <row r="1131" spans="1:5" x14ac:dyDescent="0.25">
      <c r="A1131" s="8" t="s">
        <v>1066</v>
      </c>
      <c r="B1131" s="8" t="s">
        <v>1051</v>
      </c>
      <c r="C1131" s="8" t="s">
        <v>55</v>
      </c>
      <c r="D1131" s="13">
        <v>45360</v>
      </c>
      <c r="E1131" s="9">
        <v>178737</v>
      </c>
    </row>
    <row r="1132" spans="1:5" x14ac:dyDescent="0.25">
      <c r="A1132" s="8" t="s">
        <v>1067</v>
      </c>
      <c r="B1132" s="8" t="s">
        <v>1051</v>
      </c>
      <c r="C1132" s="8" t="s">
        <v>25</v>
      </c>
      <c r="D1132" s="13">
        <v>45367</v>
      </c>
      <c r="E1132" s="9">
        <v>95146</v>
      </c>
    </row>
    <row r="1133" spans="1:5" x14ac:dyDescent="0.25">
      <c r="A1133" s="8" t="s">
        <v>1068</v>
      </c>
      <c r="B1133" s="8" t="s">
        <v>1051</v>
      </c>
      <c r="C1133" s="8" t="s">
        <v>6</v>
      </c>
      <c r="D1133" s="13">
        <v>45371</v>
      </c>
      <c r="E1133" s="9">
        <v>148716</v>
      </c>
    </row>
    <row r="1134" spans="1:5" x14ac:dyDescent="0.25">
      <c r="A1134" s="8" t="s">
        <v>1069</v>
      </c>
      <c r="B1134" s="8" t="s">
        <v>1051</v>
      </c>
      <c r="C1134" s="8" t="s">
        <v>35</v>
      </c>
      <c r="D1134" s="13">
        <v>45390</v>
      </c>
      <c r="E1134" s="9">
        <v>320527</v>
      </c>
    </row>
    <row r="1135" spans="1:5" x14ac:dyDescent="0.25">
      <c r="A1135" s="8" t="s">
        <v>1070</v>
      </c>
      <c r="B1135" s="8" t="s">
        <v>1051</v>
      </c>
      <c r="C1135" s="8" t="s">
        <v>21</v>
      </c>
      <c r="D1135" s="13">
        <v>45391</v>
      </c>
      <c r="E1135" s="9">
        <v>184992</v>
      </c>
    </row>
    <row r="1136" spans="1:5" x14ac:dyDescent="0.25">
      <c r="A1136" s="8" t="s">
        <v>1071</v>
      </c>
      <c r="B1136" s="8" t="s">
        <v>1051</v>
      </c>
      <c r="C1136" s="8" t="s">
        <v>35</v>
      </c>
      <c r="D1136" s="13">
        <v>45398</v>
      </c>
      <c r="E1136" s="9">
        <v>96138</v>
      </c>
    </row>
    <row r="1137" spans="1:5" x14ac:dyDescent="0.25">
      <c r="A1137" s="8" t="s">
        <v>1072</v>
      </c>
      <c r="B1137" s="8" t="s">
        <v>1051</v>
      </c>
      <c r="C1137" s="8" t="s">
        <v>23</v>
      </c>
      <c r="D1137" s="13">
        <v>45411</v>
      </c>
      <c r="E1137" s="9">
        <v>156298</v>
      </c>
    </row>
    <row r="1138" spans="1:5" x14ac:dyDescent="0.25">
      <c r="A1138" s="8" t="s">
        <v>1073</v>
      </c>
      <c r="B1138" s="8" t="s">
        <v>1051</v>
      </c>
      <c r="C1138" s="8" t="s">
        <v>23</v>
      </c>
      <c r="D1138" s="13">
        <v>45411</v>
      </c>
      <c r="E1138" s="9">
        <v>171138</v>
      </c>
    </row>
    <row r="1139" spans="1:5" x14ac:dyDescent="0.25">
      <c r="A1139" s="8" t="s">
        <v>1074</v>
      </c>
      <c r="B1139" s="8" t="s">
        <v>1051</v>
      </c>
      <c r="C1139" s="8" t="s">
        <v>44</v>
      </c>
      <c r="D1139" s="13">
        <v>45424</v>
      </c>
      <c r="E1139" s="9">
        <v>249299</v>
      </c>
    </row>
    <row r="1140" spans="1:5" x14ac:dyDescent="0.25">
      <c r="A1140" s="8" t="s">
        <v>1075</v>
      </c>
      <c r="B1140" s="8" t="s">
        <v>1051</v>
      </c>
      <c r="C1140" s="8" t="s">
        <v>19</v>
      </c>
      <c r="D1140" s="13">
        <v>45444</v>
      </c>
      <c r="E1140" s="9">
        <v>246452</v>
      </c>
    </row>
    <row r="1141" spans="1:5" x14ac:dyDescent="0.25">
      <c r="A1141" s="8" t="s">
        <v>1076</v>
      </c>
      <c r="B1141" s="8" t="s">
        <v>1051</v>
      </c>
      <c r="C1141" s="8" t="s">
        <v>73</v>
      </c>
      <c r="D1141" s="13">
        <v>45456</v>
      </c>
      <c r="E1141" s="9">
        <v>92413</v>
      </c>
    </row>
    <row r="1142" spans="1:5" x14ac:dyDescent="0.25">
      <c r="A1142" s="8" t="s">
        <v>1077</v>
      </c>
      <c r="B1142" s="8" t="s">
        <v>1051</v>
      </c>
      <c r="C1142" s="8" t="s">
        <v>23</v>
      </c>
      <c r="D1142" s="13">
        <v>45472</v>
      </c>
      <c r="E1142" s="9">
        <v>256197</v>
      </c>
    </row>
    <row r="1143" spans="1:5" x14ac:dyDescent="0.25">
      <c r="A1143" s="8" t="s">
        <v>1078</v>
      </c>
      <c r="B1143" s="8" t="s">
        <v>1051</v>
      </c>
      <c r="C1143" s="8" t="s">
        <v>14</v>
      </c>
      <c r="D1143" s="13">
        <v>45492</v>
      </c>
      <c r="E1143" s="9">
        <v>159424</v>
      </c>
    </row>
    <row r="1144" spans="1:5" x14ac:dyDescent="0.25">
      <c r="A1144" s="8" t="s">
        <v>1079</v>
      </c>
      <c r="B1144" s="8" t="s">
        <v>1051</v>
      </c>
      <c r="C1144" s="8" t="s">
        <v>25</v>
      </c>
      <c r="D1144" s="13">
        <v>45516</v>
      </c>
      <c r="E1144" s="9">
        <v>148030</v>
      </c>
    </row>
    <row r="1145" spans="1:5" x14ac:dyDescent="0.25">
      <c r="A1145" s="8" t="s">
        <v>1080</v>
      </c>
      <c r="B1145" s="8" t="s">
        <v>1051</v>
      </c>
      <c r="C1145" s="8" t="s">
        <v>27</v>
      </c>
      <c r="D1145" s="13">
        <v>45520</v>
      </c>
      <c r="E1145" s="9">
        <v>275185</v>
      </c>
    </row>
    <row r="1146" spans="1:5" x14ac:dyDescent="0.25">
      <c r="A1146" s="8" t="s">
        <v>1081</v>
      </c>
      <c r="B1146" s="8" t="s">
        <v>1051</v>
      </c>
      <c r="C1146" s="8" t="s">
        <v>48</v>
      </c>
      <c r="D1146" s="13">
        <v>45522</v>
      </c>
      <c r="E1146" s="9">
        <v>168932</v>
      </c>
    </row>
    <row r="1147" spans="1:5" x14ac:dyDescent="0.25">
      <c r="A1147" s="8" t="s">
        <v>1082</v>
      </c>
      <c r="B1147" s="8" t="s">
        <v>1051</v>
      </c>
      <c r="C1147" s="8" t="s">
        <v>50</v>
      </c>
      <c r="D1147" s="13">
        <v>45553</v>
      </c>
      <c r="E1147" s="9">
        <v>273495</v>
      </c>
    </row>
    <row r="1148" spans="1:5" x14ac:dyDescent="0.25">
      <c r="A1148" s="8" t="s">
        <v>1083</v>
      </c>
      <c r="B1148" s="8" t="s">
        <v>1051</v>
      </c>
      <c r="C1148" s="8" t="s">
        <v>10</v>
      </c>
      <c r="D1148" s="13">
        <v>45554</v>
      </c>
      <c r="E1148" s="9">
        <v>201875</v>
      </c>
    </row>
    <row r="1149" spans="1:5" x14ac:dyDescent="0.25">
      <c r="A1149" s="8" t="s">
        <v>1084</v>
      </c>
      <c r="B1149" s="8" t="s">
        <v>1051</v>
      </c>
      <c r="C1149" s="8" t="s">
        <v>6</v>
      </c>
      <c r="D1149" s="13">
        <v>45561</v>
      </c>
      <c r="E1149" s="9">
        <v>721902</v>
      </c>
    </row>
    <row r="1150" spans="1:5" x14ac:dyDescent="0.25">
      <c r="A1150" s="8" t="s">
        <v>1085</v>
      </c>
      <c r="B1150" s="8" t="s">
        <v>1051</v>
      </c>
      <c r="C1150" s="8" t="s">
        <v>17</v>
      </c>
      <c r="D1150" s="13">
        <v>45564</v>
      </c>
      <c r="E1150" s="9">
        <v>204931</v>
      </c>
    </row>
    <row r="1151" spans="1:5" x14ac:dyDescent="0.25">
      <c r="A1151" s="8" t="s">
        <v>1086</v>
      </c>
      <c r="B1151" s="8" t="s">
        <v>1087</v>
      </c>
      <c r="C1151" s="8" t="s">
        <v>109</v>
      </c>
      <c r="D1151" s="13">
        <v>45657</v>
      </c>
      <c r="E1151" s="9">
        <v>161932</v>
      </c>
    </row>
    <row r="1152" spans="1:5" x14ac:dyDescent="0.25">
      <c r="A1152" s="8" t="s">
        <v>1088</v>
      </c>
      <c r="B1152" s="8" t="s">
        <v>1087</v>
      </c>
      <c r="C1152" s="8" t="s">
        <v>109</v>
      </c>
      <c r="D1152" s="13">
        <v>45657</v>
      </c>
      <c r="E1152" s="9">
        <v>160345</v>
      </c>
    </row>
    <row r="1153" spans="1:5" x14ac:dyDescent="0.25">
      <c r="A1153" s="8" t="s">
        <v>1089</v>
      </c>
      <c r="B1153" s="8" t="s">
        <v>1087</v>
      </c>
      <c r="C1153" s="8" t="s">
        <v>17</v>
      </c>
      <c r="D1153" s="13">
        <v>45658</v>
      </c>
      <c r="E1153" s="9">
        <v>187827</v>
      </c>
    </row>
    <row r="1154" spans="1:5" x14ac:dyDescent="0.25">
      <c r="A1154" s="8" t="s">
        <v>1090</v>
      </c>
      <c r="B1154" s="8" t="s">
        <v>1087</v>
      </c>
      <c r="C1154" s="8" t="s">
        <v>110</v>
      </c>
      <c r="D1154" s="13">
        <v>45659</v>
      </c>
      <c r="E1154" s="9">
        <v>190724</v>
      </c>
    </row>
    <row r="1155" spans="1:5" x14ac:dyDescent="0.25">
      <c r="A1155" s="8" t="s">
        <v>1091</v>
      </c>
      <c r="B1155" s="8" t="s">
        <v>1087</v>
      </c>
      <c r="C1155" s="8" t="s">
        <v>71</v>
      </c>
      <c r="D1155" s="13">
        <v>45662</v>
      </c>
      <c r="E1155" s="9">
        <v>163971</v>
      </c>
    </row>
    <row r="1156" spans="1:5" x14ac:dyDescent="0.25">
      <c r="A1156" s="8" t="s">
        <v>1092</v>
      </c>
      <c r="B1156" s="8" t="s">
        <v>1087</v>
      </c>
      <c r="C1156" s="8" t="s">
        <v>108</v>
      </c>
      <c r="D1156" s="13">
        <v>45663</v>
      </c>
      <c r="E1156" s="9">
        <v>160764</v>
      </c>
    </row>
    <row r="1157" spans="1:5" x14ac:dyDescent="0.25">
      <c r="A1157" s="8" t="s">
        <v>1093</v>
      </c>
      <c r="B1157" s="8" t="s">
        <v>1087</v>
      </c>
      <c r="C1157" s="8" t="s">
        <v>29</v>
      </c>
      <c r="D1157" s="13">
        <v>45683</v>
      </c>
      <c r="E1157" s="9">
        <v>152836</v>
      </c>
    </row>
    <row r="1158" spans="1:5" x14ac:dyDescent="0.25">
      <c r="A1158" s="8" t="s">
        <v>1094</v>
      </c>
      <c r="B1158" s="8" t="s">
        <v>1087</v>
      </c>
      <c r="C1158" s="8" t="s">
        <v>55</v>
      </c>
      <c r="D1158" s="13">
        <v>45698</v>
      </c>
      <c r="E1158" s="9">
        <v>174946</v>
      </c>
    </row>
    <row r="1159" spans="1:5" x14ac:dyDescent="0.25">
      <c r="A1159" s="8" t="s">
        <v>1095</v>
      </c>
      <c r="B1159" s="8" t="s">
        <v>1087</v>
      </c>
      <c r="C1159" s="8" t="s">
        <v>50</v>
      </c>
      <c r="D1159" s="13">
        <v>45699</v>
      </c>
      <c r="E1159" s="9">
        <v>193896</v>
      </c>
    </row>
    <row r="1160" spans="1:5" x14ac:dyDescent="0.25">
      <c r="A1160" s="8" t="s">
        <v>1096</v>
      </c>
      <c r="B1160" s="8" t="s">
        <v>1087</v>
      </c>
      <c r="C1160" s="8" t="s">
        <v>14</v>
      </c>
      <c r="D1160" s="13">
        <v>45728</v>
      </c>
      <c r="E1160" s="9">
        <v>80947</v>
      </c>
    </row>
    <row r="1161" spans="1:5" x14ac:dyDescent="0.25">
      <c r="A1161" s="8" t="s">
        <v>1097</v>
      </c>
      <c r="B1161" s="8" t="s">
        <v>1087</v>
      </c>
      <c r="C1161" s="8" t="s">
        <v>73</v>
      </c>
      <c r="D1161" s="13">
        <v>45733</v>
      </c>
      <c r="E1161" s="9">
        <v>132217</v>
      </c>
    </row>
    <row r="1162" spans="1:5" x14ac:dyDescent="0.25">
      <c r="A1162" s="8" t="s">
        <v>1098</v>
      </c>
      <c r="B1162" s="8" t="s">
        <v>1087</v>
      </c>
      <c r="C1162" s="8" t="s">
        <v>8</v>
      </c>
      <c r="D1162" s="13">
        <v>45733</v>
      </c>
      <c r="E1162" s="9">
        <v>131554</v>
      </c>
    </row>
    <row r="1163" spans="1:5" x14ac:dyDescent="0.25">
      <c r="A1163" s="8" t="s">
        <v>1099</v>
      </c>
      <c r="B1163" s="8" t="s">
        <v>1087</v>
      </c>
      <c r="C1163" s="8" t="s">
        <v>73</v>
      </c>
      <c r="D1163" s="13">
        <v>45734</v>
      </c>
      <c r="E1163" s="9">
        <v>99350</v>
      </c>
    </row>
    <row r="1164" spans="1:5" x14ac:dyDescent="0.25">
      <c r="A1164" s="8" t="s">
        <v>1100</v>
      </c>
      <c r="B1164" s="8" t="s">
        <v>1087</v>
      </c>
      <c r="C1164" s="8" t="s">
        <v>14</v>
      </c>
      <c r="D1164" s="13">
        <v>45735</v>
      </c>
      <c r="E1164" s="9">
        <v>182499</v>
      </c>
    </row>
    <row r="1165" spans="1:5" x14ac:dyDescent="0.25">
      <c r="A1165" s="8" t="s">
        <v>1101</v>
      </c>
      <c r="B1165" s="8" t="s">
        <v>1087</v>
      </c>
      <c r="C1165" s="8" t="s">
        <v>73</v>
      </c>
      <c r="D1165" s="13">
        <v>45740</v>
      </c>
      <c r="E1165" s="9">
        <v>121768</v>
      </c>
    </row>
    <row r="1166" spans="1:5" x14ac:dyDescent="0.25">
      <c r="A1166" s="8" t="s">
        <v>1102</v>
      </c>
      <c r="B1166" s="8" t="s">
        <v>1087</v>
      </c>
      <c r="C1166" s="8" t="s">
        <v>6</v>
      </c>
      <c r="D1166" s="13">
        <v>45741</v>
      </c>
      <c r="E1166" s="9">
        <v>128339</v>
      </c>
    </row>
    <row r="1167" spans="1:5" x14ac:dyDescent="0.25">
      <c r="A1167" s="8" t="s">
        <v>1103</v>
      </c>
      <c r="B1167" s="8" t="s">
        <v>1087</v>
      </c>
      <c r="C1167" s="8" t="s">
        <v>73</v>
      </c>
      <c r="D1167" s="13">
        <v>45778</v>
      </c>
      <c r="E1167" s="9">
        <v>98035</v>
      </c>
    </row>
    <row r="1168" spans="1:5" x14ac:dyDescent="0.25">
      <c r="A1168" s="8" t="s">
        <v>1104</v>
      </c>
      <c r="B1168" s="8" t="s">
        <v>1087</v>
      </c>
      <c r="C1168" s="8" t="s">
        <v>27</v>
      </c>
      <c r="D1168" s="13">
        <v>45779</v>
      </c>
      <c r="E1168" s="9">
        <v>191730</v>
      </c>
    </row>
    <row r="1169" spans="1:5" x14ac:dyDescent="0.25">
      <c r="A1169" s="8" t="s">
        <v>1105</v>
      </c>
      <c r="B1169" s="8" t="s">
        <v>1087</v>
      </c>
      <c r="C1169" s="8" t="s">
        <v>73</v>
      </c>
      <c r="D1169" s="13">
        <v>45794</v>
      </c>
      <c r="E1169" s="9">
        <v>77641</v>
      </c>
    </row>
    <row r="1170" spans="1:5" x14ac:dyDescent="0.25">
      <c r="A1170" s="8" t="s">
        <v>1106</v>
      </c>
      <c r="B1170" s="8" t="s">
        <v>1087</v>
      </c>
      <c r="C1170" s="8" t="s">
        <v>12</v>
      </c>
      <c r="D1170" s="13">
        <v>45798</v>
      </c>
      <c r="E1170" s="9">
        <v>88494</v>
      </c>
    </row>
    <row r="1171" spans="1:5" x14ac:dyDescent="0.25">
      <c r="A1171" s="8" t="s">
        <v>1107</v>
      </c>
      <c r="B1171" s="8" t="s">
        <v>1087</v>
      </c>
      <c r="C1171" s="8" t="s">
        <v>6</v>
      </c>
      <c r="D1171" s="13">
        <v>45836</v>
      </c>
      <c r="E1171" s="9">
        <v>67433</v>
      </c>
    </row>
    <row r="1172" spans="1:5" x14ac:dyDescent="0.25">
      <c r="A1172" s="8" t="s">
        <v>1108</v>
      </c>
      <c r="B1172" s="8" t="s">
        <v>1087</v>
      </c>
      <c r="C1172" s="8" t="s">
        <v>44</v>
      </c>
      <c r="D1172" s="13">
        <v>45877</v>
      </c>
      <c r="E1172" s="9">
        <v>172790</v>
      </c>
    </row>
    <row r="1173" spans="1:5" x14ac:dyDescent="0.25">
      <c r="A1173" s="8" t="s">
        <v>1109</v>
      </c>
      <c r="B1173" s="8" t="s">
        <v>1110</v>
      </c>
      <c r="C1173" s="8" t="s">
        <v>12</v>
      </c>
      <c r="D1173" s="13">
        <v>45515</v>
      </c>
      <c r="E1173" s="9">
        <v>76503</v>
      </c>
    </row>
    <row r="1174" spans="1:5" x14ac:dyDescent="0.25">
      <c r="A1174" s="8" t="s">
        <v>1111</v>
      </c>
      <c r="B1174" s="8" t="s">
        <v>1110</v>
      </c>
      <c r="C1174" s="8" t="s">
        <v>91</v>
      </c>
      <c r="D1174" s="13">
        <v>45545</v>
      </c>
      <c r="E1174" s="9">
        <v>100617</v>
      </c>
    </row>
    <row r="1175" spans="1:5" x14ac:dyDescent="0.25">
      <c r="A1175" s="8" t="s">
        <v>1112</v>
      </c>
      <c r="B1175" s="8" t="s">
        <v>1110</v>
      </c>
      <c r="C1175" s="8" t="s">
        <v>29</v>
      </c>
      <c r="D1175" s="13">
        <v>45550</v>
      </c>
      <c r="E1175" s="9">
        <v>192740</v>
      </c>
    </row>
    <row r="1176" spans="1:5" x14ac:dyDescent="0.25">
      <c r="A1176" s="8" t="s">
        <v>1113</v>
      </c>
      <c r="B1176" s="8" t="s">
        <v>1110</v>
      </c>
      <c r="C1176" s="8" t="s">
        <v>48</v>
      </c>
      <c r="D1176" s="13">
        <v>45562</v>
      </c>
      <c r="E1176" s="9">
        <v>114258</v>
      </c>
    </row>
    <row r="1177" spans="1:5" x14ac:dyDescent="0.25">
      <c r="A1177" s="8" t="s">
        <v>1114</v>
      </c>
      <c r="B1177" s="8" t="s">
        <v>1110</v>
      </c>
      <c r="C1177" s="8" t="s">
        <v>14</v>
      </c>
      <c r="D1177" s="13">
        <v>45562</v>
      </c>
      <c r="E1177" s="9">
        <v>55189</v>
      </c>
    </row>
    <row r="1178" spans="1:5" x14ac:dyDescent="0.25">
      <c r="A1178" s="8" t="s">
        <v>1115</v>
      </c>
      <c r="B1178" s="8" t="s">
        <v>1110</v>
      </c>
      <c r="C1178" s="8" t="s">
        <v>55</v>
      </c>
      <c r="D1178" s="13">
        <v>45566</v>
      </c>
      <c r="E1178" s="9">
        <v>116206</v>
      </c>
    </row>
    <row r="1179" spans="1:5" x14ac:dyDescent="0.25">
      <c r="A1179" s="8" t="s">
        <v>1116</v>
      </c>
      <c r="B1179" s="8" t="s">
        <v>1110</v>
      </c>
      <c r="C1179" s="8" t="s">
        <v>55</v>
      </c>
      <c r="D1179" s="13">
        <v>45576</v>
      </c>
      <c r="E1179" s="9">
        <v>109410</v>
      </c>
    </row>
    <row r="1180" spans="1:5" x14ac:dyDescent="0.25">
      <c r="A1180" s="8" t="s">
        <v>1117</v>
      </c>
      <c r="B1180" s="8" t="s">
        <v>1110</v>
      </c>
      <c r="C1180" s="8" t="s">
        <v>25</v>
      </c>
      <c r="D1180" s="13">
        <v>45578</v>
      </c>
      <c r="E1180" s="9">
        <v>65602</v>
      </c>
    </row>
    <row r="1181" spans="1:5" x14ac:dyDescent="0.25">
      <c r="A1181" s="8" t="s">
        <v>1118</v>
      </c>
      <c r="B1181" s="8" t="s">
        <v>1110</v>
      </c>
      <c r="C1181" s="8" t="s">
        <v>71</v>
      </c>
      <c r="D1181" s="13">
        <v>45600</v>
      </c>
      <c r="E1181" s="9">
        <v>72425</v>
      </c>
    </row>
    <row r="1182" spans="1:5" x14ac:dyDescent="0.25">
      <c r="A1182" s="8" t="s">
        <v>1119</v>
      </c>
      <c r="B1182" s="8" t="s">
        <v>1110</v>
      </c>
      <c r="C1182" s="8" t="s">
        <v>73</v>
      </c>
      <c r="D1182" s="13">
        <v>45602</v>
      </c>
      <c r="E1182" s="9">
        <v>40596</v>
      </c>
    </row>
    <row r="1183" spans="1:5" x14ac:dyDescent="0.25">
      <c r="A1183" s="8" t="s">
        <v>1120</v>
      </c>
      <c r="B1183" s="8" t="s">
        <v>1110</v>
      </c>
      <c r="C1183" s="8" t="s">
        <v>33</v>
      </c>
      <c r="D1183" s="13">
        <v>45619</v>
      </c>
      <c r="E1183" s="9">
        <v>58450</v>
      </c>
    </row>
    <row r="1184" spans="1:5" x14ac:dyDescent="0.25">
      <c r="A1184" s="8" t="s">
        <v>1121</v>
      </c>
      <c r="B1184" s="8" t="s">
        <v>1110</v>
      </c>
      <c r="C1184" s="8" t="s">
        <v>44</v>
      </c>
      <c r="D1184" s="13">
        <v>45629</v>
      </c>
      <c r="E1184" s="9">
        <v>132309</v>
      </c>
    </row>
    <row r="1185" spans="1:5" x14ac:dyDescent="0.25">
      <c r="A1185" s="8" t="s">
        <v>1122</v>
      </c>
      <c r="B1185" s="8" t="s">
        <v>1110</v>
      </c>
      <c r="C1185" s="8" t="s">
        <v>73</v>
      </c>
      <c r="D1185" s="13">
        <v>45630</v>
      </c>
      <c r="E1185" s="9">
        <v>112453</v>
      </c>
    </row>
    <row r="1186" spans="1:5" x14ac:dyDescent="0.25">
      <c r="A1186" s="8" t="s">
        <v>1123</v>
      </c>
      <c r="B1186" s="8" t="s">
        <v>1110</v>
      </c>
      <c r="C1186" s="8" t="s">
        <v>50</v>
      </c>
      <c r="D1186" s="13">
        <v>45639</v>
      </c>
      <c r="E1186" s="9">
        <v>79226</v>
      </c>
    </row>
    <row r="1187" spans="1:5" x14ac:dyDescent="0.25">
      <c r="A1187" s="8" t="s">
        <v>1124</v>
      </c>
      <c r="B1187" s="8" t="s">
        <v>1110</v>
      </c>
      <c r="C1187" s="8" t="s">
        <v>110</v>
      </c>
      <c r="D1187" s="13">
        <v>45640</v>
      </c>
      <c r="E1187" s="9">
        <v>88526</v>
      </c>
    </row>
    <row r="1188" spans="1:5" x14ac:dyDescent="0.25">
      <c r="A1188" s="8" t="s">
        <v>1125</v>
      </c>
      <c r="B1188" s="8" t="s">
        <v>1110</v>
      </c>
      <c r="C1188" s="8" t="s">
        <v>6</v>
      </c>
      <c r="D1188" s="13">
        <v>45644</v>
      </c>
      <c r="E1188" s="9">
        <v>39898</v>
      </c>
    </row>
    <row r="1189" spans="1:5" x14ac:dyDescent="0.25">
      <c r="A1189" s="8" t="s">
        <v>1126</v>
      </c>
      <c r="B1189" s="8" t="s">
        <v>1110</v>
      </c>
      <c r="C1189" s="8" t="s">
        <v>91</v>
      </c>
      <c r="D1189" s="13">
        <v>45670</v>
      </c>
      <c r="E1189" s="9">
        <v>44386</v>
      </c>
    </row>
    <row r="1190" spans="1:5" x14ac:dyDescent="0.25">
      <c r="A1190" s="8" t="s">
        <v>1127</v>
      </c>
      <c r="B1190" s="8" t="s">
        <v>1110</v>
      </c>
      <c r="C1190" s="8" t="s">
        <v>110</v>
      </c>
      <c r="D1190" s="13">
        <v>45677</v>
      </c>
      <c r="E1190" s="9">
        <v>109368</v>
      </c>
    </row>
    <row r="1191" spans="1:5" x14ac:dyDescent="0.25">
      <c r="A1191" s="8" t="s">
        <v>1128</v>
      </c>
      <c r="B1191" s="8" t="s">
        <v>1110</v>
      </c>
      <c r="C1191" s="8" t="s">
        <v>73</v>
      </c>
      <c r="D1191" s="13">
        <v>45678</v>
      </c>
      <c r="E1191" s="9">
        <v>94188</v>
      </c>
    </row>
    <row r="1192" spans="1:5" x14ac:dyDescent="0.25">
      <c r="A1192" s="8" t="s">
        <v>1129</v>
      </c>
      <c r="B1192" s="8" t="s">
        <v>1110</v>
      </c>
      <c r="C1192" s="8" t="s">
        <v>71</v>
      </c>
      <c r="D1192" s="13">
        <v>45696</v>
      </c>
      <c r="E1192" s="9">
        <v>100252</v>
      </c>
    </row>
    <row r="1193" spans="1:5" x14ac:dyDescent="0.25">
      <c r="A1193" s="8" t="s">
        <v>1130</v>
      </c>
      <c r="B1193" s="8" t="s">
        <v>1110</v>
      </c>
      <c r="C1193" s="8" t="s">
        <v>12</v>
      </c>
      <c r="D1193" s="13">
        <v>45698</v>
      </c>
      <c r="E1193" s="9">
        <v>47248</v>
      </c>
    </row>
    <row r="1194" spans="1:5" x14ac:dyDescent="0.25">
      <c r="A1194" s="8" t="s">
        <v>1131</v>
      </c>
      <c r="B1194" s="8" t="s">
        <v>1110</v>
      </c>
      <c r="C1194" s="8" t="s">
        <v>110</v>
      </c>
      <c r="D1194" s="13">
        <v>45727</v>
      </c>
      <c r="E1194" s="9">
        <v>116654</v>
      </c>
    </row>
    <row r="1195" spans="1:5" x14ac:dyDescent="0.25">
      <c r="A1195" s="8" t="s">
        <v>1941</v>
      </c>
      <c r="B1195" s="8" t="s">
        <v>1110</v>
      </c>
      <c r="C1195" s="8" t="s">
        <v>6</v>
      </c>
      <c r="D1195" s="13">
        <v>45729</v>
      </c>
      <c r="E1195" s="9">
        <v>50837</v>
      </c>
    </row>
    <row r="1196" spans="1:5" x14ac:dyDescent="0.25">
      <c r="A1196" s="8" t="s">
        <v>1942</v>
      </c>
      <c r="B1196" s="8" t="s">
        <v>1110</v>
      </c>
      <c r="C1196" s="8" t="s">
        <v>50</v>
      </c>
      <c r="D1196" s="13">
        <v>45755</v>
      </c>
      <c r="E1196" s="9">
        <v>380062</v>
      </c>
    </row>
    <row r="1197" spans="1:5" x14ac:dyDescent="0.25">
      <c r="A1197" s="8" t="s">
        <v>1943</v>
      </c>
      <c r="B1197" s="8" t="s">
        <v>1110</v>
      </c>
      <c r="C1197" s="8" t="s">
        <v>17</v>
      </c>
      <c r="D1197" s="13">
        <v>45757</v>
      </c>
      <c r="E1197" s="9">
        <v>61522</v>
      </c>
    </row>
    <row r="1198" spans="1:5" x14ac:dyDescent="0.25">
      <c r="A1198" s="8" t="s">
        <v>1944</v>
      </c>
      <c r="B1198" s="8" t="s">
        <v>1110</v>
      </c>
      <c r="C1198" s="8" t="s">
        <v>48</v>
      </c>
      <c r="D1198" s="13">
        <v>45764</v>
      </c>
      <c r="E1198" s="9">
        <v>111315</v>
      </c>
    </row>
    <row r="1199" spans="1:5" x14ac:dyDescent="0.25">
      <c r="A1199" s="8" t="s">
        <v>1945</v>
      </c>
      <c r="B1199" s="8" t="s">
        <v>1110</v>
      </c>
      <c r="C1199" s="8" t="s">
        <v>17</v>
      </c>
      <c r="D1199" s="13">
        <v>45780</v>
      </c>
      <c r="E1199" s="9">
        <v>51801</v>
      </c>
    </row>
    <row r="1200" spans="1:5" x14ac:dyDescent="0.25">
      <c r="A1200" s="8" t="s">
        <v>1132</v>
      </c>
      <c r="B1200" s="8" t="s">
        <v>1133</v>
      </c>
      <c r="C1200" s="8" t="s">
        <v>27</v>
      </c>
      <c r="D1200" s="13">
        <v>45427</v>
      </c>
      <c r="E1200" s="9">
        <v>113624</v>
      </c>
    </row>
    <row r="1201" spans="1:5" x14ac:dyDescent="0.25">
      <c r="A1201" s="8" t="s">
        <v>1134</v>
      </c>
      <c r="B1201" s="8" t="s">
        <v>1133</v>
      </c>
      <c r="C1201" s="8" t="s">
        <v>44</v>
      </c>
      <c r="D1201" s="13">
        <v>45431</v>
      </c>
      <c r="E1201" s="9">
        <v>80792</v>
      </c>
    </row>
    <row r="1202" spans="1:5" x14ac:dyDescent="0.25">
      <c r="A1202" s="8" t="s">
        <v>1135</v>
      </c>
      <c r="B1202" s="8" t="s">
        <v>1133</v>
      </c>
      <c r="C1202" s="8" t="s">
        <v>37</v>
      </c>
      <c r="D1202" s="13">
        <v>45452</v>
      </c>
      <c r="E1202" s="9">
        <v>70981</v>
      </c>
    </row>
    <row r="1203" spans="1:5" x14ac:dyDescent="0.25">
      <c r="A1203" s="8" t="s">
        <v>1136</v>
      </c>
      <c r="B1203" s="8" t="s">
        <v>1133</v>
      </c>
      <c r="C1203" s="8" t="s">
        <v>37</v>
      </c>
      <c r="D1203" s="13">
        <v>45459</v>
      </c>
      <c r="E1203" s="9">
        <v>103818</v>
      </c>
    </row>
    <row r="1204" spans="1:5" x14ac:dyDescent="0.25">
      <c r="A1204" s="8" t="s">
        <v>1137</v>
      </c>
      <c r="B1204" s="8" t="s">
        <v>1133</v>
      </c>
      <c r="C1204" s="8" t="s">
        <v>21</v>
      </c>
      <c r="D1204" s="13">
        <v>45464</v>
      </c>
      <c r="E1204" s="9">
        <v>74995</v>
      </c>
    </row>
    <row r="1205" spans="1:5" x14ac:dyDescent="0.25">
      <c r="A1205" s="8" t="s">
        <v>1138</v>
      </c>
      <c r="B1205" s="8" t="s">
        <v>1133</v>
      </c>
      <c r="C1205" s="8" t="s">
        <v>35</v>
      </c>
      <c r="D1205" s="13">
        <v>45494</v>
      </c>
      <c r="E1205" s="9">
        <v>87131</v>
      </c>
    </row>
    <row r="1206" spans="1:5" x14ac:dyDescent="0.25">
      <c r="A1206" s="8" t="s">
        <v>1139</v>
      </c>
      <c r="B1206" s="8" t="s">
        <v>1133</v>
      </c>
      <c r="C1206" s="8" t="s">
        <v>29</v>
      </c>
      <c r="D1206" s="13">
        <v>45538</v>
      </c>
      <c r="E1206" s="9">
        <v>109653</v>
      </c>
    </row>
    <row r="1207" spans="1:5" x14ac:dyDescent="0.25">
      <c r="A1207" s="8" t="s">
        <v>1140</v>
      </c>
      <c r="B1207" s="8" t="s">
        <v>1133</v>
      </c>
      <c r="C1207" s="8" t="s">
        <v>8</v>
      </c>
      <c r="D1207" s="13">
        <v>45578</v>
      </c>
      <c r="E1207" s="9">
        <v>55862</v>
      </c>
    </row>
    <row r="1208" spans="1:5" x14ac:dyDescent="0.25">
      <c r="A1208" s="8" t="s">
        <v>1141</v>
      </c>
      <c r="B1208" s="8" t="s">
        <v>1133</v>
      </c>
      <c r="C1208" s="8" t="s">
        <v>37</v>
      </c>
      <c r="D1208" s="13">
        <v>45585</v>
      </c>
      <c r="E1208" s="9">
        <v>56904</v>
      </c>
    </row>
    <row r="1209" spans="1:5" x14ac:dyDescent="0.25">
      <c r="A1209" s="8" t="s">
        <v>1142</v>
      </c>
      <c r="B1209" s="8" t="s">
        <v>1133</v>
      </c>
      <c r="C1209" s="8" t="s">
        <v>19</v>
      </c>
      <c r="D1209" s="13">
        <v>45593</v>
      </c>
      <c r="E1209" s="9">
        <v>34190</v>
      </c>
    </row>
    <row r="1210" spans="1:5" x14ac:dyDescent="0.25">
      <c r="A1210" s="8" t="s">
        <v>1143</v>
      </c>
      <c r="B1210" s="8" t="s">
        <v>1133</v>
      </c>
      <c r="C1210" s="8" t="s">
        <v>19</v>
      </c>
      <c r="D1210" s="13">
        <v>45600</v>
      </c>
      <c r="E1210" s="9">
        <v>85261</v>
      </c>
    </row>
    <row r="1211" spans="1:5" x14ac:dyDescent="0.25">
      <c r="A1211" s="8" t="s">
        <v>1144</v>
      </c>
      <c r="B1211" s="8" t="s">
        <v>1133</v>
      </c>
      <c r="C1211" s="8" t="s">
        <v>21</v>
      </c>
      <c r="D1211" s="13">
        <v>45602</v>
      </c>
      <c r="E1211" s="9">
        <v>74808</v>
      </c>
    </row>
    <row r="1212" spans="1:5" x14ac:dyDescent="0.25">
      <c r="A1212" s="8" t="s">
        <v>1145</v>
      </c>
      <c r="B1212" s="8" t="s">
        <v>1133</v>
      </c>
      <c r="C1212" s="8" t="s">
        <v>48</v>
      </c>
      <c r="D1212" s="13">
        <v>45613</v>
      </c>
      <c r="E1212" s="9">
        <v>37119</v>
      </c>
    </row>
    <row r="1213" spans="1:5" x14ac:dyDescent="0.25">
      <c r="A1213" s="8" t="s">
        <v>1146</v>
      </c>
      <c r="B1213" s="8" t="s">
        <v>1133</v>
      </c>
      <c r="C1213" s="8" t="s">
        <v>110</v>
      </c>
      <c r="D1213" s="13">
        <v>45614</v>
      </c>
      <c r="E1213" s="9">
        <v>63007</v>
      </c>
    </row>
    <row r="1214" spans="1:5" x14ac:dyDescent="0.25">
      <c r="A1214" s="8" t="s">
        <v>1147</v>
      </c>
      <c r="B1214" s="8" t="s">
        <v>1133</v>
      </c>
      <c r="C1214" s="8" t="s">
        <v>21</v>
      </c>
      <c r="D1214" s="13">
        <v>45621</v>
      </c>
      <c r="E1214" s="9">
        <v>85010</v>
      </c>
    </row>
    <row r="1215" spans="1:5" x14ac:dyDescent="0.25">
      <c r="A1215" s="8" t="s">
        <v>1148</v>
      </c>
      <c r="B1215" s="8" t="s">
        <v>1133</v>
      </c>
      <c r="C1215" s="8" t="s">
        <v>23</v>
      </c>
      <c r="D1215" s="13">
        <v>45629</v>
      </c>
      <c r="E1215" s="9">
        <v>94982</v>
      </c>
    </row>
    <row r="1216" spans="1:5" x14ac:dyDescent="0.25">
      <c r="A1216" s="8" t="s">
        <v>1149</v>
      </c>
      <c r="B1216" s="8" t="s">
        <v>1133</v>
      </c>
      <c r="C1216" s="8" t="s">
        <v>50</v>
      </c>
      <c r="D1216" s="13">
        <v>45656</v>
      </c>
      <c r="E1216" s="9">
        <v>95077</v>
      </c>
    </row>
    <row r="1217" spans="1:5" x14ac:dyDescent="0.25">
      <c r="A1217" s="8" t="s">
        <v>1150</v>
      </c>
      <c r="B1217" s="8" t="s">
        <v>1133</v>
      </c>
      <c r="C1217" s="8" t="s">
        <v>23</v>
      </c>
      <c r="D1217" s="13">
        <v>45670</v>
      </c>
      <c r="E1217" s="9">
        <v>65180</v>
      </c>
    </row>
    <row r="1218" spans="1:5" x14ac:dyDescent="0.25">
      <c r="A1218" s="8" t="s">
        <v>1151</v>
      </c>
      <c r="B1218" s="8" t="s">
        <v>1133</v>
      </c>
      <c r="C1218" s="8" t="s">
        <v>21</v>
      </c>
      <c r="D1218" s="13">
        <v>45694</v>
      </c>
      <c r="E1218" s="9">
        <v>92549</v>
      </c>
    </row>
    <row r="1219" spans="1:5" x14ac:dyDescent="0.25">
      <c r="A1219" s="8" t="s">
        <v>1152</v>
      </c>
      <c r="B1219" s="8" t="s">
        <v>1133</v>
      </c>
      <c r="C1219" s="8" t="s">
        <v>12</v>
      </c>
      <c r="D1219" s="13">
        <v>45703</v>
      </c>
      <c r="E1219" s="9">
        <v>70572</v>
      </c>
    </row>
    <row r="1220" spans="1:5" x14ac:dyDescent="0.25">
      <c r="A1220" s="8" t="s">
        <v>1153</v>
      </c>
      <c r="B1220" s="8" t="s">
        <v>1133</v>
      </c>
      <c r="C1220" s="8" t="s">
        <v>110</v>
      </c>
      <c r="D1220" s="13">
        <v>45715</v>
      </c>
      <c r="E1220" s="9">
        <v>98243</v>
      </c>
    </row>
    <row r="1221" spans="1:5" x14ac:dyDescent="0.25">
      <c r="A1221" s="8" t="s">
        <v>1154</v>
      </c>
      <c r="B1221" s="8" t="s">
        <v>1133</v>
      </c>
      <c r="C1221" s="8" t="s">
        <v>37</v>
      </c>
      <c r="D1221" s="13">
        <v>45733</v>
      </c>
      <c r="E1221" s="9">
        <v>66076</v>
      </c>
    </row>
    <row r="1222" spans="1:5" x14ac:dyDescent="0.25">
      <c r="A1222" s="8" t="s">
        <v>1155</v>
      </c>
      <c r="B1222" s="8" t="s">
        <v>1133</v>
      </c>
      <c r="C1222" s="8" t="s">
        <v>25</v>
      </c>
      <c r="D1222" s="13">
        <v>45735</v>
      </c>
      <c r="E1222" s="9">
        <v>39888</v>
      </c>
    </row>
    <row r="1223" spans="1:5" x14ac:dyDescent="0.25">
      <c r="A1223" s="8" t="s">
        <v>1156</v>
      </c>
      <c r="B1223" s="8" t="s">
        <v>1133</v>
      </c>
      <c r="C1223" s="8" t="s">
        <v>48</v>
      </c>
      <c r="D1223" s="13">
        <v>45739</v>
      </c>
      <c r="E1223" s="9">
        <v>63770</v>
      </c>
    </row>
    <row r="1224" spans="1:5" x14ac:dyDescent="0.25">
      <c r="A1224" s="8" t="s">
        <v>1157</v>
      </c>
      <c r="B1224" s="8" t="s">
        <v>1133</v>
      </c>
      <c r="C1224" s="8" t="s">
        <v>10</v>
      </c>
      <c r="D1224" s="13">
        <v>45745</v>
      </c>
      <c r="E1224" s="9">
        <v>50862</v>
      </c>
    </row>
    <row r="1225" spans="1:5" x14ac:dyDescent="0.25">
      <c r="A1225" s="8" t="s">
        <v>1158</v>
      </c>
      <c r="B1225" s="8" t="s">
        <v>1133</v>
      </c>
      <c r="C1225" s="8" t="s">
        <v>23</v>
      </c>
      <c r="D1225" s="13">
        <v>45753</v>
      </c>
      <c r="E1225" s="9">
        <v>33663</v>
      </c>
    </row>
    <row r="1226" spans="1:5" x14ac:dyDescent="0.25">
      <c r="A1226" s="8" t="s">
        <v>1159</v>
      </c>
      <c r="B1226" s="8" t="s">
        <v>1133</v>
      </c>
      <c r="C1226" s="8" t="s">
        <v>10</v>
      </c>
      <c r="D1226" s="13">
        <v>45762</v>
      </c>
      <c r="E1226" s="9">
        <v>52196</v>
      </c>
    </row>
    <row r="1227" spans="1:5" x14ac:dyDescent="0.25">
      <c r="A1227" s="8" t="s">
        <v>1160</v>
      </c>
      <c r="B1227" s="8" t="s">
        <v>1133</v>
      </c>
      <c r="C1227" s="8" t="s">
        <v>12</v>
      </c>
      <c r="D1227" s="13">
        <v>45763</v>
      </c>
      <c r="E1227" s="9">
        <v>59968</v>
      </c>
    </row>
    <row r="1228" spans="1:5" x14ac:dyDescent="0.25">
      <c r="A1228" s="8" t="s">
        <v>1161</v>
      </c>
      <c r="B1228" s="8" t="s">
        <v>1133</v>
      </c>
      <c r="C1228" s="8" t="s">
        <v>108</v>
      </c>
      <c r="D1228" s="13">
        <v>45763</v>
      </c>
      <c r="E1228" s="9">
        <v>90947</v>
      </c>
    </row>
    <row r="1229" spans="1:5" x14ac:dyDescent="0.25">
      <c r="A1229" s="8" t="s">
        <v>1162</v>
      </c>
      <c r="B1229" s="8" t="s">
        <v>1133</v>
      </c>
      <c r="C1229" s="8" t="s">
        <v>44</v>
      </c>
      <c r="D1229" s="13">
        <v>45771</v>
      </c>
      <c r="E1229" s="9">
        <v>94013</v>
      </c>
    </row>
    <row r="1230" spans="1:5" x14ac:dyDescent="0.25">
      <c r="A1230" s="8" t="s">
        <v>1163</v>
      </c>
      <c r="B1230" s="8" t="s">
        <v>1133</v>
      </c>
      <c r="C1230" s="8" t="s">
        <v>48</v>
      </c>
      <c r="D1230" s="13">
        <v>45775</v>
      </c>
      <c r="E1230" s="9">
        <v>60971</v>
      </c>
    </row>
    <row r="1231" spans="1:5" x14ac:dyDescent="0.25">
      <c r="A1231" s="8" t="s">
        <v>1164</v>
      </c>
      <c r="B1231" s="8" t="s">
        <v>1133</v>
      </c>
      <c r="C1231" s="8" t="s">
        <v>21</v>
      </c>
      <c r="D1231" s="13">
        <v>45781</v>
      </c>
      <c r="E1231" s="9">
        <v>79456</v>
      </c>
    </row>
    <row r="1232" spans="1:5" x14ac:dyDescent="0.25">
      <c r="A1232" s="8" t="s">
        <v>1165</v>
      </c>
      <c r="B1232" s="8" t="s">
        <v>1133</v>
      </c>
      <c r="C1232" s="8" t="s">
        <v>108</v>
      </c>
      <c r="D1232" s="13">
        <v>45782</v>
      </c>
      <c r="E1232" s="9">
        <v>96901</v>
      </c>
    </row>
    <row r="1233" spans="1:5" x14ac:dyDescent="0.25">
      <c r="A1233" s="8" t="s">
        <v>1166</v>
      </c>
      <c r="B1233" s="8" t="s">
        <v>1133</v>
      </c>
      <c r="C1233" s="8" t="s">
        <v>108</v>
      </c>
      <c r="D1233" s="13">
        <v>45804</v>
      </c>
      <c r="E1233" s="9">
        <v>61654</v>
      </c>
    </row>
    <row r="1234" spans="1:5" x14ac:dyDescent="0.25">
      <c r="A1234" s="8" t="s">
        <v>1167</v>
      </c>
      <c r="B1234" s="8" t="s">
        <v>1133</v>
      </c>
      <c r="C1234" s="8" t="s">
        <v>55</v>
      </c>
      <c r="D1234" s="13">
        <v>45816</v>
      </c>
      <c r="E1234" s="9">
        <v>87341</v>
      </c>
    </row>
    <row r="1235" spans="1:5" x14ac:dyDescent="0.25">
      <c r="A1235" s="8" t="s">
        <v>1168</v>
      </c>
      <c r="B1235" s="8" t="s">
        <v>1133</v>
      </c>
      <c r="C1235" s="8" t="s">
        <v>14</v>
      </c>
      <c r="D1235" s="13">
        <v>45817</v>
      </c>
      <c r="E1235" s="9">
        <v>68793</v>
      </c>
    </row>
    <row r="1236" spans="1:5" x14ac:dyDescent="0.25">
      <c r="A1236" s="8" t="s">
        <v>1169</v>
      </c>
      <c r="B1236" s="8" t="s">
        <v>1133</v>
      </c>
      <c r="C1236" s="8" t="s">
        <v>21</v>
      </c>
      <c r="D1236" s="13">
        <v>45824</v>
      </c>
      <c r="E1236" s="9">
        <v>79592</v>
      </c>
    </row>
    <row r="1237" spans="1:5" x14ac:dyDescent="0.25">
      <c r="A1237" s="8" t="s">
        <v>1170</v>
      </c>
      <c r="B1237" s="8" t="s">
        <v>1171</v>
      </c>
      <c r="C1237" s="8" t="s">
        <v>10</v>
      </c>
      <c r="D1237" s="13">
        <v>45251</v>
      </c>
      <c r="E1237" s="9">
        <v>56012</v>
      </c>
    </row>
    <row r="1238" spans="1:5" x14ac:dyDescent="0.25">
      <c r="A1238" s="8" t="s">
        <v>1172</v>
      </c>
      <c r="B1238" s="8" t="s">
        <v>1171</v>
      </c>
      <c r="C1238" s="8" t="s">
        <v>108</v>
      </c>
      <c r="D1238" s="13">
        <v>45271</v>
      </c>
      <c r="E1238" s="9">
        <v>52238</v>
      </c>
    </row>
    <row r="1239" spans="1:5" x14ac:dyDescent="0.25">
      <c r="A1239" s="8" t="s">
        <v>1173</v>
      </c>
      <c r="B1239" s="8" t="s">
        <v>1171</v>
      </c>
      <c r="C1239" s="8" t="s">
        <v>29</v>
      </c>
      <c r="D1239" s="13">
        <v>45302</v>
      </c>
      <c r="E1239" s="9">
        <v>43099</v>
      </c>
    </row>
    <row r="1240" spans="1:5" x14ac:dyDescent="0.25">
      <c r="A1240" s="8" t="s">
        <v>1174</v>
      </c>
      <c r="B1240" s="8" t="s">
        <v>1171</v>
      </c>
      <c r="C1240" s="8" t="s">
        <v>27</v>
      </c>
      <c r="D1240" s="13">
        <v>45303</v>
      </c>
      <c r="E1240" s="9">
        <v>71479</v>
      </c>
    </row>
    <row r="1241" spans="1:5" x14ac:dyDescent="0.25">
      <c r="A1241" s="8" t="s">
        <v>1175</v>
      </c>
      <c r="B1241" s="8" t="s">
        <v>1171</v>
      </c>
      <c r="C1241" s="8" t="s">
        <v>10</v>
      </c>
      <c r="D1241" s="13">
        <v>45304</v>
      </c>
      <c r="E1241" s="9">
        <v>57340</v>
      </c>
    </row>
    <row r="1242" spans="1:5" x14ac:dyDescent="0.25">
      <c r="A1242" s="8" t="s">
        <v>1176</v>
      </c>
      <c r="B1242" s="8" t="s">
        <v>1171</v>
      </c>
      <c r="C1242" s="8" t="s">
        <v>29</v>
      </c>
      <c r="D1242" s="13">
        <v>45324</v>
      </c>
      <c r="E1242" s="9">
        <v>68017</v>
      </c>
    </row>
    <row r="1243" spans="1:5" x14ac:dyDescent="0.25">
      <c r="A1243" s="8" t="s">
        <v>1177</v>
      </c>
      <c r="B1243" s="8" t="s">
        <v>1171</v>
      </c>
      <c r="C1243" s="8" t="s">
        <v>109</v>
      </c>
      <c r="D1243" s="13">
        <v>45331</v>
      </c>
      <c r="E1243" s="9">
        <v>44349</v>
      </c>
    </row>
    <row r="1244" spans="1:5" x14ac:dyDescent="0.25">
      <c r="A1244" s="8" t="s">
        <v>1178</v>
      </c>
      <c r="B1244" s="8" t="s">
        <v>1171</v>
      </c>
      <c r="C1244" s="8" t="s">
        <v>33</v>
      </c>
      <c r="D1244" s="13">
        <v>45364</v>
      </c>
      <c r="E1244" s="9">
        <v>58403</v>
      </c>
    </row>
    <row r="1245" spans="1:5" x14ac:dyDescent="0.25">
      <c r="A1245" s="8" t="s">
        <v>1179</v>
      </c>
      <c r="B1245" s="8" t="s">
        <v>1171</v>
      </c>
      <c r="C1245" s="8" t="s">
        <v>108</v>
      </c>
      <c r="D1245" s="13">
        <v>45374</v>
      </c>
      <c r="E1245" s="9">
        <v>50180</v>
      </c>
    </row>
    <row r="1246" spans="1:5" x14ac:dyDescent="0.25">
      <c r="A1246" s="8" t="s">
        <v>1180</v>
      </c>
      <c r="B1246" s="8" t="s">
        <v>1171</v>
      </c>
      <c r="C1246" s="8" t="s">
        <v>109</v>
      </c>
      <c r="D1246" s="13">
        <v>45377</v>
      </c>
      <c r="E1246" s="9">
        <v>71982</v>
      </c>
    </row>
    <row r="1247" spans="1:5" x14ac:dyDescent="0.25">
      <c r="A1247" s="8" t="s">
        <v>1181</v>
      </c>
      <c r="B1247" s="8" t="s">
        <v>1171</v>
      </c>
      <c r="C1247" s="8" t="s">
        <v>12</v>
      </c>
      <c r="D1247" s="13">
        <v>45377</v>
      </c>
      <c r="E1247" s="9">
        <v>27613</v>
      </c>
    </row>
    <row r="1248" spans="1:5" x14ac:dyDescent="0.25">
      <c r="A1248" s="8" t="s">
        <v>1182</v>
      </c>
      <c r="B1248" s="8" t="s">
        <v>1171</v>
      </c>
      <c r="C1248" s="8" t="s">
        <v>10</v>
      </c>
      <c r="D1248" s="13">
        <v>45378</v>
      </c>
      <c r="E1248" s="9">
        <v>249614</v>
      </c>
    </row>
    <row r="1249" spans="1:5" x14ac:dyDescent="0.25">
      <c r="A1249" s="8" t="s">
        <v>1183</v>
      </c>
      <c r="B1249" s="8" t="s">
        <v>1171</v>
      </c>
      <c r="C1249" s="8" t="s">
        <v>73</v>
      </c>
      <c r="D1249" s="13">
        <v>45398</v>
      </c>
      <c r="E1249" s="9">
        <v>30574</v>
      </c>
    </row>
    <row r="1250" spans="1:5" x14ac:dyDescent="0.25">
      <c r="A1250" s="8" t="s">
        <v>1184</v>
      </c>
      <c r="B1250" s="8" t="s">
        <v>1171</v>
      </c>
      <c r="C1250" s="8" t="s">
        <v>91</v>
      </c>
      <c r="D1250" s="13">
        <v>45406</v>
      </c>
      <c r="E1250" s="9">
        <v>59818</v>
      </c>
    </row>
    <row r="1251" spans="1:5" x14ac:dyDescent="0.25">
      <c r="A1251" s="8" t="s">
        <v>1185</v>
      </c>
      <c r="B1251" s="8" t="s">
        <v>1171</v>
      </c>
      <c r="C1251" s="8" t="s">
        <v>27</v>
      </c>
      <c r="D1251" s="13">
        <v>45412</v>
      </c>
      <c r="E1251" s="9">
        <v>65885</v>
      </c>
    </row>
    <row r="1252" spans="1:5" x14ac:dyDescent="0.25">
      <c r="A1252" s="8" t="s">
        <v>1186</v>
      </c>
      <c r="B1252" s="8" t="s">
        <v>1171</v>
      </c>
      <c r="C1252" s="8" t="s">
        <v>108</v>
      </c>
      <c r="D1252" s="13">
        <v>45431</v>
      </c>
      <c r="E1252" s="9">
        <v>27700</v>
      </c>
    </row>
    <row r="1253" spans="1:5" x14ac:dyDescent="0.25">
      <c r="A1253" s="8" t="s">
        <v>1187</v>
      </c>
      <c r="B1253" s="8" t="s">
        <v>1171</v>
      </c>
      <c r="C1253" s="8" t="s">
        <v>14</v>
      </c>
      <c r="D1253" s="13">
        <v>45436</v>
      </c>
      <c r="E1253" s="9">
        <v>68020</v>
      </c>
    </row>
    <row r="1254" spans="1:5" x14ac:dyDescent="0.25">
      <c r="A1254" s="8" t="s">
        <v>1188</v>
      </c>
      <c r="B1254" s="8" t="s">
        <v>1171</v>
      </c>
      <c r="C1254" s="8" t="s">
        <v>19</v>
      </c>
      <c r="D1254" s="13">
        <v>45468</v>
      </c>
      <c r="E1254" s="9">
        <v>70118</v>
      </c>
    </row>
    <row r="1255" spans="1:5" x14ac:dyDescent="0.25">
      <c r="A1255" s="8" t="s">
        <v>1189</v>
      </c>
      <c r="B1255" s="8" t="s">
        <v>1171</v>
      </c>
      <c r="C1255" s="8" t="s">
        <v>108</v>
      </c>
      <c r="D1255" s="13">
        <v>45482</v>
      </c>
      <c r="E1255" s="9">
        <v>27796</v>
      </c>
    </row>
    <row r="1256" spans="1:5" x14ac:dyDescent="0.25">
      <c r="A1256" s="8" t="s">
        <v>1190</v>
      </c>
      <c r="B1256" s="8" t="s">
        <v>1171</v>
      </c>
      <c r="C1256" s="8" t="s">
        <v>23</v>
      </c>
      <c r="D1256" s="13">
        <v>45491</v>
      </c>
      <c r="E1256" s="9">
        <v>40393</v>
      </c>
    </row>
    <row r="1257" spans="1:5" x14ac:dyDescent="0.25">
      <c r="A1257" s="8" t="s">
        <v>1191</v>
      </c>
      <c r="B1257" s="8" t="s">
        <v>1171</v>
      </c>
      <c r="C1257" s="8" t="s">
        <v>50</v>
      </c>
      <c r="D1257" s="13">
        <v>45494</v>
      </c>
      <c r="E1257" s="9">
        <v>44968</v>
      </c>
    </row>
    <row r="1258" spans="1:5" x14ac:dyDescent="0.25">
      <c r="A1258" s="8" t="s">
        <v>1192</v>
      </c>
      <c r="B1258" s="8" t="s">
        <v>1171</v>
      </c>
      <c r="C1258" s="8" t="s">
        <v>44</v>
      </c>
      <c r="D1258" s="13">
        <v>45506</v>
      </c>
      <c r="E1258" s="9">
        <v>77058</v>
      </c>
    </row>
    <row r="1259" spans="1:5" x14ac:dyDescent="0.25">
      <c r="A1259" s="8" t="s">
        <v>1193</v>
      </c>
      <c r="B1259" s="8" t="s">
        <v>1171</v>
      </c>
      <c r="C1259" s="8" t="s">
        <v>25</v>
      </c>
      <c r="D1259" s="13">
        <v>45520</v>
      </c>
      <c r="E1259" s="9">
        <v>69757</v>
      </c>
    </row>
    <row r="1260" spans="1:5" x14ac:dyDescent="0.25">
      <c r="A1260" s="8" t="s">
        <v>1194</v>
      </c>
      <c r="B1260" s="8" t="s">
        <v>1171</v>
      </c>
      <c r="C1260" s="8" t="s">
        <v>109</v>
      </c>
      <c r="D1260" s="13">
        <v>45538</v>
      </c>
      <c r="E1260" s="9">
        <v>68558</v>
      </c>
    </row>
    <row r="1261" spans="1:5" x14ac:dyDescent="0.25">
      <c r="A1261" s="8" t="s">
        <v>1195</v>
      </c>
      <c r="B1261" s="8" t="s">
        <v>1171</v>
      </c>
      <c r="C1261" s="8" t="s">
        <v>8</v>
      </c>
      <c r="D1261" s="13">
        <v>45543</v>
      </c>
      <c r="E1261" s="9">
        <v>57176</v>
      </c>
    </row>
    <row r="1262" spans="1:5" x14ac:dyDescent="0.25">
      <c r="A1262" s="8" t="s">
        <v>1196</v>
      </c>
      <c r="B1262" s="8" t="s">
        <v>1171</v>
      </c>
      <c r="C1262" s="8" t="s">
        <v>33</v>
      </c>
      <c r="D1262" s="13">
        <v>45547</v>
      </c>
      <c r="E1262" s="9">
        <v>44947</v>
      </c>
    </row>
    <row r="1263" spans="1:5" x14ac:dyDescent="0.25">
      <c r="A1263" s="8" t="s">
        <v>1197</v>
      </c>
      <c r="B1263" s="8" t="s">
        <v>1171</v>
      </c>
      <c r="C1263" s="8" t="s">
        <v>33</v>
      </c>
      <c r="D1263" s="13">
        <v>45554</v>
      </c>
      <c r="E1263" s="9">
        <v>47538</v>
      </c>
    </row>
    <row r="1264" spans="1:5" x14ac:dyDescent="0.25">
      <c r="A1264" s="8" t="s">
        <v>1198</v>
      </c>
      <c r="B1264" s="8" t="s">
        <v>1171</v>
      </c>
      <c r="C1264" s="8" t="s">
        <v>19</v>
      </c>
      <c r="D1264" s="13">
        <v>45580</v>
      </c>
      <c r="E1264" s="9">
        <v>35265</v>
      </c>
    </row>
    <row r="1265" spans="1:5" x14ac:dyDescent="0.25">
      <c r="A1265" s="8" t="s">
        <v>1199</v>
      </c>
      <c r="B1265" s="8" t="s">
        <v>1171</v>
      </c>
      <c r="C1265" s="8" t="s">
        <v>10</v>
      </c>
      <c r="D1265" s="13">
        <v>45584</v>
      </c>
      <c r="E1265" s="9">
        <v>64379</v>
      </c>
    </row>
    <row r="1266" spans="1:5" x14ac:dyDescent="0.25">
      <c r="A1266" s="8" t="s">
        <v>1200</v>
      </c>
      <c r="B1266" s="8" t="s">
        <v>1171</v>
      </c>
      <c r="C1266" s="8" t="s">
        <v>35</v>
      </c>
      <c r="D1266" s="13">
        <v>45585</v>
      </c>
      <c r="E1266" s="9">
        <v>63893</v>
      </c>
    </row>
    <row r="1267" spans="1:5" x14ac:dyDescent="0.25">
      <c r="A1267" s="8" t="s">
        <v>1201</v>
      </c>
      <c r="B1267" s="8" t="s">
        <v>1171</v>
      </c>
      <c r="C1267" s="8" t="s">
        <v>44</v>
      </c>
      <c r="D1267" s="13">
        <v>45601</v>
      </c>
      <c r="E1267" s="9">
        <v>31345</v>
      </c>
    </row>
    <row r="1268" spans="1:5" x14ac:dyDescent="0.25">
      <c r="A1268" s="8" t="s">
        <v>1202</v>
      </c>
      <c r="B1268" s="8" t="s">
        <v>1171</v>
      </c>
      <c r="C1268" s="8" t="s">
        <v>8</v>
      </c>
      <c r="D1268" s="13">
        <v>45605</v>
      </c>
      <c r="E1268" s="9">
        <v>59246</v>
      </c>
    </row>
    <row r="1269" spans="1:5" x14ac:dyDescent="0.25">
      <c r="A1269" s="8" t="s">
        <v>1203</v>
      </c>
      <c r="B1269" s="8" t="s">
        <v>1171</v>
      </c>
      <c r="C1269" s="8" t="s">
        <v>110</v>
      </c>
      <c r="D1269" s="13">
        <v>45612</v>
      </c>
      <c r="E1269" s="9">
        <v>48417</v>
      </c>
    </row>
    <row r="1270" spans="1:5" x14ac:dyDescent="0.25">
      <c r="A1270" s="8" t="s">
        <v>1204</v>
      </c>
      <c r="B1270" s="8" t="s">
        <v>1171</v>
      </c>
      <c r="C1270" s="8" t="s">
        <v>48</v>
      </c>
      <c r="D1270" s="13">
        <v>45615</v>
      </c>
      <c r="E1270" s="9">
        <v>63409</v>
      </c>
    </row>
    <row r="1271" spans="1:5" x14ac:dyDescent="0.25">
      <c r="A1271" s="8" t="s">
        <v>1205</v>
      </c>
      <c r="B1271" s="8" t="s">
        <v>1171</v>
      </c>
      <c r="C1271" s="8" t="s">
        <v>110</v>
      </c>
      <c r="D1271" s="13">
        <v>45629</v>
      </c>
      <c r="E1271" s="9">
        <v>50127</v>
      </c>
    </row>
    <row r="1272" spans="1:5" x14ac:dyDescent="0.25">
      <c r="A1272" s="8" t="s">
        <v>1206</v>
      </c>
      <c r="B1272" s="8" t="s">
        <v>1171</v>
      </c>
      <c r="C1272" s="8" t="s">
        <v>33</v>
      </c>
      <c r="D1272" s="13">
        <v>45635</v>
      </c>
      <c r="E1272" s="9">
        <v>26020</v>
      </c>
    </row>
    <row r="1273" spans="1:5" x14ac:dyDescent="0.25">
      <c r="A1273" s="8" t="s">
        <v>1207</v>
      </c>
      <c r="B1273" s="8" t="s">
        <v>1171</v>
      </c>
      <c r="C1273" s="8" t="s">
        <v>48</v>
      </c>
      <c r="D1273" s="13">
        <v>45641</v>
      </c>
      <c r="E1273" s="9">
        <v>57212</v>
      </c>
    </row>
    <row r="1274" spans="1:5" x14ac:dyDescent="0.25">
      <c r="A1274" s="8" t="s">
        <v>1208</v>
      </c>
      <c r="B1274" s="8" t="s">
        <v>1171</v>
      </c>
      <c r="C1274" s="8" t="s">
        <v>23</v>
      </c>
      <c r="D1274" s="13">
        <v>45647</v>
      </c>
      <c r="E1274" s="9">
        <v>32361</v>
      </c>
    </row>
    <row r="1275" spans="1:5" x14ac:dyDescent="0.25">
      <c r="A1275" s="8" t="s">
        <v>1209</v>
      </c>
      <c r="B1275" s="8" t="s">
        <v>1171</v>
      </c>
      <c r="C1275" s="8" t="s">
        <v>33</v>
      </c>
      <c r="D1275" s="13">
        <v>45648</v>
      </c>
      <c r="E1275" s="9">
        <v>24965</v>
      </c>
    </row>
    <row r="1276" spans="1:5" x14ac:dyDescent="0.25">
      <c r="A1276" s="8" t="s">
        <v>1210</v>
      </c>
      <c r="B1276" s="8" t="s">
        <v>1171</v>
      </c>
      <c r="C1276" s="8" t="s">
        <v>108</v>
      </c>
      <c r="D1276" s="13">
        <v>45650</v>
      </c>
      <c r="E1276" s="9">
        <v>45602</v>
      </c>
    </row>
    <row r="1277" spans="1:5" x14ac:dyDescent="0.25">
      <c r="A1277" s="8" t="s">
        <v>1211</v>
      </c>
      <c r="B1277" s="8" t="s">
        <v>1171</v>
      </c>
      <c r="C1277" s="8" t="s">
        <v>21</v>
      </c>
      <c r="D1277" s="13">
        <v>45655</v>
      </c>
      <c r="E1277" s="9">
        <v>37579</v>
      </c>
    </row>
    <row r="1278" spans="1:5" x14ac:dyDescent="0.25">
      <c r="A1278" s="8" t="s">
        <v>1212</v>
      </c>
      <c r="B1278" s="8" t="s">
        <v>1171</v>
      </c>
      <c r="C1278" s="8" t="s">
        <v>37</v>
      </c>
      <c r="D1278" s="13">
        <v>45660</v>
      </c>
      <c r="E1278" s="9">
        <v>46447</v>
      </c>
    </row>
    <row r="1279" spans="1:5" x14ac:dyDescent="0.25">
      <c r="A1279" s="8" t="s">
        <v>1213</v>
      </c>
      <c r="B1279" s="8" t="s">
        <v>1171</v>
      </c>
      <c r="C1279" s="8" t="s">
        <v>110</v>
      </c>
      <c r="D1279" s="13">
        <v>45683</v>
      </c>
      <c r="E1279" s="9">
        <v>45527</v>
      </c>
    </row>
    <row r="1280" spans="1:5" x14ac:dyDescent="0.25">
      <c r="A1280" s="8" t="s">
        <v>1214</v>
      </c>
      <c r="B1280" s="8" t="s">
        <v>1171</v>
      </c>
      <c r="C1280" s="8" t="s">
        <v>29</v>
      </c>
      <c r="D1280" s="13">
        <v>45688</v>
      </c>
      <c r="E1280" s="9">
        <v>64982</v>
      </c>
    </row>
    <row r="1281" spans="1:5" x14ac:dyDescent="0.25">
      <c r="A1281" s="8" t="s">
        <v>1215</v>
      </c>
      <c r="B1281" s="8" t="s">
        <v>1171</v>
      </c>
      <c r="C1281" s="8" t="s">
        <v>48</v>
      </c>
      <c r="D1281" s="13">
        <v>45688</v>
      </c>
      <c r="E1281" s="9">
        <v>38951</v>
      </c>
    </row>
    <row r="1282" spans="1:5" x14ac:dyDescent="0.25">
      <c r="A1282" s="8" t="s">
        <v>1216</v>
      </c>
      <c r="B1282" s="8" t="s">
        <v>1171</v>
      </c>
      <c r="C1282" s="8" t="s">
        <v>8</v>
      </c>
      <c r="D1282" s="13">
        <v>45694</v>
      </c>
      <c r="E1282" s="9">
        <v>52796</v>
      </c>
    </row>
    <row r="1283" spans="1:5" x14ac:dyDescent="0.25">
      <c r="A1283" s="8" t="s">
        <v>1217</v>
      </c>
      <c r="B1283" s="8" t="s">
        <v>1171</v>
      </c>
      <c r="C1283" s="8" t="s">
        <v>8</v>
      </c>
      <c r="D1283" s="13">
        <v>45704</v>
      </c>
      <c r="E1283" s="9">
        <v>49273</v>
      </c>
    </row>
    <row r="1284" spans="1:5" x14ac:dyDescent="0.25">
      <c r="A1284" s="8" t="s">
        <v>1218</v>
      </c>
      <c r="B1284" s="8" t="s">
        <v>1171</v>
      </c>
      <c r="C1284" s="8" t="s">
        <v>12</v>
      </c>
      <c r="D1284" s="13">
        <v>45736</v>
      </c>
      <c r="E1284" s="9">
        <v>61723</v>
      </c>
    </row>
    <row r="1285" spans="1:5" x14ac:dyDescent="0.25">
      <c r="A1285" s="8" t="s">
        <v>1219</v>
      </c>
      <c r="B1285" s="8" t="s">
        <v>1171</v>
      </c>
      <c r="C1285" s="8" t="s">
        <v>71</v>
      </c>
      <c r="D1285" s="13">
        <v>45737</v>
      </c>
      <c r="E1285" s="9">
        <v>54512</v>
      </c>
    </row>
    <row r="1286" spans="1:5" x14ac:dyDescent="0.25">
      <c r="A1286" s="8" t="s">
        <v>1220</v>
      </c>
      <c r="B1286" s="8" t="s">
        <v>1171</v>
      </c>
      <c r="C1286" s="8" t="s">
        <v>17</v>
      </c>
      <c r="D1286" s="13">
        <v>45752</v>
      </c>
      <c r="E1286" s="9">
        <v>33358</v>
      </c>
    </row>
    <row r="1287" spans="1:5" x14ac:dyDescent="0.25">
      <c r="A1287" s="8" t="s">
        <v>1221</v>
      </c>
      <c r="B1287" s="8" t="s">
        <v>1171</v>
      </c>
      <c r="C1287" s="8" t="s">
        <v>29</v>
      </c>
      <c r="D1287" s="13">
        <v>45760</v>
      </c>
      <c r="E1287" s="9">
        <v>24997</v>
      </c>
    </row>
    <row r="1288" spans="1:5" x14ac:dyDescent="0.25">
      <c r="A1288" s="8" t="s">
        <v>1222</v>
      </c>
      <c r="B1288" s="8" t="s">
        <v>1171</v>
      </c>
      <c r="C1288" s="8" t="s">
        <v>108</v>
      </c>
      <c r="D1288" s="13">
        <v>45775</v>
      </c>
      <c r="E1288" s="9">
        <v>24138</v>
      </c>
    </row>
    <row r="1289" spans="1:5" x14ac:dyDescent="0.25">
      <c r="A1289" s="8" t="s">
        <v>1223</v>
      </c>
      <c r="B1289" s="8" t="s">
        <v>1171</v>
      </c>
      <c r="C1289" s="8" t="s">
        <v>33</v>
      </c>
      <c r="D1289" s="13">
        <v>45788</v>
      </c>
      <c r="E1289" s="9">
        <v>61229</v>
      </c>
    </row>
    <row r="1290" spans="1:5" x14ac:dyDescent="0.25">
      <c r="A1290" s="8" t="s">
        <v>1224</v>
      </c>
      <c r="B1290" s="8" t="s">
        <v>1171</v>
      </c>
      <c r="C1290" s="8" t="s">
        <v>19</v>
      </c>
      <c r="D1290" s="13">
        <v>45791</v>
      </c>
      <c r="E1290" s="9">
        <v>24027</v>
      </c>
    </row>
    <row r="1291" spans="1:5" x14ac:dyDescent="0.25">
      <c r="A1291" s="8" t="s">
        <v>1225</v>
      </c>
      <c r="B1291" s="8" t="s">
        <v>1171</v>
      </c>
      <c r="C1291" s="8" t="s">
        <v>109</v>
      </c>
      <c r="D1291" s="13">
        <v>45815</v>
      </c>
      <c r="E1291" s="9">
        <v>30541</v>
      </c>
    </row>
    <row r="1292" spans="1:5" x14ac:dyDescent="0.25">
      <c r="A1292" s="8" t="s">
        <v>1226</v>
      </c>
      <c r="B1292" s="8" t="s">
        <v>1171</v>
      </c>
      <c r="C1292" s="8" t="s">
        <v>14</v>
      </c>
      <c r="D1292" s="13">
        <v>45819</v>
      </c>
      <c r="E1292" s="9">
        <v>57009</v>
      </c>
    </row>
    <row r="1293" spans="1:5" x14ac:dyDescent="0.25">
      <c r="A1293" s="8" t="s">
        <v>1227</v>
      </c>
      <c r="B1293" s="8" t="s">
        <v>1171</v>
      </c>
      <c r="C1293" s="8" t="s">
        <v>109</v>
      </c>
      <c r="D1293" s="13">
        <v>45841</v>
      </c>
      <c r="E1293" s="9">
        <v>59194</v>
      </c>
    </row>
    <row r="1294" spans="1:5" x14ac:dyDescent="0.25">
      <c r="A1294" s="8" t="s">
        <v>1228</v>
      </c>
      <c r="B1294" s="8" t="s">
        <v>1171</v>
      </c>
      <c r="C1294" s="8" t="s">
        <v>109</v>
      </c>
      <c r="D1294" s="13">
        <v>45847</v>
      </c>
      <c r="E1294" s="9">
        <v>64042</v>
      </c>
    </row>
    <row r="1295" spans="1:5" x14ac:dyDescent="0.25">
      <c r="A1295" s="8" t="s">
        <v>1229</v>
      </c>
      <c r="B1295" s="8" t="s">
        <v>1171</v>
      </c>
      <c r="C1295" s="8" t="s">
        <v>10</v>
      </c>
      <c r="D1295" s="13">
        <v>45876</v>
      </c>
      <c r="E1295" s="9">
        <v>40147</v>
      </c>
    </row>
    <row r="1296" spans="1:5" x14ac:dyDescent="0.25">
      <c r="A1296" s="8" t="s">
        <v>1230</v>
      </c>
      <c r="B1296" s="8" t="s">
        <v>1171</v>
      </c>
      <c r="C1296" s="8" t="s">
        <v>44</v>
      </c>
      <c r="D1296" s="13">
        <v>45880</v>
      </c>
      <c r="E1296" s="9">
        <v>48797</v>
      </c>
    </row>
    <row r="1297" spans="1:5" x14ac:dyDescent="0.25">
      <c r="A1297" s="8" t="s">
        <v>1231</v>
      </c>
      <c r="B1297" s="8" t="s">
        <v>1232</v>
      </c>
      <c r="C1297" s="8" t="s">
        <v>6</v>
      </c>
      <c r="D1297" s="13">
        <v>45310</v>
      </c>
      <c r="E1297" s="9">
        <v>433036</v>
      </c>
    </row>
    <row r="1298" spans="1:5" x14ac:dyDescent="0.25">
      <c r="A1298" s="8" t="s">
        <v>1233</v>
      </c>
      <c r="B1298" s="8" t="s">
        <v>1232</v>
      </c>
      <c r="C1298" s="8" t="s">
        <v>8</v>
      </c>
      <c r="D1298" s="13">
        <v>45312</v>
      </c>
      <c r="E1298" s="9">
        <v>131439</v>
      </c>
    </row>
    <row r="1299" spans="1:5" x14ac:dyDescent="0.25">
      <c r="A1299" s="8" t="s">
        <v>1234</v>
      </c>
      <c r="B1299" s="8" t="s">
        <v>1232</v>
      </c>
      <c r="C1299" s="8" t="s">
        <v>6</v>
      </c>
      <c r="D1299" s="13">
        <v>45343</v>
      </c>
      <c r="E1299" s="9">
        <v>128952</v>
      </c>
    </row>
    <row r="1300" spans="1:5" x14ac:dyDescent="0.25">
      <c r="A1300" s="8" t="s">
        <v>1235</v>
      </c>
      <c r="B1300" s="8" t="s">
        <v>1232</v>
      </c>
      <c r="C1300" s="8" t="s">
        <v>44</v>
      </c>
      <c r="D1300" s="13">
        <v>45352</v>
      </c>
      <c r="E1300" s="9">
        <v>160952</v>
      </c>
    </row>
    <row r="1301" spans="1:5" x14ac:dyDescent="0.25">
      <c r="A1301" s="8" t="s">
        <v>1236</v>
      </c>
      <c r="B1301" s="8" t="s">
        <v>1232</v>
      </c>
      <c r="C1301" s="8" t="s">
        <v>35</v>
      </c>
      <c r="D1301" s="13">
        <v>45359</v>
      </c>
      <c r="E1301" s="9">
        <v>205242</v>
      </c>
    </row>
    <row r="1302" spans="1:5" x14ac:dyDescent="0.25">
      <c r="A1302" s="8" t="s">
        <v>1237</v>
      </c>
      <c r="B1302" s="8" t="s">
        <v>1232</v>
      </c>
      <c r="C1302" s="8" t="s">
        <v>110</v>
      </c>
      <c r="D1302" s="13">
        <v>45399</v>
      </c>
      <c r="E1302" s="9">
        <v>240294</v>
      </c>
    </row>
    <row r="1303" spans="1:5" x14ac:dyDescent="0.25">
      <c r="A1303" s="8" t="s">
        <v>1238</v>
      </c>
      <c r="B1303" s="8" t="s">
        <v>1232</v>
      </c>
      <c r="C1303" s="8" t="s">
        <v>109</v>
      </c>
      <c r="D1303" s="13">
        <v>45405</v>
      </c>
      <c r="E1303" s="9">
        <v>255425</v>
      </c>
    </row>
    <row r="1304" spans="1:5" x14ac:dyDescent="0.25">
      <c r="A1304" s="8" t="s">
        <v>1239</v>
      </c>
      <c r="B1304" s="8" t="s">
        <v>1232</v>
      </c>
      <c r="C1304" s="8" t="s">
        <v>17</v>
      </c>
      <c r="D1304" s="13">
        <v>45405</v>
      </c>
      <c r="E1304" s="9">
        <v>212929</v>
      </c>
    </row>
    <row r="1305" spans="1:5" x14ac:dyDescent="0.25">
      <c r="A1305" s="8" t="s">
        <v>1240</v>
      </c>
      <c r="B1305" s="8" t="s">
        <v>1232</v>
      </c>
      <c r="C1305" s="8" t="s">
        <v>108</v>
      </c>
      <c r="D1305" s="13">
        <v>45407</v>
      </c>
      <c r="E1305" s="9">
        <v>244699</v>
      </c>
    </row>
    <row r="1306" spans="1:5" x14ac:dyDescent="0.25">
      <c r="A1306" s="8" t="s">
        <v>1241</v>
      </c>
      <c r="B1306" s="8" t="s">
        <v>1232</v>
      </c>
      <c r="C1306" s="8" t="s">
        <v>37</v>
      </c>
      <c r="D1306" s="13">
        <v>45430</v>
      </c>
      <c r="E1306" s="9">
        <v>140622</v>
      </c>
    </row>
    <row r="1307" spans="1:5" x14ac:dyDescent="0.25">
      <c r="A1307" s="8" t="s">
        <v>1242</v>
      </c>
      <c r="B1307" s="8" t="s">
        <v>1232</v>
      </c>
      <c r="C1307" s="8" t="s">
        <v>73</v>
      </c>
      <c r="D1307" s="13">
        <v>45439</v>
      </c>
      <c r="E1307" s="9">
        <v>164506</v>
      </c>
    </row>
    <row r="1308" spans="1:5" x14ac:dyDescent="0.25">
      <c r="A1308" s="8" t="s">
        <v>1243</v>
      </c>
      <c r="B1308" s="8" t="s">
        <v>1232</v>
      </c>
      <c r="C1308" s="8" t="s">
        <v>73</v>
      </c>
      <c r="D1308" s="13">
        <v>45443</v>
      </c>
      <c r="E1308" s="9">
        <v>177420</v>
      </c>
    </row>
    <row r="1309" spans="1:5" x14ac:dyDescent="0.25">
      <c r="A1309" s="8" t="s">
        <v>1244</v>
      </c>
      <c r="B1309" s="8" t="s">
        <v>1232</v>
      </c>
      <c r="C1309" s="8" t="s">
        <v>109</v>
      </c>
      <c r="D1309" s="13">
        <v>45445</v>
      </c>
      <c r="E1309" s="9">
        <v>201138</v>
      </c>
    </row>
    <row r="1310" spans="1:5" x14ac:dyDescent="0.25">
      <c r="A1310" s="8" t="s">
        <v>1245</v>
      </c>
      <c r="B1310" s="8" t="s">
        <v>1232</v>
      </c>
      <c r="C1310" s="8" t="s">
        <v>19</v>
      </c>
      <c r="D1310" s="13">
        <v>45452</v>
      </c>
      <c r="E1310" s="9">
        <v>147951</v>
      </c>
    </row>
    <row r="1311" spans="1:5" x14ac:dyDescent="0.25">
      <c r="A1311" s="8" t="s">
        <v>1246</v>
      </c>
      <c r="B1311" s="8" t="s">
        <v>1232</v>
      </c>
      <c r="C1311" s="8" t="s">
        <v>108</v>
      </c>
      <c r="D1311" s="13">
        <v>45471</v>
      </c>
      <c r="E1311" s="9">
        <v>111789</v>
      </c>
    </row>
    <row r="1312" spans="1:5" x14ac:dyDescent="0.25">
      <c r="A1312" s="8" t="s">
        <v>1247</v>
      </c>
      <c r="B1312" s="8" t="s">
        <v>1232</v>
      </c>
      <c r="C1312" s="8" t="s">
        <v>12</v>
      </c>
      <c r="D1312" s="13">
        <v>45482</v>
      </c>
      <c r="E1312" s="9">
        <v>221495</v>
      </c>
    </row>
    <row r="1313" spans="1:5" x14ac:dyDescent="0.25">
      <c r="A1313" s="8" t="s">
        <v>1248</v>
      </c>
      <c r="B1313" s="8" t="s">
        <v>1232</v>
      </c>
      <c r="C1313" s="8" t="s">
        <v>108</v>
      </c>
      <c r="D1313" s="13">
        <v>45521</v>
      </c>
      <c r="E1313" s="9">
        <v>139497</v>
      </c>
    </row>
    <row r="1314" spans="1:5" x14ac:dyDescent="0.25">
      <c r="A1314" s="8" t="s">
        <v>1249</v>
      </c>
      <c r="B1314" s="8" t="s">
        <v>1232</v>
      </c>
      <c r="C1314" s="8" t="s">
        <v>14</v>
      </c>
      <c r="D1314" s="13">
        <v>45552</v>
      </c>
      <c r="E1314" s="9">
        <v>164303</v>
      </c>
    </row>
    <row r="1315" spans="1:5" x14ac:dyDescent="0.25">
      <c r="A1315" s="8" t="s">
        <v>1250</v>
      </c>
      <c r="B1315" s="8" t="s">
        <v>1232</v>
      </c>
      <c r="C1315" s="8" t="s">
        <v>14</v>
      </c>
      <c r="D1315" s="13">
        <v>45563</v>
      </c>
      <c r="E1315" s="9">
        <v>165887</v>
      </c>
    </row>
    <row r="1316" spans="1:5" x14ac:dyDescent="0.25">
      <c r="A1316" s="8" t="s">
        <v>1251</v>
      </c>
      <c r="B1316" s="8" t="s">
        <v>1232</v>
      </c>
      <c r="C1316" s="8" t="s">
        <v>55</v>
      </c>
      <c r="D1316" s="13">
        <v>45583</v>
      </c>
      <c r="E1316" s="9">
        <v>189655</v>
      </c>
    </row>
    <row r="1317" spans="1:5" x14ac:dyDescent="0.25">
      <c r="A1317" s="8" t="s">
        <v>1252</v>
      </c>
      <c r="B1317" s="8" t="s">
        <v>1232</v>
      </c>
      <c r="C1317" s="8" t="s">
        <v>14</v>
      </c>
      <c r="D1317" s="13">
        <v>45584</v>
      </c>
      <c r="E1317" s="9">
        <v>114855</v>
      </c>
    </row>
    <row r="1318" spans="1:5" x14ac:dyDescent="0.25">
      <c r="A1318" s="8" t="s">
        <v>1253</v>
      </c>
      <c r="B1318" s="8" t="s">
        <v>1232</v>
      </c>
      <c r="C1318" s="8" t="s">
        <v>108</v>
      </c>
      <c r="D1318" s="13">
        <v>45585</v>
      </c>
      <c r="E1318" s="9">
        <v>216614</v>
      </c>
    </row>
    <row r="1319" spans="1:5" x14ac:dyDescent="0.25">
      <c r="A1319" s="8" t="s">
        <v>1254</v>
      </c>
      <c r="B1319" s="8" t="s">
        <v>1232</v>
      </c>
      <c r="C1319" s="8" t="s">
        <v>44</v>
      </c>
      <c r="D1319" s="13">
        <v>45593</v>
      </c>
      <c r="E1319" s="9">
        <v>415713</v>
      </c>
    </row>
    <row r="1320" spans="1:5" x14ac:dyDescent="0.25">
      <c r="A1320" s="8" t="s">
        <v>1255</v>
      </c>
      <c r="B1320" s="8" t="s">
        <v>1232</v>
      </c>
      <c r="C1320" s="8" t="s">
        <v>35</v>
      </c>
      <c r="D1320" s="13">
        <v>45594</v>
      </c>
      <c r="E1320" s="9">
        <v>696697</v>
      </c>
    </row>
    <row r="1321" spans="1:5" x14ac:dyDescent="0.25">
      <c r="A1321" s="8" t="s">
        <v>1256</v>
      </c>
      <c r="B1321" s="8" t="s">
        <v>1232</v>
      </c>
      <c r="C1321" s="8" t="s">
        <v>35</v>
      </c>
      <c r="D1321" s="13">
        <v>45600</v>
      </c>
      <c r="E1321" s="9">
        <v>146268</v>
      </c>
    </row>
    <row r="1322" spans="1:5" x14ac:dyDescent="0.25">
      <c r="A1322" s="8" t="s">
        <v>1257</v>
      </c>
      <c r="B1322" s="8" t="s">
        <v>1232</v>
      </c>
      <c r="C1322" s="8" t="s">
        <v>19</v>
      </c>
      <c r="D1322" s="13">
        <v>45609</v>
      </c>
      <c r="E1322" s="9">
        <v>122983</v>
      </c>
    </row>
    <row r="1323" spans="1:5" x14ac:dyDescent="0.25">
      <c r="A1323" s="8" t="s">
        <v>1258</v>
      </c>
      <c r="B1323" s="8" t="s">
        <v>1232</v>
      </c>
      <c r="C1323" s="8" t="s">
        <v>73</v>
      </c>
      <c r="D1323" s="13">
        <v>45639</v>
      </c>
      <c r="E1323" s="9">
        <v>116003</v>
      </c>
    </row>
    <row r="1324" spans="1:5" x14ac:dyDescent="0.25">
      <c r="A1324" s="8" t="s">
        <v>1259</v>
      </c>
      <c r="B1324" s="8" t="s">
        <v>1232</v>
      </c>
      <c r="C1324" s="8" t="s">
        <v>27</v>
      </c>
      <c r="D1324" s="13">
        <v>45666</v>
      </c>
      <c r="E1324" s="9">
        <v>152425</v>
      </c>
    </row>
    <row r="1325" spans="1:5" x14ac:dyDescent="0.25">
      <c r="A1325" s="8" t="s">
        <v>1260</v>
      </c>
      <c r="B1325" s="8" t="s">
        <v>1232</v>
      </c>
      <c r="C1325" s="8" t="s">
        <v>33</v>
      </c>
      <c r="D1325" s="13">
        <v>45669</v>
      </c>
      <c r="E1325" s="9">
        <v>181637</v>
      </c>
    </row>
    <row r="1326" spans="1:5" x14ac:dyDescent="0.25">
      <c r="A1326" s="8" t="s">
        <v>1261</v>
      </c>
      <c r="B1326" s="8" t="s">
        <v>1232</v>
      </c>
      <c r="C1326" s="8" t="s">
        <v>50</v>
      </c>
      <c r="D1326" s="13">
        <v>45669</v>
      </c>
      <c r="E1326" s="9">
        <v>88919</v>
      </c>
    </row>
    <row r="1327" spans="1:5" x14ac:dyDescent="0.25">
      <c r="A1327" s="8" t="s">
        <v>1262</v>
      </c>
      <c r="B1327" s="8" t="s">
        <v>1232</v>
      </c>
      <c r="C1327" s="8" t="s">
        <v>109</v>
      </c>
      <c r="D1327" s="13">
        <v>45676</v>
      </c>
      <c r="E1327" s="9">
        <v>188061</v>
      </c>
    </row>
    <row r="1328" spans="1:5" x14ac:dyDescent="0.25">
      <c r="A1328" s="8" t="s">
        <v>1263</v>
      </c>
      <c r="B1328" s="8" t="s">
        <v>1232</v>
      </c>
      <c r="C1328" s="8" t="s">
        <v>110</v>
      </c>
      <c r="D1328" s="13">
        <v>45685</v>
      </c>
      <c r="E1328" s="9">
        <v>104204</v>
      </c>
    </row>
    <row r="1329" spans="1:5" x14ac:dyDescent="0.25">
      <c r="A1329" s="8" t="s">
        <v>1264</v>
      </c>
      <c r="B1329" s="8" t="s">
        <v>1232</v>
      </c>
      <c r="C1329" s="8" t="s">
        <v>44</v>
      </c>
      <c r="D1329" s="13">
        <v>45687</v>
      </c>
      <c r="E1329" s="9">
        <v>139575</v>
      </c>
    </row>
    <row r="1330" spans="1:5" x14ac:dyDescent="0.25">
      <c r="A1330" s="8" t="s">
        <v>1265</v>
      </c>
      <c r="B1330" s="8" t="s">
        <v>1232</v>
      </c>
      <c r="C1330" s="8" t="s">
        <v>19</v>
      </c>
      <c r="D1330" s="13">
        <v>45694</v>
      </c>
      <c r="E1330" s="9">
        <v>92467</v>
      </c>
    </row>
    <row r="1331" spans="1:5" x14ac:dyDescent="0.25">
      <c r="A1331" s="8" t="s">
        <v>1266</v>
      </c>
      <c r="B1331" s="8" t="s">
        <v>1232</v>
      </c>
      <c r="C1331" s="8" t="s">
        <v>73</v>
      </c>
      <c r="D1331" s="13">
        <v>45712</v>
      </c>
      <c r="E1331" s="9">
        <v>215020</v>
      </c>
    </row>
    <row r="1332" spans="1:5" x14ac:dyDescent="0.25">
      <c r="A1332" s="8" t="s">
        <v>1267</v>
      </c>
      <c r="B1332" s="8" t="s">
        <v>1232</v>
      </c>
      <c r="C1332" s="8" t="s">
        <v>6</v>
      </c>
      <c r="D1332" s="13">
        <v>45731</v>
      </c>
      <c r="E1332" s="9">
        <v>103004</v>
      </c>
    </row>
    <row r="1333" spans="1:5" x14ac:dyDescent="0.25">
      <c r="A1333" s="8" t="s">
        <v>1268</v>
      </c>
      <c r="B1333" s="8" t="s">
        <v>1232</v>
      </c>
      <c r="C1333" s="8" t="s">
        <v>21</v>
      </c>
      <c r="D1333" s="13">
        <v>45745</v>
      </c>
      <c r="E1333" s="9">
        <v>204314</v>
      </c>
    </row>
    <row r="1334" spans="1:5" x14ac:dyDescent="0.25">
      <c r="A1334" s="8" t="s">
        <v>1269</v>
      </c>
      <c r="B1334" s="8" t="s">
        <v>1232</v>
      </c>
      <c r="C1334" s="8" t="s">
        <v>73</v>
      </c>
      <c r="D1334" s="13">
        <v>45748</v>
      </c>
      <c r="E1334" s="9">
        <v>202813</v>
      </c>
    </row>
    <row r="1335" spans="1:5" x14ac:dyDescent="0.25">
      <c r="A1335" s="8" t="s">
        <v>1270</v>
      </c>
      <c r="B1335" s="8" t="s">
        <v>1232</v>
      </c>
      <c r="C1335" s="8" t="s">
        <v>50</v>
      </c>
      <c r="D1335" s="13">
        <v>45749</v>
      </c>
      <c r="E1335" s="9">
        <v>200296</v>
      </c>
    </row>
    <row r="1336" spans="1:5" x14ac:dyDescent="0.25">
      <c r="A1336" s="8" t="s">
        <v>1271</v>
      </c>
      <c r="B1336" s="8" t="s">
        <v>1232</v>
      </c>
      <c r="C1336" s="8" t="s">
        <v>50</v>
      </c>
      <c r="D1336" s="13">
        <v>45761</v>
      </c>
      <c r="E1336" s="9">
        <v>309966</v>
      </c>
    </row>
    <row r="1337" spans="1:5" x14ac:dyDescent="0.25">
      <c r="A1337" s="8" t="s">
        <v>1272</v>
      </c>
      <c r="B1337" s="8" t="s">
        <v>1232</v>
      </c>
      <c r="C1337" s="8" t="s">
        <v>44</v>
      </c>
      <c r="D1337" s="13">
        <v>45779</v>
      </c>
      <c r="E1337" s="9">
        <v>73256</v>
      </c>
    </row>
    <row r="1338" spans="1:5" x14ac:dyDescent="0.25">
      <c r="A1338" s="8" t="s">
        <v>1273</v>
      </c>
      <c r="B1338" s="8" t="s">
        <v>1232</v>
      </c>
      <c r="C1338" s="8" t="s">
        <v>110</v>
      </c>
      <c r="D1338" s="13">
        <v>45780</v>
      </c>
      <c r="E1338" s="9">
        <v>78783</v>
      </c>
    </row>
    <row r="1339" spans="1:5" x14ac:dyDescent="0.25">
      <c r="A1339" s="8" t="s">
        <v>1274</v>
      </c>
      <c r="B1339" s="8" t="s">
        <v>1232</v>
      </c>
      <c r="C1339" s="8" t="s">
        <v>37</v>
      </c>
      <c r="D1339" s="13">
        <v>45806</v>
      </c>
      <c r="E1339" s="9">
        <v>110305</v>
      </c>
    </row>
    <row r="1340" spans="1:5" x14ac:dyDescent="0.25">
      <c r="A1340" s="8" t="s">
        <v>1275</v>
      </c>
      <c r="B1340" s="8" t="s">
        <v>1232</v>
      </c>
      <c r="C1340" s="8" t="s">
        <v>14</v>
      </c>
      <c r="D1340" s="13">
        <v>45809</v>
      </c>
      <c r="E1340" s="9">
        <v>147157</v>
      </c>
    </row>
    <row r="1341" spans="1:5" x14ac:dyDescent="0.25">
      <c r="A1341" s="8" t="s">
        <v>1276</v>
      </c>
      <c r="B1341" s="8" t="s">
        <v>1232</v>
      </c>
      <c r="C1341" s="8" t="s">
        <v>14</v>
      </c>
      <c r="D1341" s="13">
        <v>45816</v>
      </c>
      <c r="E1341" s="9">
        <v>79040</v>
      </c>
    </row>
    <row r="1342" spans="1:5" x14ac:dyDescent="0.25">
      <c r="A1342" s="8" t="s">
        <v>1277</v>
      </c>
      <c r="B1342" s="8" t="s">
        <v>1232</v>
      </c>
      <c r="C1342" s="8" t="s">
        <v>50</v>
      </c>
      <c r="D1342" s="13">
        <v>45836</v>
      </c>
      <c r="E1342" s="9">
        <v>174736</v>
      </c>
    </row>
    <row r="1343" spans="1:5" x14ac:dyDescent="0.25">
      <c r="A1343" s="8" t="s">
        <v>1278</v>
      </c>
      <c r="B1343" s="8" t="s">
        <v>1232</v>
      </c>
      <c r="C1343" s="8" t="s">
        <v>37</v>
      </c>
      <c r="D1343" s="13">
        <v>45857</v>
      </c>
      <c r="E1343" s="9">
        <v>159635</v>
      </c>
    </row>
    <row r="1344" spans="1:5" x14ac:dyDescent="0.25">
      <c r="A1344" s="8" t="s">
        <v>1279</v>
      </c>
      <c r="B1344" s="8" t="s">
        <v>1280</v>
      </c>
      <c r="C1344" s="8" t="s">
        <v>109</v>
      </c>
      <c r="D1344" s="13">
        <v>45197</v>
      </c>
      <c r="E1344" s="9">
        <v>29581</v>
      </c>
    </row>
    <row r="1345" spans="1:5" x14ac:dyDescent="0.25">
      <c r="A1345" s="8" t="s">
        <v>1281</v>
      </c>
      <c r="B1345" s="8" t="s">
        <v>1280</v>
      </c>
      <c r="C1345" s="8" t="s">
        <v>55</v>
      </c>
      <c r="D1345" s="13">
        <v>45208</v>
      </c>
      <c r="E1345" s="9">
        <v>12598</v>
      </c>
    </row>
    <row r="1346" spans="1:5" x14ac:dyDescent="0.25">
      <c r="A1346" s="8" t="s">
        <v>1282</v>
      </c>
      <c r="B1346" s="8" t="s">
        <v>1280</v>
      </c>
      <c r="C1346" s="8" t="s">
        <v>23</v>
      </c>
      <c r="D1346" s="13">
        <v>45223</v>
      </c>
      <c r="E1346" s="9">
        <v>16276</v>
      </c>
    </row>
    <row r="1347" spans="1:5" x14ac:dyDescent="0.25">
      <c r="A1347" s="8" t="s">
        <v>1283</v>
      </c>
      <c r="B1347" s="8" t="s">
        <v>1280</v>
      </c>
      <c r="C1347" s="8" t="s">
        <v>91</v>
      </c>
      <c r="D1347" s="13">
        <v>45251</v>
      </c>
      <c r="E1347" s="9">
        <v>18041</v>
      </c>
    </row>
    <row r="1348" spans="1:5" x14ac:dyDescent="0.25">
      <c r="A1348" s="8" t="s">
        <v>1284</v>
      </c>
      <c r="B1348" s="8" t="s">
        <v>1280</v>
      </c>
      <c r="C1348" s="8" t="s">
        <v>17</v>
      </c>
      <c r="D1348" s="13">
        <v>45257</v>
      </c>
      <c r="E1348" s="9">
        <v>24889</v>
      </c>
    </row>
    <row r="1349" spans="1:5" x14ac:dyDescent="0.25">
      <c r="A1349" s="8" t="s">
        <v>1285</v>
      </c>
      <c r="B1349" s="8" t="s">
        <v>1280</v>
      </c>
      <c r="C1349" s="8" t="s">
        <v>27</v>
      </c>
      <c r="D1349" s="13">
        <v>45265</v>
      </c>
      <c r="E1349" s="9">
        <v>12250</v>
      </c>
    </row>
    <row r="1350" spans="1:5" x14ac:dyDescent="0.25">
      <c r="A1350" s="8" t="s">
        <v>1286</v>
      </c>
      <c r="B1350" s="8" t="s">
        <v>1280</v>
      </c>
      <c r="C1350" s="8" t="s">
        <v>35</v>
      </c>
      <c r="D1350" s="13">
        <v>45270</v>
      </c>
      <c r="E1350" s="9">
        <v>21575</v>
      </c>
    </row>
    <row r="1351" spans="1:5" x14ac:dyDescent="0.25">
      <c r="A1351" s="8" t="s">
        <v>1287</v>
      </c>
      <c r="B1351" s="8" t="s">
        <v>1280</v>
      </c>
      <c r="C1351" s="8" t="s">
        <v>19</v>
      </c>
      <c r="D1351" s="13">
        <v>45275</v>
      </c>
      <c r="E1351" s="9">
        <v>24214</v>
      </c>
    </row>
    <row r="1352" spans="1:5" x14ac:dyDescent="0.25">
      <c r="A1352" s="8" t="s">
        <v>1288</v>
      </c>
      <c r="B1352" s="8" t="s">
        <v>1280</v>
      </c>
      <c r="C1352" s="8" t="s">
        <v>33</v>
      </c>
      <c r="D1352" s="13">
        <v>45282</v>
      </c>
      <c r="E1352" s="9">
        <v>18191</v>
      </c>
    </row>
    <row r="1353" spans="1:5" x14ac:dyDescent="0.25">
      <c r="A1353" s="8" t="s">
        <v>1289</v>
      </c>
      <c r="B1353" s="8" t="s">
        <v>1280</v>
      </c>
      <c r="C1353" s="8" t="s">
        <v>44</v>
      </c>
      <c r="D1353" s="13">
        <v>45284</v>
      </c>
      <c r="E1353" s="9">
        <v>30795</v>
      </c>
    </row>
    <row r="1354" spans="1:5" x14ac:dyDescent="0.25">
      <c r="A1354" s="8" t="s">
        <v>1290</v>
      </c>
      <c r="B1354" s="8" t="s">
        <v>1280</v>
      </c>
      <c r="C1354" s="8" t="s">
        <v>55</v>
      </c>
      <c r="D1354" s="13">
        <v>45289</v>
      </c>
      <c r="E1354" s="9">
        <v>17068</v>
      </c>
    </row>
    <row r="1355" spans="1:5" x14ac:dyDescent="0.25">
      <c r="A1355" s="8" t="s">
        <v>1291</v>
      </c>
      <c r="B1355" s="8" t="s">
        <v>1280</v>
      </c>
      <c r="C1355" s="8" t="s">
        <v>37</v>
      </c>
      <c r="D1355" s="13">
        <v>45300</v>
      </c>
      <c r="E1355" s="9">
        <v>34927</v>
      </c>
    </row>
    <row r="1356" spans="1:5" x14ac:dyDescent="0.25">
      <c r="A1356" s="8" t="s">
        <v>1292</v>
      </c>
      <c r="B1356" s="8" t="s">
        <v>1280</v>
      </c>
      <c r="C1356" s="8" t="s">
        <v>37</v>
      </c>
      <c r="D1356" s="13">
        <v>45311</v>
      </c>
      <c r="E1356" s="9">
        <v>28719</v>
      </c>
    </row>
    <row r="1357" spans="1:5" x14ac:dyDescent="0.25">
      <c r="A1357" s="8" t="s">
        <v>1293</v>
      </c>
      <c r="B1357" s="8" t="s">
        <v>1280</v>
      </c>
      <c r="C1357" s="8" t="s">
        <v>35</v>
      </c>
      <c r="D1357" s="13">
        <v>45331</v>
      </c>
      <c r="E1357" s="9">
        <v>46034</v>
      </c>
    </row>
    <row r="1358" spans="1:5" x14ac:dyDescent="0.25">
      <c r="A1358" s="8" t="s">
        <v>1294</v>
      </c>
      <c r="B1358" s="8" t="s">
        <v>1280</v>
      </c>
      <c r="C1358" s="8" t="s">
        <v>50</v>
      </c>
      <c r="D1358" s="13">
        <v>45332</v>
      </c>
      <c r="E1358" s="9">
        <v>15984</v>
      </c>
    </row>
    <row r="1359" spans="1:5" x14ac:dyDescent="0.25">
      <c r="A1359" s="8" t="s">
        <v>1295</v>
      </c>
      <c r="B1359" s="8" t="s">
        <v>1280</v>
      </c>
      <c r="C1359" s="8" t="s">
        <v>14</v>
      </c>
      <c r="D1359" s="13">
        <v>45336</v>
      </c>
      <c r="E1359" s="9">
        <v>13449</v>
      </c>
    </row>
    <row r="1360" spans="1:5" x14ac:dyDescent="0.25">
      <c r="A1360" s="8" t="s">
        <v>1296</v>
      </c>
      <c r="B1360" s="8" t="s">
        <v>1280</v>
      </c>
      <c r="C1360" s="8" t="s">
        <v>17</v>
      </c>
      <c r="D1360" s="13">
        <v>45339</v>
      </c>
      <c r="E1360" s="9">
        <v>22252</v>
      </c>
    </row>
    <row r="1361" spans="1:5" x14ac:dyDescent="0.25">
      <c r="A1361" s="8" t="s">
        <v>1297</v>
      </c>
      <c r="B1361" s="8" t="s">
        <v>1280</v>
      </c>
      <c r="C1361" s="8" t="s">
        <v>23</v>
      </c>
      <c r="D1361" s="13">
        <v>45342</v>
      </c>
      <c r="E1361" s="9">
        <v>22804</v>
      </c>
    </row>
    <row r="1362" spans="1:5" x14ac:dyDescent="0.25">
      <c r="A1362" s="8" t="s">
        <v>1298</v>
      </c>
      <c r="B1362" s="8" t="s">
        <v>1280</v>
      </c>
      <c r="C1362" s="8" t="s">
        <v>50</v>
      </c>
      <c r="D1362" s="13">
        <v>45416</v>
      </c>
      <c r="E1362" s="9">
        <v>35097</v>
      </c>
    </row>
    <row r="1363" spans="1:5" x14ac:dyDescent="0.25">
      <c r="A1363" s="8" t="s">
        <v>1299</v>
      </c>
      <c r="B1363" s="8" t="s">
        <v>1280</v>
      </c>
      <c r="C1363" s="8" t="s">
        <v>19</v>
      </c>
      <c r="D1363" s="13">
        <v>45427</v>
      </c>
      <c r="E1363" s="9">
        <v>17152</v>
      </c>
    </row>
    <row r="1364" spans="1:5" x14ac:dyDescent="0.25">
      <c r="A1364" s="8" t="s">
        <v>1300</v>
      </c>
      <c r="B1364" s="8" t="s">
        <v>1280</v>
      </c>
      <c r="C1364" s="8" t="s">
        <v>27</v>
      </c>
      <c r="D1364" s="13">
        <v>45435</v>
      </c>
      <c r="E1364" s="9">
        <v>23468</v>
      </c>
    </row>
    <row r="1365" spans="1:5" x14ac:dyDescent="0.25">
      <c r="A1365" s="8" t="s">
        <v>1301</v>
      </c>
      <c r="B1365" s="8" t="s">
        <v>1280</v>
      </c>
      <c r="C1365" s="8" t="s">
        <v>35</v>
      </c>
      <c r="D1365" s="13">
        <v>45441</v>
      </c>
      <c r="E1365" s="9">
        <v>34199</v>
      </c>
    </row>
    <row r="1366" spans="1:5" x14ac:dyDescent="0.25">
      <c r="A1366" s="8" t="s">
        <v>1302</v>
      </c>
      <c r="B1366" s="8" t="s">
        <v>1280</v>
      </c>
      <c r="C1366" s="8" t="s">
        <v>91</v>
      </c>
      <c r="D1366" s="13">
        <v>45449</v>
      </c>
      <c r="E1366" s="9">
        <v>13410</v>
      </c>
    </row>
    <row r="1367" spans="1:5" x14ac:dyDescent="0.25">
      <c r="A1367" s="8" t="s">
        <v>1303</v>
      </c>
      <c r="B1367" s="8" t="s">
        <v>1280</v>
      </c>
      <c r="C1367" s="8" t="s">
        <v>10</v>
      </c>
      <c r="D1367" s="13">
        <v>45476</v>
      </c>
      <c r="E1367" s="9">
        <v>18680</v>
      </c>
    </row>
    <row r="1368" spans="1:5" x14ac:dyDescent="0.25">
      <c r="A1368" s="8" t="s">
        <v>1304</v>
      </c>
      <c r="B1368" s="8" t="s">
        <v>1280</v>
      </c>
      <c r="C1368" s="8" t="s">
        <v>6</v>
      </c>
      <c r="D1368" s="13">
        <v>45504</v>
      </c>
      <c r="E1368" s="9">
        <v>29755</v>
      </c>
    </row>
    <row r="1369" spans="1:5" x14ac:dyDescent="0.25">
      <c r="A1369" s="8" t="s">
        <v>1305</v>
      </c>
      <c r="B1369" s="8" t="s">
        <v>1280</v>
      </c>
      <c r="C1369" s="8" t="s">
        <v>33</v>
      </c>
      <c r="D1369" s="13">
        <v>45505</v>
      </c>
      <c r="E1369" s="9">
        <v>20634</v>
      </c>
    </row>
    <row r="1370" spans="1:5" x14ac:dyDescent="0.25">
      <c r="A1370" s="8" t="s">
        <v>1306</v>
      </c>
      <c r="B1370" s="8" t="s">
        <v>1280</v>
      </c>
      <c r="C1370" s="8" t="s">
        <v>14</v>
      </c>
      <c r="D1370" s="13">
        <v>45518</v>
      </c>
      <c r="E1370" s="9">
        <v>26040</v>
      </c>
    </row>
    <row r="1371" spans="1:5" x14ac:dyDescent="0.25">
      <c r="A1371" s="8" t="s">
        <v>1307</v>
      </c>
      <c r="B1371" s="8" t="s">
        <v>1280</v>
      </c>
      <c r="C1371" s="8" t="s">
        <v>29</v>
      </c>
      <c r="D1371" s="13">
        <v>45520</v>
      </c>
      <c r="E1371" s="9">
        <v>15952</v>
      </c>
    </row>
    <row r="1372" spans="1:5" x14ac:dyDescent="0.25">
      <c r="A1372" s="8" t="s">
        <v>1308</v>
      </c>
      <c r="B1372" s="8" t="s">
        <v>1280</v>
      </c>
      <c r="C1372" s="8" t="s">
        <v>109</v>
      </c>
      <c r="D1372" s="13">
        <v>45547</v>
      </c>
      <c r="E1372" s="9">
        <v>16066</v>
      </c>
    </row>
    <row r="1373" spans="1:5" x14ac:dyDescent="0.25">
      <c r="A1373" s="8" t="s">
        <v>1309</v>
      </c>
      <c r="B1373" s="8" t="s">
        <v>1280</v>
      </c>
      <c r="C1373" s="8" t="s">
        <v>110</v>
      </c>
      <c r="D1373" s="13">
        <v>45555</v>
      </c>
      <c r="E1373" s="9">
        <v>36544</v>
      </c>
    </row>
    <row r="1374" spans="1:5" x14ac:dyDescent="0.25">
      <c r="A1374" s="8" t="s">
        <v>1310</v>
      </c>
      <c r="B1374" s="8" t="s">
        <v>1280</v>
      </c>
      <c r="C1374" s="8" t="s">
        <v>55</v>
      </c>
      <c r="D1374" s="13">
        <v>45555</v>
      </c>
      <c r="E1374" s="9">
        <v>13981</v>
      </c>
    </row>
    <row r="1375" spans="1:5" x14ac:dyDescent="0.25">
      <c r="A1375" s="8" t="s">
        <v>1311</v>
      </c>
      <c r="B1375" s="8" t="s">
        <v>1280</v>
      </c>
      <c r="C1375" s="8" t="s">
        <v>29</v>
      </c>
      <c r="D1375" s="13">
        <v>45565</v>
      </c>
      <c r="E1375" s="9">
        <v>33566</v>
      </c>
    </row>
    <row r="1376" spans="1:5" x14ac:dyDescent="0.25">
      <c r="A1376" s="8" t="s">
        <v>1312</v>
      </c>
      <c r="B1376" s="8" t="s">
        <v>1280</v>
      </c>
      <c r="C1376" s="8" t="s">
        <v>33</v>
      </c>
      <c r="D1376" s="13">
        <v>45572</v>
      </c>
      <c r="E1376" s="9">
        <v>25386</v>
      </c>
    </row>
    <row r="1377" spans="1:5" x14ac:dyDescent="0.25">
      <c r="A1377" s="8" t="s">
        <v>1313</v>
      </c>
      <c r="B1377" s="8" t="s">
        <v>1280</v>
      </c>
      <c r="C1377" s="8" t="s">
        <v>71</v>
      </c>
      <c r="D1377" s="13">
        <v>45576</v>
      </c>
      <c r="E1377" s="9">
        <v>13216</v>
      </c>
    </row>
    <row r="1378" spans="1:5" x14ac:dyDescent="0.25">
      <c r="A1378" s="8" t="s">
        <v>1314</v>
      </c>
      <c r="B1378" s="8" t="s">
        <v>1280</v>
      </c>
      <c r="C1378" s="8" t="s">
        <v>29</v>
      </c>
      <c r="D1378" s="13">
        <v>45588</v>
      </c>
      <c r="E1378" s="9">
        <v>28668</v>
      </c>
    </row>
    <row r="1379" spans="1:5" x14ac:dyDescent="0.25">
      <c r="A1379" s="8" t="s">
        <v>1315</v>
      </c>
      <c r="B1379" s="8" t="s">
        <v>1280</v>
      </c>
      <c r="C1379" s="8" t="s">
        <v>33</v>
      </c>
      <c r="D1379" s="13">
        <v>45597</v>
      </c>
      <c r="E1379" s="9">
        <v>29450</v>
      </c>
    </row>
    <row r="1380" spans="1:5" x14ac:dyDescent="0.25">
      <c r="A1380" s="8" t="s">
        <v>1316</v>
      </c>
      <c r="B1380" s="8" t="s">
        <v>1280</v>
      </c>
      <c r="C1380" s="8" t="s">
        <v>23</v>
      </c>
      <c r="D1380" s="13">
        <v>45601</v>
      </c>
      <c r="E1380" s="9">
        <v>30761</v>
      </c>
    </row>
    <row r="1381" spans="1:5" x14ac:dyDescent="0.25">
      <c r="A1381" s="8" t="s">
        <v>1317</v>
      </c>
      <c r="B1381" s="8" t="s">
        <v>1280</v>
      </c>
      <c r="C1381" s="8" t="s">
        <v>71</v>
      </c>
      <c r="D1381" s="13">
        <v>45603</v>
      </c>
      <c r="E1381" s="9">
        <v>22943</v>
      </c>
    </row>
    <row r="1382" spans="1:5" x14ac:dyDescent="0.25">
      <c r="A1382" s="8" t="s">
        <v>1318</v>
      </c>
      <c r="B1382" s="8" t="s">
        <v>1280</v>
      </c>
      <c r="C1382" s="8" t="s">
        <v>48</v>
      </c>
      <c r="D1382" s="13">
        <v>45617</v>
      </c>
      <c r="E1382" s="9">
        <v>25623</v>
      </c>
    </row>
    <row r="1383" spans="1:5" x14ac:dyDescent="0.25">
      <c r="A1383" s="8" t="s">
        <v>1319</v>
      </c>
      <c r="B1383" s="8" t="s">
        <v>1280</v>
      </c>
      <c r="C1383" s="8" t="s">
        <v>8</v>
      </c>
      <c r="D1383" s="13">
        <v>45628</v>
      </c>
      <c r="E1383" s="9">
        <v>11662</v>
      </c>
    </row>
    <row r="1384" spans="1:5" x14ac:dyDescent="0.25">
      <c r="A1384" s="8" t="s">
        <v>1320</v>
      </c>
      <c r="B1384" s="8" t="s">
        <v>1280</v>
      </c>
      <c r="C1384" s="8" t="s">
        <v>25</v>
      </c>
      <c r="D1384" s="13">
        <v>45634</v>
      </c>
      <c r="E1384" s="9">
        <v>12199</v>
      </c>
    </row>
    <row r="1385" spans="1:5" x14ac:dyDescent="0.25">
      <c r="A1385" s="8" t="s">
        <v>1321</v>
      </c>
      <c r="B1385" s="8" t="s">
        <v>1280</v>
      </c>
      <c r="C1385" s="8" t="s">
        <v>29</v>
      </c>
      <c r="D1385" s="13">
        <v>45649</v>
      </c>
      <c r="E1385" s="9">
        <v>16475</v>
      </c>
    </row>
    <row r="1386" spans="1:5" x14ac:dyDescent="0.25">
      <c r="A1386" s="8" t="s">
        <v>1322</v>
      </c>
      <c r="B1386" s="8" t="s">
        <v>1280</v>
      </c>
      <c r="C1386" s="8" t="s">
        <v>29</v>
      </c>
      <c r="D1386" s="13">
        <v>45651</v>
      </c>
      <c r="E1386" s="9">
        <v>14549</v>
      </c>
    </row>
    <row r="1387" spans="1:5" x14ac:dyDescent="0.25">
      <c r="A1387" s="8" t="s">
        <v>1323</v>
      </c>
      <c r="B1387" s="8" t="s">
        <v>1280</v>
      </c>
      <c r="C1387" s="8" t="s">
        <v>35</v>
      </c>
      <c r="D1387" s="13">
        <v>45678</v>
      </c>
      <c r="E1387" s="9">
        <v>20122</v>
      </c>
    </row>
    <row r="1388" spans="1:5" x14ac:dyDescent="0.25">
      <c r="A1388" s="8" t="s">
        <v>1324</v>
      </c>
      <c r="B1388" s="8" t="s">
        <v>1280</v>
      </c>
      <c r="C1388" s="8" t="s">
        <v>44</v>
      </c>
      <c r="D1388" s="13">
        <v>45685</v>
      </c>
      <c r="E1388" s="9">
        <v>19873</v>
      </c>
    </row>
    <row r="1389" spans="1:5" x14ac:dyDescent="0.25">
      <c r="A1389" s="8" t="s">
        <v>1325</v>
      </c>
      <c r="B1389" s="8" t="s">
        <v>1280</v>
      </c>
      <c r="C1389" s="8" t="s">
        <v>48</v>
      </c>
      <c r="D1389" s="13">
        <v>45736</v>
      </c>
      <c r="E1389" s="9">
        <v>10541</v>
      </c>
    </row>
    <row r="1390" spans="1:5" x14ac:dyDescent="0.25">
      <c r="A1390" s="8" t="s">
        <v>1326</v>
      </c>
      <c r="B1390" s="8" t="s">
        <v>1280</v>
      </c>
      <c r="C1390" s="8" t="s">
        <v>71</v>
      </c>
      <c r="D1390" s="13">
        <v>45755</v>
      </c>
      <c r="E1390" s="9">
        <v>12456</v>
      </c>
    </row>
    <row r="1391" spans="1:5" x14ac:dyDescent="0.25">
      <c r="A1391" s="8" t="s">
        <v>1327</v>
      </c>
      <c r="B1391" s="8" t="s">
        <v>1280</v>
      </c>
      <c r="C1391" s="8" t="s">
        <v>108</v>
      </c>
      <c r="D1391" s="13">
        <v>45772</v>
      </c>
      <c r="E1391" s="9">
        <v>28024</v>
      </c>
    </row>
    <row r="1392" spans="1:5" x14ac:dyDescent="0.25">
      <c r="A1392" s="8" t="s">
        <v>1328</v>
      </c>
      <c r="B1392" s="8" t="s">
        <v>1280</v>
      </c>
      <c r="C1392" s="8" t="s">
        <v>6</v>
      </c>
      <c r="D1392" s="13">
        <v>45778</v>
      </c>
      <c r="E1392" s="9">
        <v>18226</v>
      </c>
    </row>
    <row r="1393" spans="1:5" x14ac:dyDescent="0.25">
      <c r="A1393" s="8" t="s">
        <v>1329</v>
      </c>
      <c r="B1393" s="8" t="s">
        <v>1280</v>
      </c>
      <c r="C1393" s="8" t="s">
        <v>21</v>
      </c>
      <c r="D1393" s="13">
        <v>45799</v>
      </c>
      <c r="E1393" s="9">
        <v>19295</v>
      </c>
    </row>
    <row r="1394" spans="1:5" x14ac:dyDescent="0.25">
      <c r="A1394" s="8" t="s">
        <v>1330</v>
      </c>
      <c r="B1394" s="8" t="s">
        <v>1280</v>
      </c>
      <c r="C1394" s="8" t="s">
        <v>73</v>
      </c>
      <c r="D1394" s="13">
        <v>45811</v>
      </c>
      <c r="E1394" s="9">
        <v>30172</v>
      </c>
    </row>
    <row r="1395" spans="1:5" x14ac:dyDescent="0.25">
      <c r="A1395" s="8" t="s">
        <v>1331</v>
      </c>
      <c r="B1395" s="8" t="s">
        <v>1280</v>
      </c>
      <c r="C1395" s="8" t="s">
        <v>21</v>
      </c>
      <c r="D1395" s="13">
        <v>45817</v>
      </c>
      <c r="E1395" s="9">
        <v>50861</v>
      </c>
    </row>
    <row r="1396" spans="1:5" x14ac:dyDescent="0.25">
      <c r="A1396" s="8" t="s">
        <v>1332</v>
      </c>
      <c r="B1396" s="8" t="s">
        <v>1280</v>
      </c>
      <c r="C1396" s="8" t="s">
        <v>19</v>
      </c>
      <c r="D1396" s="13">
        <v>45818</v>
      </c>
      <c r="E1396" s="9">
        <v>19693</v>
      </c>
    </row>
    <row r="1397" spans="1:5" x14ac:dyDescent="0.25">
      <c r="A1397" s="8" t="s">
        <v>1333</v>
      </c>
      <c r="B1397" s="8" t="s">
        <v>1280</v>
      </c>
      <c r="C1397" s="8" t="s">
        <v>6</v>
      </c>
      <c r="D1397" s="13">
        <v>45839</v>
      </c>
      <c r="E1397" s="9">
        <v>28394</v>
      </c>
    </row>
    <row r="1398" spans="1:5" x14ac:dyDescent="0.25">
      <c r="A1398" s="8" t="s">
        <v>1334</v>
      </c>
      <c r="B1398" s="8" t="s">
        <v>1280</v>
      </c>
      <c r="C1398" s="8" t="s">
        <v>25</v>
      </c>
      <c r="D1398" s="13">
        <v>45849</v>
      </c>
      <c r="E1398" s="9">
        <v>12397</v>
      </c>
    </row>
    <row r="1399" spans="1:5" x14ac:dyDescent="0.25">
      <c r="A1399" s="8" t="s">
        <v>1335</v>
      </c>
      <c r="B1399" s="8" t="s">
        <v>1280</v>
      </c>
      <c r="C1399" s="8" t="s">
        <v>37</v>
      </c>
      <c r="D1399" s="13">
        <v>45860</v>
      </c>
      <c r="E1399" s="9">
        <v>14254</v>
      </c>
    </row>
    <row r="1400" spans="1:5" x14ac:dyDescent="0.25">
      <c r="A1400" s="8" t="s">
        <v>1336</v>
      </c>
      <c r="B1400" s="8" t="s">
        <v>1280</v>
      </c>
      <c r="C1400" s="8" t="s">
        <v>55</v>
      </c>
      <c r="D1400" s="13">
        <v>45861</v>
      </c>
      <c r="E1400" s="9">
        <v>18298</v>
      </c>
    </row>
    <row r="1401" spans="1:5" x14ac:dyDescent="0.25">
      <c r="A1401" s="8" t="s">
        <v>1337</v>
      </c>
      <c r="B1401" s="8" t="s">
        <v>1338</v>
      </c>
      <c r="C1401" s="8" t="s">
        <v>109</v>
      </c>
      <c r="D1401" s="13">
        <v>45177</v>
      </c>
      <c r="E1401" s="9">
        <v>195268</v>
      </c>
    </row>
    <row r="1402" spans="1:5" x14ac:dyDescent="0.25">
      <c r="A1402" s="8" t="s">
        <v>1339</v>
      </c>
      <c r="B1402" s="8" t="s">
        <v>1338</v>
      </c>
      <c r="C1402" s="8" t="s">
        <v>12</v>
      </c>
      <c r="D1402" s="13">
        <v>45186</v>
      </c>
      <c r="E1402" s="9">
        <v>169703</v>
      </c>
    </row>
    <row r="1403" spans="1:5" x14ac:dyDescent="0.25">
      <c r="A1403" s="8" t="s">
        <v>1340</v>
      </c>
      <c r="B1403" s="8" t="s">
        <v>1338</v>
      </c>
      <c r="C1403" s="8" t="s">
        <v>8</v>
      </c>
      <c r="D1403" s="13">
        <v>45203</v>
      </c>
      <c r="E1403" s="9">
        <v>85531</v>
      </c>
    </row>
    <row r="1404" spans="1:5" x14ac:dyDescent="0.25">
      <c r="A1404" s="8" t="s">
        <v>1341</v>
      </c>
      <c r="B1404" s="8" t="s">
        <v>1338</v>
      </c>
      <c r="C1404" s="8" t="s">
        <v>35</v>
      </c>
      <c r="D1404" s="13">
        <v>45213</v>
      </c>
      <c r="E1404" s="9">
        <v>111102</v>
      </c>
    </row>
    <row r="1405" spans="1:5" x14ac:dyDescent="0.25">
      <c r="A1405" s="8" t="s">
        <v>1342</v>
      </c>
      <c r="B1405" s="8" t="s">
        <v>1338</v>
      </c>
      <c r="C1405" s="8" t="s">
        <v>6</v>
      </c>
      <c r="D1405" s="13">
        <v>45215</v>
      </c>
      <c r="E1405" s="9">
        <v>232108</v>
      </c>
    </row>
    <row r="1406" spans="1:5" x14ac:dyDescent="0.25">
      <c r="A1406" s="8" t="s">
        <v>1343</v>
      </c>
      <c r="B1406" s="8" t="s">
        <v>1338</v>
      </c>
      <c r="C1406" s="8" t="s">
        <v>37</v>
      </c>
      <c r="D1406" s="13">
        <v>45230</v>
      </c>
      <c r="E1406" s="9">
        <v>200789</v>
      </c>
    </row>
    <row r="1407" spans="1:5" x14ac:dyDescent="0.25">
      <c r="A1407" s="8" t="s">
        <v>1344</v>
      </c>
      <c r="B1407" s="8" t="s">
        <v>1338</v>
      </c>
      <c r="C1407" s="8" t="s">
        <v>25</v>
      </c>
      <c r="D1407" s="13">
        <v>45231</v>
      </c>
      <c r="E1407" s="9">
        <v>168407</v>
      </c>
    </row>
    <row r="1408" spans="1:5" x14ac:dyDescent="0.25">
      <c r="A1408" s="8" t="s">
        <v>1345</v>
      </c>
      <c r="B1408" s="8" t="s">
        <v>1338</v>
      </c>
      <c r="C1408" s="8" t="s">
        <v>12</v>
      </c>
      <c r="D1408" s="13">
        <v>45250</v>
      </c>
      <c r="E1408" s="9">
        <v>212540</v>
      </c>
    </row>
    <row r="1409" spans="1:5" x14ac:dyDescent="0.25">
      <c r="A1409" s="8" t="s">
        <v>1346</v>
      </c>
      <c r="B1409" s="8" t="s">
        <v>1338</v>
      </c>
      <c r="C1409" s="8" t="s">
        <v>21</v>
      </c>
      <c r="D1409" s="13">
        <v>45251</v>
      </c>
      <c r="E1409" s="9">
        <v>203947</v>
      </c>
    </row>
    <row r="1410" spans="1:5" x14ac:dyDescent="0.25">
      <c r="A1410" s="8" t="s">
        <v>1347</v>
      </c>
      <c r="B1410" s="8" t="s">
        <v>1338</v>
      </c>
      <c r="C1410" s="8" t="s">
        <v>44</v>
      </c>
      <c r="D1410" s="13">
        <v>45293</v>
      </c>
      <c r="E1410" s="9">
        <v>189111</v>
      </c>
    </row>
    <row r="1411" spans="1:5" x14ac:dyDescent="0.25">
      <c r="A1411" s="8" t="s">
        <v>1348</v>
      </c>
      <c r="B1411" s="8" t="s">
        <v>1338</v>
      </c>
      <c r="C1411" s="8" t="s">
        <v>44</v>
      </c>
      <c r="D1411" s="13">
        <v>45308</v>
      </c>
      <c r="E1411" s="9">
        <v>98555</v>
      </c>
    </row>
    <row r="1412" spans="1:5" x14ac:dyDescent="0.25">
      <c r="A1412" s="8" t="s">
        <v>1349</v>
      </c>
      <c r="B1412" s="8" t="s">
        <v>1338</v>
      </c>
      <c r="C1412" s="8" t="s">
        <v>109</v>
      </c>
      <c r="D1412" s="13">
        <v>45329</v>
      </c>
      <c r="E1412" s="9">
        <v>110393</v>
      </c>
    </row>
    <row r="1413" spans="1:5" x14ac:dyDescent="0.25">
      <c r="A1413" s="8" t="s">
        <v>1350</v>
      </c>
      <c r="B1413" s="8" t="s">
        <v>1338</v>
      </c>
      <c r="C1413" s="8" t="s">
        <v>108</v>
      </c>
      <c r="D1413" s="13">
        <v>45355</v>
      </c>
      <c r="E1413" s="9">
        <v>229646</v>
      </c>
    </row>
    <row r="1414" spans="1:5" x14ac:dyDescent="0.25">
      <c r="A1414" s="8" t="s">
        <v>1351</v>
      </c>
      <c r="B1414" s="8" t="s">
        <v>1338</v>
      </c>
      <c r="C1414" s="8" t="s">
        <v>110</v>
      </c>
      <c r="D1414" s="13">
        <v>45361</v>
      </c>
      <c r="E1414" s="9">
        <v>189126</v>
      </c>
    </row>
    <row r="1415" spans="1:5" x14ac:dyDescent="0.25">
      <c r="A1415" s="8" t="s">
        <v>1352</v>
      </c>
      <c r="B1415" s="8" t="s">
        <v>1338</v>
      </c>
      <c r="C1415" s="8" t="s">
        <v>23</v>
      </c>
      <c r="D1415" s="13">
        <v>45371</v>
      </c>
      <c r="E1415" s="9">
        <v>209912</v>
      </c>
    </row>
    <row r="1416" spans="1:5" x14ac:dyDescent="0.25">
      <c r="A1416" s="8" t="s">
        <v>1353</v>
      </c>
      <c r="B1416" s="8" t="s">
        <v>1338</v>
      </c>
      <c r="C1416" s="8" t="s">
        <v>10</v>
      </c>
      <c r="D1416" s="13">
        <v>45390</v>
      </c>
      <c r="E1416" s="9">
        <v>216221</v>
      </c>
    </row>
    <row r="1417" spans="1:5" x14ac:dyDescent="0.25">
      <c r="A1417" s="8" t="s">
        <v>1354</v>
      </c>
      <c r="B1417" s="8" t="s">
        <v>1338</v>
      </c>
      <c r="C1417" s="8" t="s">
        <v>109</v>
      </c>
      <c r="D1417" s="13">
        <v>45425</v>
      </c>
      <c r="E1417" s="9">
        <v>706913</v>
      </c>
    </row>
    <row r="1418" spans="1:5" x14ac:dyDescent="0.25">
      <c r="A1418" s="8" t="s">
        <v>1355</v>
      </c>
      <c r="B1418" s="8" t="s">
        <v>1338</v>
      </c>
      <c r="C1418" s="8" t="s">
        <v>50</v>
      </c>
      <c r="D1418" s="13">
        <v>45425</v>
      </c>
      <c r="E1418" s="9">
        <v>223551</v>
      </c>
    </row>
    <row r="1419" spans="1:5" x14ac:dyDescent="0.25">
      <c r="A1419" s="8" t="s">
        <v>1356</v>
      </c>
      <c r="B1419" s="8" t="s">
        <v>1338</v>
      </c>
      <c r="C1419" s="8" t="s">
        <v>17</v>
      </c>
      <c r="D1419" s="13">
        <v>45432</v>
      </c>
      <c r="E1419" s="9">
        <v>137402</v>
      </c>
    </row>
    <row r="1420" spans="1:5" x14ac:dyDescent="0.25">
      <c r="A1420" s="8" t="s">
        <v>1357</v>
      </c>
      <c r="B1420" s="8" t="s">
        <v>1338</v>
      </c>
      <c r="C1420" s="8" t="s">
        <v>37</v>
      </c>
      <c r="D1420" s="13">
        <v>45438</v>
      </c>
      <c r="E1420" s="9">
        <v>148196</v>
      </c>
    </row>
    <row r="1421" spans="1:5" x14ac:dyDescent="0.25">
      <c r="A1421" s="8" t="s">
        <v>1358</v>
      </c>
      <c r="B1421" s="8" t="s">
        <v>1338</v>
      </c>
      <c r="C1421" s="8" t="s">
        <v>17</v>
      </c>
      <c r="D1421" s="13">
        <v>45461</v>
      </c>
      <c r="E1421" s="9">
        <v>259128</v>
      </c>
    </row>
    <row r="1422" spans="1:5" x14ac:dyDescent="0.25">
      <c r="A1422" s="8" t="s">
        <v>1359</v>
      </c>
      <c r="B1422" s="8" t="s">
        <v>1338</v>
      </c>
      <c r="C1422" s="8" t="s">
        <v>108</v>
      </c>
      <c r="D1422" s="13">
        <v>45466</v>
      </c>
      <c r="E1422" s="9">
        <v>455533</v>
      </c>
    </row>
    <row r="1423" spans="1:5" x14ac:dyDescent="0.25">
      <c r="A1423" s="8" t="s">
        <v>1360</v>
      </c>
      <c r="B1423" s="8" t="s">
        <v>1338</v>
      </c>
      <c r="C1423" s="8" t="s">
        <v>10</v>
      </c>
      <c r="D1423" s="13">
        <v>45482</v>
      </c>
      <c r="E1423" s="9">
        <v>215078</v>
      </c>
    </row>
    <row r="1424" spans="1:5" x14ac:dyDescent="0.25">
      <c r="A1424" s="8" t="s">
        <v>1361</v>
      </c>
      <c r="B1424" s="8" t="s">
        <v>1338</v>
      </c>
      <c r="C1424" s="8" t="s">
        <v>17</v>
      </c>
      <c r="D1424" s="13">
        <v>45486</v>
      </c>
      <c r="E1424" s="9">
        <v>268653</v>
      </c>
    </row>
    <row r="1425" spans="1:5" x14ac:dyDescent="0.25">
      <c r="A1425" s="8" t="s">
        <v>1362</v>
      </c>
      <c r="B1425" s="8" t="s">
        <v>1338</v>
      </c>
      <c r="C1425" s="8" t="s">
        <v>35</v>
      </c>
      <c r="D1425" s="13">
        <v>45492</v>
      </c>
      <c r="E1425" s="9">
        <v>121011</v>
      </c>
    </row>
    <row r="1426" spans="1:5" x14ac:dyDescent="0.25">
      <c r="A1426" s="8" t="s">
        <v>1363</v>
      </c>
      <c r="B1426" s="8" t="s">
        <v>1338</v>
      </c>
      <c r="C1426" s="8" t="s">
        <v>12</v>
      </c>
      <c r="D1426" s="13">
        <v>45498</v>
      </c>
      <c r="E1426" s="9">
        <v>189325</v>
      </c>
    </row>
    <row r="1427" spans="1:5" x14ac:dyDescent="0.25">
      <c r="A1427" s="8" t="s">
        <v>1364</v>
      </c>
      <c r="B1427" s="8" t="s">
        <v>1338</v>
      </c>
      <c r="C1427" s="8" t="s">
        <v>55</v>
      </c>
      <c r="D1427" s="13">
        <v>45512</v>
      </c>
      <c r="E1427" s="9">
        <v>147629</v>
      </c>
    </row>
    <row r="1428" spans="1:5" x14ac:dyDescent="0.25">
      <c r="A1428" s="8" t="s">
        <v>1365</v>
      </c>
      <c r="B1428" s="8" t="s">
        <v>1338</v>
      </c>
      <c r="C1428" s="8" t="s">
        <v>27</v>
      </c>
      <c r="D1428" s="13">
        <v>45519</v>
      </c>
      <c r="E1428" s="9">
        <v>170623</v>
      </c>
    </row>
    <row r="1429" spans="1:5" x14ac:dyDescent="0.25">
      <c r="A1429" s="8" t="s">
        <v>1366</v>
      </c>
      <c r="B1429" s="8" t="s">
        <v>1338</v>
      </c>
      <c r="C1429" s="8" t="s">
        <v>33</v>
      </c>
      <c r="D1429" s="13">
        <v>45530</v>
      </c>
      <c r="E1429" s="9">
        <v>211913</v>
      </c>
    </row>
    <row r="1430" spans="1:5" x14ac:dyDescent="0.25">
      <c r="A1430" s="8" t="s">
        <v>1367</v>
      </c>
      <c r="B1430" s="8" t="s">
        <v>1338</v>
      </c>
      <c r="C1430" s="8" t="s">
        <v>21</v>
      </c>
      <c r="D1430" s="13">
        <v>45530</v>
      </c>
      <c r="E1430" s="9">
        <v>192294</v>
      </c>
    </row>
    <row r="1431" spans="1:5" x14ac:dyDescent="0.25">
      <c r="A1431" s="8" t="s">
        <v>1368</v>
      </c>
      <c r="B1431" s="8" t="s">
        <v>1338</v>
      </c>
      <c r="C1431" s="8" t="s">
        <v>19</v>
      </c>
      <c r="D1431" s="13">
        <v>45540</v>
      </c>
      <c r="E1431" s="9">
        <v>267057</v>
      </c>
    </row>
    <row r="1432" spans="1:5" x14ac:dyDescent="0.25">
      <c r="A1432" s="8" t="s">
        <v>1369</v>
      </c>
      <c r="B1432" s="8" t="s">
        <v>1338</v>
      </c>
      <c r="C1432" s="8" t="s">
        <v>27</v>
      </c>
      <c r="D1432" s="13">
        <v>45544</v>
      </c>
      <c r="E1432" s="9">
        <v>227034</v>
      </c>
    </row>
    <row r="1433" spans="1:5" x14ac:dyDescent="0.25">
      <c r="A1433" s="8" t="s">
        <v>1370</v>
      </c>
      <c r="B1433" s="8" t="s">
        <v>1338</v>
      </c>
      <c r="C1433" s="8" t="s">
        <v>35</v>
      </c>
      <c r="D1433" s="13">
        <v>45550</v>
      </c>
      <c r="E1433" s="9">
        <v>259166</v>
      </c>
    </row>
    <row r="1434" spans="1:5" x14ac:dyDescent="0.25">
      <c r="A1434" s="8" t="s">
        <v>1371</v>
      </c>
      <c r="B1434" s="8" t="s">
        <v>1338</v>
      </c>
      <c r="C1434" s="8" t="s">
        <v>29</v>
      </c>
      <c r="D1434" s="13">
        <v>45561</v>
      </c>
      <c r="E1434" s="9">
        <v>141478</v>
      </c>
    </row>
    <row r="1435" spans="1:5" x14ac:dyDescent="0.25">
      <c r="A1435" s="8" t="s">
        <v>1372</v>
      </c>
      <c r="B1435" s="8" t="s">
        <v>1338</v>
      </c>
      <c r="C1435" s="8" t="s">
        <v>27</v>
      </c>
      <c r="D1435" s="13">
        <v>45563</v>
      </c>
      <c r="E1435" s="9">
        <v>152263</v>
      </c>
    </row>
    <row r="1436" spans="1:5" x14ac:dyDescent="0.25">
      <c r="A1436" s="8" t="s">
        <v>1373</v>
      </c>
      <c r="B1436" s="8" t="s">
        <v>1374</v>
      </c>
      <c r="C1436" s="8" t="s">
        <v>110</v>
      </c>
      <c r="D1436" s="13">
        <v>45158</v>
      </c>
      <c r="E1436" s="9">
        <v>90548</v>
      </c>
    </row>
    <row r="1437" spans="1:5" x14ac:dyDescent="0.25">
      <c r="A1437" s="8" t="s">
        <v>1375</v>
      </c>
      <c r="B1437" s="8" t="s">
        <v>1374</v>
      </c>
      <c r="C1437" s="8" t="s">
        <v>6</v>
      </c>
      <c r="D1437" s="13">
        <v>45168</v>
      </c>
      <c r="E1437" s="9">
        <v>70780</v>
      </c>
    </row>
    <row r="1438" spans="1:5" x14ac:dyDescent="0.25">
      <c r="A1438" s="8" t="s">
        <v>1376</v>
      </c>
      <c r="B1438" s="8" t="s">
        <v>1374</v>
      </c>
      <c r="C1438" s="8" t="s">
        <v>10</v>
      </c>
      <c r="D1438" s="13">
        <v>45192</v>
      </c>
      <c r="E1438" s="9">
        <v>44009</v>
      </c>
    </row>
    <row r="1439" spans="1:5" x14ac:dyDescent="0.25">
      <c r="A1439" s="8" t="s">
        <v>1377</v>
      </c>
      <c r="B1439" s="8" t="s">
        <v>1374</v>
      </c>
      <c r="C1439" s="8" t="s">
        <v>50</v>
      </c>
      <c r="D1439" s="13">
        <v>45209</v>
      </c>
      <c r="E1439" s="9">
        <v>73822</v>
      </c>
    </row>
    <row r="1440" spans="1:5" x14ac:dyDescent="0.25">
      <c r="A1440" s="8" t="s">
        <v>1378</v>
      </c>
      <c r="B1440" s="8" t="s">
        <v>1374</v>
      </c>
      <c r="C1440" s="8" t="s">
        <v>48</v>
      </c>
      <c r="D1440" s="13">
        <v>45217</v>
      </c>
      <c r="E1440" s="9">
        <v>99866</v>
      </c>
    </row>
    <row r="1441" spans="1:5" x14ac:dyDescent="0.25">
      <c r="A1441" s="8" t="s">
        <v>1379</v>
      </c>
      <c r="B1441" s="8" t="s">
        <v>1374</v>
      </c>
      <c r="C1441" s="8" t="s">
        <v>33</v>
      </c>
      <c r="D1441" s="13">
        <v>45235</v>
      </c>
      <c r="E1441" s="9">
        <v>67555</v>
      </c>
    </row>
    <row r="1442" spans="1:5" x14ac:dyDescent="0.25">
      <c r="A1442" s="8" t="s">
        <v>1380</v>
      </c>
      <c r="B1442" s="8" t="s">
        <v>1374</v>
      </c>
      <c r="C1442" s="8" t="s">
        <v>50</v>
      </c>
      <c r="D1442" s="13">
        <v>45242</v>
      </c>
      <c r="E1442" s="9">
        <v>85556</v>
      </c>
    </row>
    <row r="1443" spans="1:5" x14ac:dyDescent="0.25">
      <c r="A1443" s="8" t="s">
        <v>1381</v>
      </c>
      <c r="B1443" s="8" t="s">
        <v>1374</v>
      </c>
      <c r="C1443" s="8" t="s">
        <v>109</v>
      </c>
      <c r="D1443" s="13">
        <v>45251</v>
      </c>
      <c r="E1443" s="9">
        <v>96012</v>
      </c>
    </row>
    <row r="1444" spans="1:5" x14ac:dyDescent="0.25">
      <c r="A1444" s="8" t="s">
        <v>1382</v>
      </c>
      <c r="B1444" s="8" t="s">
        <v>1374</v>
      </c>
      <c r="C1444" s="8" t="s">
        <v>37</v>
      </c>
      <c r="D1444" s="13">
        <v>45261</v>
      </c>
      <c r="E1444" s="9">
        <v>67886</v>
      </c>
    </row>
    <row r="1445" spans="1:5" x14ac:dyDescent="0.25">
      <c r="A1445" s="8" t="s">
        <v>1383</v>
      </c>
      <c r="B1445" s="8" t="s">
        <v>1374</v>
      </c>
      <c r="C1445" s="8" t="s">
        <v>44</v>
      </c>
      <c r="D1445" s="13">
        <v>45264</v>
      </c>
      <c r="E1445" s="9">
        <v>96630</v>
      </c>
    </row>
    <row r="1446" spans="1:5" x14ac:dyDescent="0.25">
      <c r="A1446" s="8" t="s">
        <v>1384</v>
      </c>
      <c r="B1446" s="8" t="s">
        <v>1374</v>
      </c>
      <c r="C1446" s="8" t="s">
        <v>6</v>
      </c>
      <c r="D1446" s="13">
        <v>45278</v>
      </c>
      <c r="E1446" s="9">
        <v>223629</v>
      </c>
    </row>
    <row r="1447" spans="1:5" x14ac:dyDescent="0.25">
      <c r="A1447" s="8" t="s">
        <v>1385</v>
      </c>
      <c r="B1447" s="8" t="s">
        <v>1374</v>
      </c>
      <c r="C1447" s="8" t="s">
        <v>29</v>
      </c>
      <c r="D1447" s="13">
        <v>45278</v>
      </c>
      <c r="E1447" s="9">
        <v>63418</v>
      </c>
    </row>
    <row r="1448" spans="1:5" x14ac:dyDescent="0.25">
      <c r="A1448" s="8" t="s">
        <v>1386</v>
      </c>
      <c r="B1448" s="8" t="s">
        <v>1374</v>
      </c>
      <c r="C1448" s="8" t="s">
        <v>44</v>
      </c>
      <c r="D1448" s="13">
        <v>45279</v>
      </c>
      <c r="E1448" s="9">
        <v>84657</v>
      </c>
    </row>
    <row r="1449" spans="1:5" x14ac:dyDescent="0.25">
      <c r="A1449" s="8" t="s">
        <v>1387</v>
      </c>
      <c r="B1449" s="8" t="s">
        <v>1374</v>
      </c>
      <c r="C1449" s="8" t="s">
        <v>14</v>
      </c>
      <c r="D1449" s="13">
        <v>45301</v>
      </c>
      <c r="E1449" s="9">
        <v>61378</v>
      </c>
    </row>
    <row r="1450" spans="1:5" x14ac:dyDescent="0.25">
      <c r="A1450" s="8" t="s">
        <v>1388</v>
      </c>
      <c r="B1450" s="8" t="s">
        <v>1374</v>
      </c>
      <c r="C1450" s="8" t="s">
        <v>33</v>
      </c>
      <c r="D1450" s="13">
        <v>45309</v>
      </c>
      <c r="E1450" s="9">
        <v>121486</v>
      </c>
    </row>
    <row r="1451" spans="1:5" x14ac:dyDescent="0.25">
      <c r="A1451" s="8" t="s">
        <v>1389</v>
      </c>
      <c r="B1451" s="8" t="s">
        <v>1374</v>
      </c>
      <c r="C1451" s="8" t="s">
        <v>27</v>
      </c>
      <c r="D1451" s="13">
        <v>45356</v>
      </c>
      <c r="E1451" s="9">
        <v>123330</v>
      </c>
    </row>
    <row r="1452" spans="1:5" x14ac:dyDescent="0.25">
      <c r="A1452" s="8" t="s">
        <v>1390</v>
      </c>
      <c r="B1452" s="8" t="s">
        <v>1374</v>
      </c>
      <c r="C1452" s="8" t="s">
        <v>109</v>
      </c>
      <c r="D1452" s="13">
        <v>45363</v>
      </c>
      <c r="E1452" s="9">
        <v>61861</v>
      </c>
    </row>
    <row r="1453" spans="1:5" x14ac:dyDescent="0.25">
      <c r="A1453" s="8" t="s">
        <v>1391</v>
      </c>
      <c r="B1453" s="8" t="s">
        <v>1374</v>
      </c>
      <c r="C1453" s="8" t="s">
        <v>29</v>
      </c>
      <c r="D1453" s="13">
        <v>45368</v>
      </c>
      <c r="E1453" s="9">
        <v>115836</v>
      </c>
    </row>
    <row r="1454" spans="1:5" x14ac:dyDescent="0.25">
      <c r="A1454" s="8" t="s">
        <v>1392</v>
      </c>
      <c r="B1454" s="8" t="s">
        <v>1374</v>
      </c>
      <c r="C1454" s="8" t="s">
        <v>71</v>
      </c>
      <c r="D1454" s="13">
        <v>45389</v>
      </c>
      <c r="E1454" s="9">
        <v>126491</v>
      </c>
    </row>
    <row r="1455" spans="1:5" x14ac:dyDescent="0.25">
      <c r="A1455" s="8" t="s">
        <v>1393</v>
      </c>
      <c r="B1455" s="8" t="s">
        <v>1374</v>
      </c>
      <c r="C1455" s="8" t="s">
        <v>19</v>
      </c>
      <c r="D1455" s="13">
        <v>45393</v>
      </c>
      <c r="E1455" s="9">
        <v>77965</v>
      </c>
    </row>
    <row r="1456" spans="1:5" x14ac:dyDescent="0.25">
      <c r="A1456" s="8" t="s">
        <v>1394</v>
      </c>
      <c r="B1456" s="8" t="s">
        <v>1374</v>
      </c>
      <c r="C1456" s="8" t="s">
        <v>23</v>
      </c>
      <c r="D1456" s="13">
        <v>45398</v>
      </c>
      <c r="E1456" s="9">
        <v>88086</v>
      </c>
    </row>
    <row r="1457" spans="1:5" x14ac:dyDescent="0.25">
      <c r="A1457" s="8" t="s">
        <v>1395</v>
      </c>
      <c r="B1457" s="8" t="s">
        <v>1374</v>
      </c>
      <c r="C1457" s="8" t="s">
        <v>55</v>
      </c>
      <c r="D1457" s="13">
        <v>45407</v>
      </c>
      <c r="E1457" s="9">
        <v>124123</v>
      </c>
    </row>
    <row r="1458" spans="1:5" x14ac:dyDescent="0.25">
      <c r="A1458" s="8" t="s">
        <v>1946</v>
      </c>
      <c r="B1458" s="8" t="s">
        <v>1374</v>
      </c>
      <c r="C1458" s="8" t="s">
        <v>27</v>
      </c>
      <c r="D1458" s="13">
        <v>45410</v>
      </c>
      <c r="E1458" s="9">
        <v>89896</v>
      </c>
    </row>
    <row r="1459" spans="1:5" x14ac:dyDescent="0.25">
      <c r="A1459" s="8" t="s">
        <v>1947</v>
      </c>
      <c r="B1459" s="8" t="s">
        <v>1374</v>
      </c>
      <c r="C1459" s="8" t="s">
        <v>10</v>
      </c>
      <c r="D1459" s="13">
        <v>45434</v>
      </c>
      <c r="E1459" s="9">
        <v>126139</v>
      </c>
    </row>
    <row r="1460" spans="1:5" x14ac:dyDescent="0.25">
      <c r="A1460" s="8" t="s">
        <v>1948</v>
      </c>
      <c r="B1460" s="8" t="s">
        <v>1374</v>
      </c>
      <c r="C1460" s="8" t="s">
        <v>110</v>
      </c>
      <c r="D1460" s="13">
        <v>45470</v>
      </c>
      <c r="E1460" s="9">
        <v>125673</v>
      </c>
    </row>
    <row r="1461" spans="1:5" x14ac:dyDescent="0.25">
      <c r="A1461" s="8" t="s">
        <v>1949</v>
      </c>
      <c r="B1461" s="8" t="s">
        <v>1374</v>
      </c>
      <c r="C1461" s="8" t="s">
        <v>25</v>
      </c>
      <c r="D1461" s="13">
        <v>45474</v>
      </c>
      <c r="E1461" s="9">
        <v>90345</v>
      </c>
    </row>
    <row r="1462" spans="1:5" x14ac:dyDescent="0.25">
      <c r="A1462" s="8" t="s">
        <v>1950</v>
      </c>
      <c r="B1462" s="8" t="s">
        <v>1374</v>
      </c>
      <c r="C1462" s="8" t="s">
        <v>14</v>
      </c>
      <c r="D1462" s="13">
        <v>45478</v>
      </c>
      <c r="E1462" s="9">
        <v>107377</v>
      </c>
    </row>
    <row r="1463" spans="1:5" x14ac:dyDescent="0.25">
      <c r="A1463" s="8" t="s">
        <v>1951</v>
      </c>
      <c r="B1463" s="8" t="s">
        <v>1374</v>
      </c>
      <c r="C1463" s="8" t="s">
        <v>71</v>
      </c>
      <c r="D1463" s="13">
        <v>45483</v>
      </c>
      <c r="E1463" s="9">
        <v>65010</v>
      </c>
    </row>
    <row r="1464" spans="1:5" x14ac:dyDescent="0.25">
      <c r="A1464" s="8" t="s">
        <v>1952</v>
      </c>
      <c r="B1464" s="8" t="s">
        <v>1374</v>
      </c>
      <c r="C1464" s="8" t="s">
        <v>14</v>
      </c>
      <c r="D1464" s="13">
        <v>45490</v>
      </c>
      <c r="E1464" s="9">
        <v>101202</v>
      </c>
    </row>
    <row r="1465" spans="1:5" x14ac:dyDescent="0.25">
      <c r="A1465" s="8" t="s">
        <v>1953</v>
      </c>
      <c r="B1465" s="8" t="s">
        <v>1374</v>
      </c>
      <c r="C1465" s="8" t="s">
        <v>55</v>
      </c>
      <c r="D1465" s="13">
        <v>45499</v>
      </c>
      <c r="E1465" s="9">
        <v>121622</v>
      </c>
    </row>
    <row r="1466" spans="1:5" x14ac:dyDescent="0.25">
      <c r="A1466" s="8" t="s">
        <v>1954</v>
      </c>
      <c r="B1466" s="8" t="s">
        <v>1374</v>
      </c>
      <c r="C1466" s="8" t="s">
        <v>55</v>
      </c>
      <c r="D1466" s="13">
        <v>45533</v>
      </c>
      <c r="E1466" s="9">
        <v>61057</v>
      </c>
    </row>
    <row r="1467" spans="1:5" x14ac:dyDescent="0.25">
      <c r="A1467" s="8" t="s">
        <v>1955</v>
      </c>
      <c r="B1467" s="8" t="s">
        <v>1374</v>
      </c>
      <c r="C1467" s="8" t="s">
        <v>35</v>
      </c>
      <c r="D1467" s="13">
        <v>45533</v>
      </c>
      <c r="E1467" s="9">
        <v>117684</v>
      </c>
    </row>
    <row r="1468" spans="1:5" x14ac:dyDescent="0.25">
      <c r="A1468" s="8" t="s">
        <v>1956</v>
      </c>
      <c r="B1468" s="8" t="s">
        <v>1374</v>
      </c>
      <c r="C1468" s="8" t="s">
        <v>29</v>
      </c>
      <c r="D1468" s="13">
        <v>45537</v>
      </c>
      <c r="E1468" s="9">
        <v>71003</v>
      </c>
    </row>
    <row r="1469" spans="1:5" x14ac:dyDescent="0.25">
      <c r="A1469" s="8" t="s">
        <v>1957</v>
      </c>
      <c r="B1469" s="8" t="s">
        <v>1374</v>
      </c>
      <c r="C1469" s="8" t="s">
        <v>55</v>
      </c>
      <c r="D1469" s="13">
        <v>45558</v>
      </c>
      <c r="E1469" s="9">
        <v>69982</v>
      </c>
    </row>
    <row r="1470" spans="1:5" x14ac:dyDescent="0.25">
      <c r="A1470" s="8" t="s">
        <v>1958</v>
      </c>
      <c r="B1470" s="8" t="s">
        <v>1374</v>
      </c>
      <c r="C1470" s="8" t="s">
        <v>48</v>
      </c>
      <c r="D1470" s="13">
        <v>45559</v>
      </c>
      <c r="E1470" s="9">
        <v>81811</v>
      </c>
    </row>
    <row r="1471" spans="1:5" x14ac:dyDescent="0.25">
      <c r="A1471" s="8" t="s">
        <v>1959</v>
      </c>
      <c r="B1471" s="8" t="s">
        <v>1374</v>
      </c>
      <c r="C1471" s="8" t="s">
        <v>8</v>
      </c>
      <c r="D1471" s="13">
        <v>45566</v>
      </c>
      <c r="E1471" s="9">
        <v>220373</v>
      </c>
    </row>
    <row r="1472" spans="1:5" x14ac:dyDescent="0.25">
      <c r="A1472" s="8" t="s">
        <v>1960</v>
      </c>
      <c r="B1472" s="8" t="s">
        <v>1374</v>
      </c>
      <c r="C1472" s="8" t="s">
        <v>8</v>
      </c>
      <c r="D1472" s="13">
        <v>45575</v>
      </c>
      <c r="E1472" s="9">
        <v>58694</v>
      </c>
    </row>
    <row r="1473" spans="1:5" x14ac:dyDescent="0.25">
      <c r="A1473" s="8" t="s">
        <v>1961</v>
      </c>
      <c r="B1473" s="8" t="s">
        <v>1374</v>
      </c>
      <c r="C1473" s="8" t="s">
        <v>14</v>
      </c>
      <c r="D1473" s="13">
        <v>45585</v>
      </c>
      <c r="E1473" s="9">
        <v>54890</v>
      </c>
    </row>
    <row r="1474" spans="1:5" x14ac:dyDescent="0.25">
      <c r="A1474" s="8" t="s">
        <v>1962</v>
      </c>
      <c r="B1474" s="8" t="s">
        <v>1374</v>
      </c>
      <c r="C1474" s="8" t="s">
        <v>14</v>
      </c>
      <c r="D1474" s="13">
        <v>45585</v>
      </c>
      <c r="E1474" s="9">
        <v>53138</v>
      </c>
    </row>
    <row r="1475" spans="1:5" x14ac:dyDescent="0.25">
      <c r="A1475" s="8" t="s">
        <v>1963</v>
      </c>
      <c r="B1475" s="8" t="s">
        <v>1374</v>
      </c>
      <c r="C1475" s="8" t="s">
        <v>55</v>
      </c>
      <c r="D1475" s="13">
        <v>45630</v>
      </c>
      <c r="E1475" s="9">
        <v>71947</v>
      </c>
    </row>
    <row r="1476" spans="1:5" x14ac:dyDescent="0.25">
      <c r="A1476" s="8" t="s">
        <v>1964</v>
      </c>
      <c r="B1476" s="8" t="s">
        <v>1374</v>
      </c>
      <c r="C1476" s="8" t="s">
        <v>110</v>
      </c>
      <c r="D1476" s="13">
        <v>45632</v>
      </c>
      <c r="E1476" s="9">
        <v>101425</v>
      </c>
    </row>
    <row r="1477" spans="1:5" x14ac:dyDescent="0.25">
      <c r="A1477" s="8" t="s">
        <v>1965</v>
      </c>
      <c r="B1477" s="8" t="s">
        <v>1374</v>
      </c>
      <c r="C1477" s="8" t="s">
        <v>12</v>
      </c>
      <c r="D1477" s="13">
        <v>45633</v>
      </c>
      <c r="E1477" s="9">
        <v>43551</v>
      </c>
    </row>
    <row r="1478" spans="1:5" x14ac:dyDescent="0.25">
      <c r="A1478" s="8" t="s">
        <v>1966</v>
      </c>
      <c r="B1478" s="8" t="s">
        <v>1374</v>
      </c>
      <c r="C1478" s="8" t="s">
        <v>23</v>
      </c>
      <c r="D1478" s="13">
        <v>45639</v>
      </c>
      <c r="E1478" s="9">
        <v>50823</v>
      </c>
    </row>
    <row r="1479" spans="1:5" x14ac:dyDescent="0.25">
      <c r="A1479" s="8" t="s">
        <v>1967</v>
      </c>
      <c r="B1479" s="8" t="s">
        <v>1374</v>
      </c>
      <c r="C1479" s="8" t="s">
        <v>6</v>
      </c>
      <c r="D1479" s="13">
        <v>45661</v>
      </c>
      <c r="E1479" s="9">
        <v>56238</v>
      </c>
    </row>
    <row r="1480" spans="1:5" x14ac:dyDescent="0.25">
      <c r="A1480" s="8" t="s">
        <v>1968</v>
      </c>
      <c r="B1480" s="8" t="s">
        <v>1374</v>
      </c>
      <c r="C1480" s="8" t="s">
        <v>35</v>
      </c>
      <c r="D1480" s="13">
        <v>45673</v>
      </c>
      <c r="E1480" s="9">
        <v>77334</v>
      </c>
    </row>
    <row r="1481" spans="1:5" x14ac:dyDescent="0.25">
      <c r="A1481" s="8" t="s">
        <v>1969</v>
      </c>
      <c r="B1481" s="8" t="s">
        <v>1374</v>
      </c>
      <c r="C1481" s="8" t="s">
        <v>71</v>
      </c>
      <c r="D1481" s="13">
        <v>45684</v>
      </c>
      <c r="E1481" s="9">
        <v>106252</v>
      </c>
    </row>
    <row r="1482" spans="1:5" x14ac:dyDescent="0.25">
      <c r="A1482" s="8" t="s">
        <v>1970</v>
      </c>
      <c r="B1482" s="8" t="s">
        <v>1374</v>
      </c>
      <c r="C1482" s="8" t="s">
        <v>109</v>
      </c>
      <c r="D1482" s="13">
        <v>45688</v>
      </c>
      <c r="E1482" s="9">
        <v>42749</v>
      </c>
    </row>
    <row r="1483" spans="1:5" x14ac:dyDescent="0.25">
      <c r="A1483" s="8" t="s">
        <v>1971</v>
      </c>
      <c r="B1483" s="8" t="s">
        <v>1374</v>
      </c>
      <c r="C1483" s="8" t="s">
        <v>35</v>
      </c>
      <c r="D1483" s="13">
        <v>45698</v>
      </c>
      <c r="E1483" s="9">
        <v>91574</v>
      </c>
    </row>
    <row r="1484" spans="1:5" x14ac:dyDescent="0.25">
      <c r="A1484" s="8" t="s">
        <v>1972</v>
      </c>
      <c r="B1484" s="8" t="s">
        <v>1374</v>
      </c>
      <c r="C1484" s="8" t="s">
        <v>21</v>
      </c>
      <c r="D1484" s="13">
        <v>45710</v>
      </c>
      <c r="E1484" s="9">
        <v>92778</v>
      </c>
    </row>
    <row r="1485" spans="1:5" x14ac:dyDescent="0.25">
      <c r="A1485" s="8" t="s">
        <v>1973</v>
      </c>
      <c r="B1485" s="8" t="s">
        <v>1374</v>
      </c>
      <c r="C1485" s="8" t="s">
        <v>10</v>
      </c>
      <c r="D1485" s="13">
        <v>45715</v>
      </c>
      <c r="E1485" s="9">
        <v>107608</v>
      </c>
    </row>
    <row r="1486" spans="1:5" x14ac:dyDescent="0.25">
      <c r="A1486" s="8" t="s">
        <v>1974</v>
      </c>
      <c r="B1486" s="8" t="s">
        <v>1374</v>
      </c>
      <c r="C1486" s="8" t="s">
        <v>33</v>
      </c>
      <c r="D1486" s="13">
        <v>45722</v>
      </c>
      <c r="E1486" s="9">
        <v>86134</v>
      </c>
    </row>
    <row r="1487" spans="1:5" x14ac:dyDescent="0.25">
      <c r="A1487" s="8" t="s">
        <v>1975</v>
      </c>
      <c r="B1487" s="8" t="s">
        <v>1374</v>
      </c>
      <c r="C1487" s="8" t="s">
        <v>14</v>
      </c>
      <c r="D1487" s="13">
        <v>45733</v>
      </c>
      <c r="E1487" s="9">
        <v>67658</v>
      </c>
    </row>
    <row r="1488" spans="1:5" x14ac:dyDescent="0.25">
      <c r="A1488" s="8" t="s">
        <v>1976</v>
      </c>
      <c r="B1488" s="8" t="s">
        <v>1374</v>
      </c>
      <c r="C1488" s="8" t="s">
        <v>35</v>
      </c>
      <c r="D1488" s="13">
        <v>45737</v>
      </c>
      <c r="E1488" s="9">
        <v>65299</v>
      </c>
    </row>
    <row r="1489" spans="1:5" x14ac:dyDescent="0.25">
      <c r="A1489" s="8" t="s">
        <v>1977</v>
      </c>
      <c r="B1489" s="8" t="s">
        <v>1374</v>
      </c>
      <c r="C1489" s="8" t="s">
        <v>55</v>
      </c>
      <c r="D1489" s="13">
        <v>45754</v>
      </c>
      <c r="E1489" s="9">
        <v>58424</v>
      </c>
    </row>
    <row r="1490" spans="1:5" x14ac:dyDescent="0.25">
      <c r="A1490" s="8" t="s">
        <v>1978</v>
      </c>
      <c r="B1490" s="8" t="s">
        <v>1374</v>
      </c>
      <c r="C1490" s="8" t="s">
        <v>50</v>
      </c>
      <c r="D1490" s="13">
        <v>45793</v>
      </c>
      <c r="E1490" s="9">
        <v>48588</v>
      </c>
    </row>
    <row r="1491" spans="1:5" x14ac:dyDescent="0.25">
      <c r="A1491" s="8" t="s">
        <v>1979</v>
      </c>
      <c r="B1491" s="8" t="s">
        <v>1374</v>
      </c>
      <c r="C1491" s="8" t="s">
        <v>55</v>
      </c>
      <c r="D1491" s="13">
        <v>45829</v>
      </c>
      <c r="E1491" s="9">
        <v>70447</v>
      </c>
    </row>
    <row r="1492" spans="1:5" x14ac:dyDescent="0.25">
      <c r="A1492" s="8" t="s">
        <v>1980</v>
      </c>
      <c r="B1492" s="8" t="s">
        <v>1374</v>
      </c>
      <c r="C1492" s="8" t="s">
        <v>55</v>
      </c>
      <c r="D1492" s="13">
        <v>45834</v>
      </c>
      <c r="E1492" s="9">
        <v>107475</v>
      </c>
    </row>
    <row r="1493" spans="1:5" x14ac:dyDescent="0.25">
      <c r="A1493" s="8" t="s">
        <v>1981</v>
      </c>
      <c r="B1493" s="8" t="s">
        <v>1374</v>
      </c>
      <c r="C1493" s="8" t="s">
        <v>91</v>
      </c>
      <c r="D1493" s="13">
        <v>45846</v>
      </c>
      <c r="E1493" s="9">
        <v>276830</v>
      </c>
    </row>
    <row r="1494" spans="1:5" x14ac:dyDescent="0.25">
      <c r="A1494" s="8" t="s">
        <v>1982</v>
      </c>
      <c r="B1494" s="8" t="s">
        <v>1374</v>
      </c>
      <c r="C1494" s="8" t="s">
        <v>110</v>
      </c>
      <c r="D1494" s="13">
        <v>45866</v>
      </c>
      <c r="E1494" s="9">
        <v>37629</v>
      </c>
    </row>
    <row r="1495" spans="1:5" x14ac:dyDescent="0.25">
      <c r="A1495" s="8" t="s">
        <v>1983</v>
      </c>
      <c r="B1495" s="8" t="s">
        <v>1374</v>
      </c>
      <c r="C1495" s="8" t="s">
        <v>21</v>
      </c>
      <c r="D1495" s="13">
        <v>45887</v>
      </c>
      <c r="E1495" s="9">
        <v>99242</v>
      </c>
    </row>
    <row r="1496" spans="1:5" x14ac:dyDescent="0.25">
      <c r="A1496" s="8" t="s">
        <v>1396</v>
      </c>
      <c r="B1496" s="8" t="s">
        <v>1397</v>
      </c>
      <c r="C1496" s="8" t="s">
        <v>109</v>
      </c>
      <c r="D1496" s="13">
        <v>45221</v>
      </c>
      <c r="E1496" s="9">
        <v>176695</v>
      </c>
    </row>
    <row r="1497" spans="1:5" x14ac:dyDescent="0.25">
      <c r="A1497" s="8" t="s">
        <v>1398</v>
      </c>
      <c r="B1497" s="8" t="s">
        <v>1397</v>
      </c>
      <c r="C1497" s="8" t="s">
        <v>6</v>
      </c>
      <c r="D1497" s="13">
        <v>45223</v>
      </c>
      <c r="E1497" s="9">
        <v>84854</v>
      </c>
    </row>
    <row r="1498" spans="1:5" x14ac:dyDescent="0.25">
      <c r="A1498" s="8" t="s">
        <v>1399</v>
      </c>
      <c r="B1498" s="8" t="s">
        <v>1397</v>
      </c>
      <c r="C1498" s="8" t="s">
        <v>110</v>
      </c>
      <c r="D1498" s="13">
        <v>45226</v>
      </c>
      <c r="E1498" s="9">
        <v>191524</v>
      </c>
    </row>
    <row r="1499" spans="1:5" x14ac:dyDescent="0.25">
      <c r="A1499" s="8" t="s">
        <v>1400</v>
      </c>
      <c r="B1499" s="8" t="s">
        <v>1397</v>
      </c>
      <c r="C1499" s="8" t="s">
        <v>108</v>
      </c>
      <c r="D1499" s="13">
        <v>45237</v>
      </c>
      <c r="E1499" s="9">
        <v>193146</v>
      </c>
    </row>
    <row r="1500" spans="1:5" x14ac:dyDescent="0.25">
      <c r="A1500" s="8" t="s">
        <v>1401</v>
      </c>
      <c r="B1500" s="8" t="s">
        <v>1397</v>
      </c>
      <c r="C1500" s="8" t="s">
        <v>91</v>
      </c>
      <c r="D1500" s="13">
        <v>45246</v>
      </c>
      <c r="E1500" s="9">
        <v>111328</v>
      </c>
    </row>
    <row r="1501" spans="1:5" x14ac:dyDescent="0.25">
      <c r="A1501" s="8" t="s">
        <v>1402</v>
      </c>
      <c r="B1501" s="8" t="s">
        <v>1397</v>
      </c>
      <c r="C1501" s="8" t="s">
        <v>108</v>
      </c>
      <c r="D1501" s="13">
        <v>45255</v>
      </c>
      <c r="E1501" s="9">
        <v>121763</v>
      </c>
    </row>
    <row r="1502" spans="1:5" x14ac:dyDescent="0.25">
      <c r="A1502" s="8" t="s">
        <v>1403</v>
      </c>
      <c r="B1502" s="8" t="s">
        <v>1397</v>
      </c>
      <c r="C1502" s="8" t="s">
        <v>91</v>
      </c>
      <c r="D1502" s="13">
        <v>45267</v>
      </c>
      <c r="E1502" s="9">
        <v>209803</v>
      </c>
    </row>
    <row r="1503" spans="1:5" x14ac:dyDescent="0.25">
      <c r="A1503" s="8" t="s">
        <v>1404</v>
      </c>
      <c r="B1503" s="8" t="s">
        <v>1397</v>
      </c>
      <c r="C1503" s="8" t="s">
        <v>25</v>
      </c>
      <c r="D1503" s="13">
        <v>45274</v>
      </c>
      <c r="E1503" s="9">
        <v>115247</v>
      </c>
    </row>
    <row r="1504" spans="1:5" x14ac:dyDescent="0.25">
      <c r="A1504" s="8" t="s">
        <v>1405</v>
      </c>
      <c r="B1504" s="8" t="s">
        <v>1397</v>
      </c>
      <c r="C1504" s="8" t="s">
        <v>12</v>
      </c>
      <c r="D1504" s="13">
        <v>45277</v>
      </c>
      <c r="E1504" s="9">
        <v>192186</v>
      </c>
    </row>
    <row r="1505" spans="1:5" x14ac:dyDescent="0.25">
      <c r="A1505" s="8" t="s">
        <v>1406</v>
      </c>
      <c r="B1505" s="8" t="s">
        <v>1397</v>
      </c>
      <c r="C1505" s="8" t="s">
        <v>10</v>
      </c>
      <c r="D1505" s="13">
        <v>45294</v>
      </c>
      <c r="E1505" s="9">
        <v>181691</v>
      </c>
    </row>
    <row r="1506" spans="1:5" x14ac:dyDescent="0.25">
      <c r="A1506" s="8" t="s">
        <v>1407</v>
      </c>
      <c r="B1506" s="8" t="s">
        <v>1397</v>
      </c>
      <c r="C1506" s="8" t="s">
        <v>17</v>
      </c>
      <c r="D1506" s="13">
        <v>45302</v>
      </c>
      <c r="E1506" s="9">
        <v>107354</v>
      </c>
    </row>
    <row r="1507" spans="1:5" x14ac:dyDescent="0.25">
      <c r="A1507" s="8" t="s">
        <v>1408</v>
      </c>
      <c r="B1507" s="8" t="s">
        <v>1397</v>
      </c>
      <c r="C1507" s="8" t="s">
        <v>21</v>
      </c>
      <c r="D1507" s="13">
        <v>45313</v>
      </c>
      <c r="E1507" s="9">
        <v>181344</v>
      </c>
    </row>
    <row r="1508" spans="1:5" x14ac:dyDescent="0.25">
      <c r="A1508" s="8" t="s">
        <v>1409</v>
      </c>
      <c r="B1508" s="8" t="s">
        <v>1397</v>
      </c>
      <c r="C1508" s="8" t="s">
        <v>48</v>
      </c>
      <c r="D1508" s="13">
        <v>45314</v>
      </c>
      <c r="E1508" s="9">
        <v>153391</v>
      </c>
    </row>
    <row r="1509" spans="1:5" x14ac:dyDescent="0.25">
      <c r="A1509" s="8" t="s">
        <v>1410</v>
      </c>
      <c r="B1509" s="8" t="s">
        <v>1397</v>
      </c>
      <c r="C1509" s="8" t="s">
        <v>37</v>
      </c>
      <c r="D1509" s="13">
        <v>45353</v>
      </c>
      <c r="E1509" s="9">
        <v>181460</v>
      </c>
    </row>
    <row r="1510" spans="1:5" x14ac:dyDescent="0.25">
      <c r="A1510" s="8" t="s">
        <v>1411</v>
      </c>
      <c r="B1510" s="8" t="s">
        <v>1397</v>
      </c>
      <c r="C1510" s="8" t="s">
        <v>33</v>
      </c>
      <c r="D1510" s="13">
        <v>45386</v>
      </c>
      <c r="E1510" s="9">
        <v>193480</v>
      </c>
    </row>
    <row r="1511" spans="1:5" x14ac:dyDescent="0.25">
      <c r="A1511" s="8" t="s">
        <v>1412</v>
      </c>
      <c r="B1511" s="8" t="s">
        <v>1397</v>
      </c>
      <c r="C1511" s="8" t="s">
        <v>12</v>
      </c>
      <c r="D1511" s="13">
        <v>45391</v>
      </c>
      <c r="E1511" s="9">
        <v>209697</v>
      </c>
    </row>
    <row r="1512" spans="1:5" x14ac:dyDescent="0.25">
      <c r="A1512" s="8" t="s">
        <v>1413</v>
      </c>
      <c r="B1512" s="8" t="s">
        <v>1397</v>
      </c>
      <c r="C1512" s="8" t="s">
        <v>10</v>
      </c>
      <c r="D1512" s="13">
        <v>45393</v>
      </c>
      <c r="E1512" s="9">
        <v>206177</v>
      </c>
    </row>
    <row r="1513" spans="1:5" x14ac:dyDescent="0.25">
      <c r="A1513" s="8" t="s">
        <v>1414</v>
      </c>
      <c r="B1513" s="8" t="s">
        <v>1415</v>
      </c>
      <c r="C1513" s="8" t="s">
        <v>8</v>
      </c>
      <c r="D1513" s="13">
        <v>45187</v>
      </c>
      <c r="E1513" s="9">
        <v>130643</v>
      </c>
    </row>
    <row r="1514" spans="1:5" x14ac:dyDescent="0.25">
      <c r="A1514" s="8" t="s">
        <v>1416</v>
      </c>
      <c r="B1514" s="8" t="s">
        <v>1415</v>
      </c>
      <c r="C1514" s="8" t="s">
        <v>27</v>
      </c>
      <c r="D1514" s="13">
        <v>45190</v>
      </c>
      <c r="E1514" s="9">
        <v>192507</v>
      </c>
    </row>
    <row r="1515" spans="1:5" x14ac:dyDescent="0.25">
      <c r="A1515" s="8" t="s">
        <v>1417</v>
      </c>
      <c r="B1515" s="8" t="s">
        <v>1415</v>
      </c>
      <c r="C1515" s="8" t="s">
        <v>44</v>
      </c>
      <c r="D1515" s="13">
        <v>45192</v>
      </c>
      <c r="E1515" s="9">
        <v>80639</v>
      </c>
    </row>
    <row r="1516" spans="1:5" x14ac:dyDescent="0.25">
      <c r="A1516" s="8" t="s">
        <v>1418</v>
      </c>
      <c r="B1516" s="8" t="s">
        <v>1415</v>
      </c>
      <c r="C1516" s="8" t="s">
        <v>29</v>
      </c>
      <c r="D1516" s="13">
        <v>45203</v>
      </c>
      <c r="E1516" s="9">
        <v>124074</v>
      </c>
    </row>
    <row r="1517" spans="1:5" x14ac:dyDescent="0.25">
      <c r="A1517" s="8" t="s">
        <v>1419</v>
      </c>
      <c r="B1517" s="8" t="s">
        <v>1415</v>
      </c>
      <c r="C1517" s="8" t="s">
        <v>73</v>
      </c>
      <c r="D1517" s="13">
        <v>45209</v>
      </c>
      <c r="E1517" s="9">
        <v>174190</v>
      </c>
    </row>
    <row r="1518" spans="1:5" x14ac:dyDescent="0.25">
      <c r="A1518" s="8" t="s">
        <v>1420</v>
      </c>
      <c r="B1518" s="8" t="s">
        <v>1415</v>
      </c>
      <c r="C1518" s="8" t="s">
        <v>17</v>
      </c>
      <c r="D1518" s="13">
        <v>45214</v>
      </c>
      <c r="E1518" s="9">
        <v>80608</v>
      </c>
    </row>
    <row r="1519" spans="1:5" x14ac:dyDescent="0.25">
      <c r="A1519" s="8" t="s">
        <v>1421</v>
      </c>
      <c r="B1519" s="8" t="s">
        <v>1415</v>
      </c>
      <c r="C1519" s="8" t="s">
        <v>108</v>
      </c>
      <c r="D1519" s="13">
        <v>45215</v>
      </c>
      <c r="E1519" s="9">
        <v>84940</v>
      </c>
    </row>
    <row r="1520" spans="1:5" x14ac:dyDescent="0.25">
      <c r="A1520" s="8" t="s">
        <v>1422</v>
      </c>
      <c r="B1520" s="8" t="s">
        <v>1415</v>
      </c>
      <c r="C1520" s="8" t="s">
        <v>25</v>
      </c>
      <c r="D1520" s="13">
        <v>45237</v>
      </c>
      <c r="E1520" s="9">
        <v>81978</v>
      </c>
    </row>
    <row r="1521" spans="1:5" x14ac:dyDescent="0.25">
      <c r="A1521" s="8" t="s">
        <v>1423</v>
      </c>
      <c r="B1521" s="8" t="s">
        <v>1415</v>
      </c>
      <c r="C1521" s="8" t="s">
        <v>17</v>
      </c>
      <c r="D1521" s="13">
        <v>45242</v>
      </c>
      <c r="E1521" s="9">
        <v>190882</v>
      </c>
    </row>
    <row r="1522" spans="1:5" x14ac:dyDescent="0.25">
      <c r="A1522" s="8" t="s">
        <v>1424</v>
      </c>
      <c r="B1522" s="8" t="s">
        <v>1415</v>
      </c>
      <c r="C1522" s="8" t="s">
        <v>50</v>
      </c>
      <c r="D1522" s="13">
        <v>45255</v>
      </c>
      <c r="E1522" s="9">
        <v>96934</v>
      </c>
    </row>
    <row r="1523" spans="1:5" x14ac:dyDescent="0.25">
      <c r="A1523" s="8" t="s">
        <v>1425</v>
      </c>
      <c r="B1523" s="8" t="s">
        <v>1415</v>
      </c>
      <c r="C1523" s="8" t="s">
        <v>8</v>
      </c>
      <c r="D1523" s="13">
        <v>45268</v>
      </c>
      <c r="E1523" s="9">
        <v>195457</v>
      </c>
    </row>
    <row r="1524" spans="1:5" x14ac:dyDescent="0.25">
      <c r="A1524" s="8" t="s">
        <v>1426</v>
      </c>
      <c r="B1524" s="8" t="s">
        <v>1415</v>
      </c>
      <c r="C1524" s="8" t="s">
        <v>27</v>
      </c>
      <c r="D1524" s="13">
        <v>45272</v>
      </c>
      <c r="E1524" s="9">
        <v>206652</v>
      </c>
    </row>
    <row r="1525" spans="1:5" x14ac:dyDescent="0.25">
      <c r="A1525" s="8" t="s">
        <v>1427</v>
      </c>
      <c r="B1525" s="8" t="s">
        <v>1415</v>
      </c>
      <c r="C1525" s="8" t="s">
        <v>71</v>
      </c>
      <c r="D1525" s="13">
        <v>45276</v>
      </c>
      <c r="E1525" s="9">
        <v>78881</v>
      </c>
    </row>
    <row r="1526" spans="1:5" x14ac:dyDescent="0.25">
      <c r="A1526" s="8" t="s">
        <v>1428</v>
      </c>
      <c r="B1526" s="8" t="s">
        <v>1415</v>
      </c>
      <c r="C1526" s="8" t="s">
        <v>10</v>
      </c>
      <c r="D1526" s="13">
        <v>45281</v>
      </c>
      <c r="E1526" s="9">
        <v>110431</v>
      </c>
    </row>
    <row r="1527" spans="1:5" x14ac:dyDescent="0.25">
      <c r="A1527" s="8" t="s">
        <v>1429</v>
      </c>
      <c r="B1527" s="8" t="s">
        <v>1415</v>
      </c>
      <c r="C1527" s="8" t="s">
        <v>14</v>
      </c>
      <c r="D1527" s="13">
        <v>45293</v>
      </c>
      <c r="E1527" s="9">
        <v>116756</v>
      </c>
    </row>
    <row r="1528" spans="1:5" x14ac:dyDescent="0.25">
      <c r="A1528" s="8" t="s">
        <v>1430</v>
      </c>
      <c r="B1528" s="8" t="s">
        <v>1415</v>
      </c>
      <c r="C1528" s="8" t="s">
        <v>29</v>
      </c>
      <c r="D1528" s="13">
        <v>45329</v>
      </c>
      <c r="E1528" s="9">
        <v>92222</v>
      </c>
    </row>
    <row r="1529" spans="1:5" x14ac:dyDescent="0.25">
      <c r="A1529" s="8" t="s">
        <v>1431</v>
      </c>
      <c r="B1529" s="8" t="s">
        <v>1415</v>
      </c>
      <c r="C1529" s="8" t="s">
        <v>10</v>
      </c>
      <c r="D1529" s="13">
        <v>45332</v>
      </c>
      <c r="E1529" s="9">
        <v>267790</v>
      </c>
    </row>
    <row r="1530" spans="1:5" x14ac:dyDescent="0.25">
      <c r="A1530" s="8" t="s">
        <v>1432</v>
      </c>
      <c r="B1530" s="8" t="s">
        <v>1415</v>
      </c>
      <c r="C1530" s="8" t="s">
        <v>21</v>
      </c>
      <c r="D1530" s="13">
        <v>45336</v>
      </c>
      <c r="E1530" s="9">
        <v>148197</v>
      </c>
    </row>
    <row r="1531" spans="1:5" x14ac:dyDescent="0.25">
      <c r="A1531" s="8" t="s">
        <v>1433</v>
      </c>
      <c r="B1531" s="8" t="s">
        <v>1415</v>
      </c>
      <c r="C1531" s="8" t="s">
        <v>12</v>
      </c>
      <c r="D1531" s="13">
        <v>45336</v>
      </c>
      <c r="E1531" s="9">
        <v>164282</v>
      </c>
    </row>
    <row r="1532" spans="1:5" x14ac:dyDescent="0.25">
      <c r="A1532" s="8" t="s">
        <v>1434</v>
      </c>
      <c r="B1532" s="8" t="s">
        <v>1415</v>
      </c>
      <c r="C1532" s="8" t="s">
        <v>25</v>
      </c>
      <c r="D1532" s="13">
        <v>45387</v>
      </c>
      <c r="E1532" s="9">
        <v>237391</v>
      </c>
    </row>
    <row r="1533" spans="1:5" x14ac:dyDescent="0.25">
      <c r="A1533" s="8" t="s">
        <v>1435</v>
      </c>
      <c r="B1533" s="8" t="s">
        <v>1415</v>
      </c>
      <c r="C1533" s="8" t="s">
        <v>50</v>
      </c>
      <c r="D1533" s="13">
        <v>45403</v>
      </c>
      <c r="E1533" s="9">
        <v>205473</v>
      </c>
    </row>
    <row r="1534" spans="1:5" x14ac:dyDescent="0.25">
      <c r="A1534" s="8" t="s">
        <v>1436</v>
      </c>
      <c r="B1534" s="8" t="s">
        <v>1415</v>
      </c>
      <c r="C1534" s="8" t="s">
        <v>19</v>
      </c>
      <c r="D1534" s="13">
        <v>45412</v>
      </c>
      <c r="E1534" s="9">
        <v>239189</v>
      </c>
    </row>
    <row r="1535" spans="1:5" x14ac:dyDescent="0.25">
      <c r="A1535" s="8" t="s">
        <v>1437</v>
      </c>
      <c r="B1535" s="8" t="s">
        <v>1438</v>
      </c>
      <c r="C1535" s="8" t="s">
        <v>10</v>
      </c>
      <c r="D1535" s="13">
        <v>45170</v>
      </c>
      <c r="E1535" s="9">
        <v>43424</v>
      </c>
    </row>
    <row r="1536" spans="1:5" x14ac:dyDescent="0.25">
      <c r="A1536" s="8" t="s">
        <v>1439</v>
      </c>
      <c r="B1536" s="8" t="s">
        <v>1438</v>
      </c>
      <c r="C1536" s="8" t="s">
        <v>23</v>
      </c>
      <c r="D1536" s="13">
        <v>45195</v>
      </c>
      <c r="E1536" s="9">
        <v>22288</v>
      </c>
    </row>
    <row r="1537" spans="1:5" x14ac:dyDescent="0.25">
      <c r="A1537" s="8" t="s">
        <v>1440</v>
      </c>
      <c r="B1537" s="8" t="s">
        <v>1438</v>
      </c>
      <c r="C1537" s="8" t="s">
        <v>6</v>
      </c>
      <c r="D1537" s="13">
        <v>45197</v>
      </c>
      <c r="E1537" s="9">
        <v>24398</v>
      </c>
    </row>
    <row r="1538" spans="1:5" x14ac:dyDescent="0.25">
      <c r="A1538" s="8" t="s">
        <v>1441</v>
      </c>
      <c r="B1538" s="8" t="s">
        <v>1438</v>
      </c>
      <c r="C1538" s="8" t="s">
        <v>25</v>
      </c>
      <c r="D1538" s="13">
        <v>45226</v>
      </c>
      <c r="E1538" s="9">
        <v>52214</v>
      </c>
    </row>
    <row r="1539" spans="1:5" x14ac:dyDescent="0.25">
      <c r="A1539" s="8" t="s">
        <v>1442</v>
      </c>
      <c r="B1539" s="8" t="s">
        <v>1438</v>
      </c>
      <c r="C1539" s="8" t="s">
        <v>33</v>
      </c>
      <c r="D1539" s="13">
        <v>45243</v>
      </c>
      <c r="E1539" s="9">
        <v>20273</v>
      </c>
    </row>
    <row r="1540" spans="1:5" x14ac:dyDescent="0.25">
      <c r="A1540" s="8" t="s">
        <v>1443</v>
      </c>
      <c r="B1540" s="8" t="s">
        <v>1438</v>
      </c>
      <c r="C1540" s="8" t="s">
        <v>17</v>
      </c>
      <c r="D1540" s="13">
        <v>45261</v>
      </c>
      <c r="E1540" s="9">
        <v>30691</v>
      </c>
    </row>
    <row r="1541" spans="1:5" x14ac:dyDescent="0.25">
      <c r="A1541" s="8" t="s">
        <v>1444</v>
      </c>
      <c r="B1541" s="8" t="s">
        <v>1438</v>
      </c>
      <c r="C1541" s="8" t="s">
        <v>27</v>
      </c>
      <c r="D1541" s="13">
        <v>45308</v>
      </c>
      <c r="E1541" s="9">
        <v>40586</v>
      </c>
    </row>
    <row r="1542" spans="1:5" x14ac:dyDescent="0.25">
      <c r="A1542" s="8" t="s">
        <v>1445</v>
      </c>
      <c r="B1542" s="8" t="s">
        <v>1438</v>
      </c>
      <c r="C1542" s="8" t="s">
        <v>91</v>
      </c>
      <c r="D1542" s="13">
        <v>45314</v>
      </c>
      <c r="E1542" s="9">
        <v>58424</v>
      </c>
    </row>
    <row r="1543" spans="1:5" x14ac:dyDescent="0.25">
      <c r="A1543" s="8" t="s">
        <v>1446</v>
      </c>
      <c r="B1543" s="8" t="s">
        <v>1438</v>
      </c>
      <c r="C1543" s="8" t="s">
        <v>91</v>
      </c>
      <c r="D1543" s="13">
        <v>45320</v>
      </c>
      <c r="E1543" s="9">
        <v>51223</v>
      </c>
    </row>
    <row r="1544" spans="1:5" x14ac:dyDescent="0.25">
      <c r="A1544" s="8" t="s">
        <v>1447</v>
      </c>
      <c r="B1544" s="8" t="s">
        <v>1438</v>
      </c>
      <c r="C1544" s="8" t="s">
        <v>37</v>
      </c>
      <c r="D1544" s="13">
        <v>45332</v>
      </c>
      <c r="E1544" s="9">
        <v>25717</v>
      </c>
    </row>
    <row r="1545" spans="1:5" x14ac:dyDescent="0.25">
      <c r="A1545" s="8" t="s">
        <v>1448</v>
      </c>
      <c r="B1545" s="8" t="s">
        <v>1438</v>
      </c>
      <c r="C1545" s="8" t="s">
        <v>73</v>
      </c>
      <c r="D1545" s="13">
        <v>45346</v>
      </c>
      <c r="E1545" s="9">
        <v>31536</v>
      </c>
    </row>
    <row r="1546" spans="1:5" x14ac:dyDescent="0.25">
      <c r="A1546" s="8" t="s">
        <v>1449</v>
      </c>
      <c r="B1546" s="8" t="s">
        <v>1438</v>
      </c>
      <c r="C1546" s="8" t="s">
        <v>55</v>
      </c>
      <c r="D1546" s="13">
        <v>45347</v>
      </c>
      <c r="E1546" s="9">
        <v>56687</v>
      </c>
    </row>
    <row r="1547" spans="1:5" x14ac:dyDescent="0.25">
      <c r="A1547" s="8" t="s">
        <v>1450</v>
      </c>
      <c r="B1547" s="8" t="s">
        <v>1438</v>
      </c>
      <c r="C1547" s="8" t="s">
        <v>17</v>
      </c>
      <c r="D1547" s="13">
        <v>45348</v>
      </c>
      <c r="E1547" s="9">
        <v>55323</v>
      </c>
    </row>
    <row r="1548" spans="1:5" x14ac:dyDescent="0.25">
      <c r="A1548" s="8" t="s">
        <v>1451</v>
      </c>
      <c r="B1548" s="8" t="s">
        <v>1438</v>
      </c>
      <c r="C1548" s="8" t="s">
        <v>71</v>
      </c>
      <c r="D1548" s="13">
        <v>45348</v>
      </c>
      <c r="E1548" s="9">
        <v>38720</v>
      </c>
    </row>
    <row r="1549" spans="1:5" x14ac:dyDescent="0.25">
      <c r="A1549" s="8" t="s">
        <v>1452</v>
      </c>
      <c r="B1549" s="8" t="s">
        <v>1438</v>
      </c>
      <c r="C1549" s="8" t="s">
        <v>12</v>
      </c>
      <c r="D1549" s="13">
        <v>45361</v>
      </c>
      <c r="E1549" s="9">
        <v>27112</v>
      </c>
    </row>
    <row r="1550" spans="1:5" x14ac:dyDescent="0.25">
      <c r="A1550" s="8" t="s">
        <v>1453</v>
      </c>
      <c r="B1550" s="8" t="s">
        <v>1438</v>
      </c>
      <c r="C1550" s="8" t="s">
        <v>8</v>
      </c>
      <c r="D1550" s="13">
        <v>45375</v>
      </c>
      <c r="E1550" s="9">
        <v>45723</v>
      </c>
    </row>
    <row r="1551" spans="1:5" x14ac:dyDescent="0.25">
      <c r="A1551" s="8" t="s">
        <v>1454</v>
      </c>
      <c r="B1551" s="8" t="s">
        <v>1438</v>
      </c>
      <c r="C1551" s="8" t="s">
        <v>19</v>
      </c>
      <c r="D1551" s="13">
        <v>45393</v>
      </c>
      <c r="E1551" s="9">
        <v>34752</v>
      </c>
    </row>
    <row r="1552" spans="1:5" x14ac:dyDescent="0.25">
      <c r="A1552" s="8" t="s">
        <v>1455</v>
      </c>
      <c r="B1552" s="8" t="s">
        <v>1438</v>
      </c>
      <c r="C1552" s="8" t="s">
        <v>23</v>
      </c>
      <c r="D1552" s="13">
        <v>45393</v>
      </c>
      <c r="E1552" s="9">
        <v>32633</v>
      </c>
    </row>
    <row r="1553" spans="1:5" x14ac:dyDescent="0.25">
      <c r="A1553" s="8" t="s">
        <v>1456</v>
      </c>
      <c r="B1553" s="8" t="s">
        <v>1438</v>
      </c>
      <c r="C1553" s="8" t="s">
        <v>21</v>
      </c>
      <c r="D1553" s="13">
        <v>45397</v>
      </c>
      <c r="E1553" s="9">
        <v>62172</v>
      </c>
    </row>
    <row r="1554" spans="1:5" x14ac:dyDescent="0.25">
      <c r="A1554" s="8" t="s">
        <v>1457</v>
      </c>
      <c r="B1554" s="8" t="s">
        <v>1438</v>
      </c>
      <c r="C1554" s="8" t="s">
        <v>17</v>
      </c>
      <c r="D1554" s="13">
        <v>45415</v>
      </c>
      <c r="E1554" s="9">
        <v>35792</v>
      </c>
    </row>
    <row r="1555" spans="1:5" x14ac:dyDescent="0.25">
      <c r="A1555" s="8" t="s">
        <v>1984</v>
      </c>
      <c r="B1555" s="8" t="s">
        <v>1438</v>
      </c>
      <c r="C1555" s="8" t="s">
        <v>44</v>
      </c>
      <c r="D1555" s="13">
        <v>45455</v>
      </c>
      <c r="E1555" s="9">
        <v>24753</v>
      </c>
    </row>
    <row r="1556" spans="1:5" x14ac:dyDescent="0.25">
      <c r="A1556" s="8" t="s">
        <v>1985</v>
      </c>
      <c r="B1556" s="8" t="s">
        <v>1438</v>
      </c>
      <c r="C1556" s="8" t="s">
        <v>10</v>
      </c>
      <c r="D1556" s="13">
        <v>45456</v>
      </c>
      <c r="E1556" s="9">
        <v>53196</v>
      </c>
    </row>
    <row r="1557" spans="1:5" x14ac:dyDescent="0.25">
      <c r="A1557" s="8" t="s">
        <v>1986</v>
      </c>
      <c r="B1557" s="8" t="s">
        <v>1438</v>
      </c>
      <c r="C1557" s="8" t="s">
        <v>35</v>
      </c>
      <c r="D1557" s="13">
        <v>45470</v>
      </c>
      <c r="E1557" s="9">
        <v>28839</v>
      </c>
    </row>
    <row r="1558" spans="1:5" x14ac:dyDescent="0.25">
      <c r="A1558" s="8" t="s">
        <v>1987</v>
      </c>
      <c r="B1558" s="8" t="s">
        <v>1438</v>
      </c>
      <c r="C1558" s="8" t="s">
        <v>35</v>
      </c>
      <c r="D1558" s="13">
        <v>45500</v>
      </c>
      <c r="E1558" s="9">
        <v>29725</v>
      </c>
    </row>
    <row r="1559" spans="1:5" x14ac:dyDescent="0.25">
      <c r="A1559" s="8" t="s">
        <v>1988</v>
      </c>
      <c r="B1559" s="8" t="s">
        <v>1438</v>
      </c>
      <c r="C1559" s="8" t="s">
        <v>91</v>
      </c>
      <c r="D1559" s="13">
        <v>45508</v>
      </c>
      <c r="E1559" s="9">
        <v>40333</v>
      </c>
    </row>
    <row r="1560" spans="1:5" x14ac:dyDescent="0.25">
      <c r="A1560" s="8" t="s">
        <v>1989</v>
      </c>
      <c r="B1560" s="8" t="s">
        <v>1438</v>
      </c>
      <c r="C1560" s="8" t="s">
        <v>110</v>
      </c>
      <c r="D1560" s="13">
        <v>45513</v>
      </c>
      <c r="E1560" s="9">
        <v>57207</v>
      </c>
    </row>
    <row r="1561" spans="1:5" x14ac:dyDescent="0.25">
      <c r="A1561" s="8" t="s">
        <v>1990</v>
      </c>
      <c r="B1561" s="8" t="s">
        <v>1438</v>
      </c>
      <c r="C1561" s="8" t="s">
        <v>17</v>
      </c>
      <c r="D1561" s="13">
        <v>45517</v>
      </c>
      <c r="E1561" s="9">
        <v>53623</v>
      </c>
    </row>
    <row r="1562" spans="1:5" x14ac:dyDescent="0.25">
      <c r="A1562" s="8" t="s">
        <v>1991</v>
      </c>
      <c r="B1562" s="8" t="s">
        <v>1438</v>
      </c>
      <c r="C1562" s="8" t="s">
        <v>14</v>
      </c>
      <c r="D1562" s="13">
        <v>45529</v>
      </c>
      <c r="E1562" s="9">
        <v>58296</v>
      </c>
    </row>
    <row r="1563" spans="1:5" x14ac:dyDescent="0.25">
      <c r="A1563" s="8" t="s">
        <v>1992</v>
      </c>
      <c r="B1563" s="8" t="s">
        <v>1438</v>
      </c>
      <c r="C1563" s="8" t="s">
        <v>10</v>
      </c>
      <c r="D1563" s="13">
        <v>45536</v>
      </c>
      <c r="E1563" s="9">
        <v>39859</v>
      </c>
    </row>
    <row r="1564" spans="1:5" x14ac:dyDescent="0.25">
      <c r="A1564" s="8" t="s">
        <v>1993</v>
      </c>
      <c r="B1564" s="8" t="s">
        <v>1438</v>
      </c>
      <c r="C1564" s="8" t="s">
        <v>23</v>
      </c>
      <c r="D1564" s="13">
        <v>45536</v>
      </c>
      <c r="E1564" s="9">
        <v>62014</v>
      </c>
    </row>
    <row r="1565" spans="1:5" x14ac:dyDescent="0.25">
      <c r="A1565" s="8" t="s">
        <v>1994</v>
      </c>
      <c r="B1565" s="8" t="s">
        <v>1438</v>
      </c>
      <c r="C1565" s="8" t="s">
        <v>55</v>
      </c>
      <c r="D1565" s="13">
        <v>45560</v>
      </c>
      <c r="E1565" s="9">
        <v>50121</v>
      </c>
    </row>
    <row r="1566" spans="1:5" x14ac:dyDescent="0.25">
      <c r="A1566" s="8" t="s">
        <v>1995</v>
      </c>
      <c r="B1566" s="8" t="s">
        <v>1438</v>
      </c>
      <c r="C1566" s="8" t="s">
        <v>8</v>
      </c>
      <c r="D1566" s="13">
        <v>45566</v>
      </c>
      <c r="E1566" s="9">
        <v>71958</v>
      </c>
    </row>
    <row r="1567" spans="1:5" x14ac:dyDescent="0.25">
      <c r="A1567" s="8" t="s">
        <v>1996</v>
      </c>
      <c r="B1567" s="8" t="s">
        <v>1438</v>
      </c>
      <c r="C1567" s="8" t="s">
        <v>29</v>
      </c>
      <c r="D1567" s="13">
        <v>45566</v>
      </c>
      <c r="E1567" s="9">
        <v>41590</v>
      </c>
    </row>
    <row r="1568" spans="1:5" x14ac:dyDescent="0.25">
      <c r="A1568" s="8" t="s">
        <v>1997</v>
      </c>
      <c r="B1568" s="8" t="s">
        <v>1438</v>
      </c>
      <c r="C1568" s="8" t="s">
        <v>73</v>
      </c>
      <c r="D1568" s="13">
        <v>45574</v>
      </c>
      <c r="E1568" s="9">
        <v>25443</v>
      </c>
    </row>
    <row r="1569" spans="1:5" x14ac:dyDescent="0.25">
      <c r="A1569" s="8" t="s">
        <v>1998</v>
      </c>
      <c r="B1569" s="8" t="s">
        <v>1438</v>
      </c>
      <c r="C1569" s="8" t="s">
        <v>21</v>
      </c>
      <c r="D1569" s="13">
        <v>45598</v>
      </c>
      <c r="E1569" s="9">
        <v>43207</v>
      </c>
    </row>
    <row r="1570" spans="1:5" x14ac:dyDescent="0.25">
      <c r="A1570" s="8" t="s">
        <v>1999</v>
      </c>
      <c r="B1570" s="8" t="s">
        <v>1438</v>
      </c>
      <c r="C1570" s="8" t="s">
        <v>10</v>
      </c>
      <c r="D1570" s="13">
        <v>45616</v>
      </c>
      <c r="E1570" s="9">
        <v>25150</v>
      </c>
    </row>
    <row r="1571" spans="1:5" x14ac:dyDescent="0.25">
      <c r="A1571" s="8" t="s">
        <v>2000</v>
      </c>
      <c r="B1571" s="8" t="s">
        <v>1438</v>
      </c>
      <c r="C1571" s="8" t="s">
        <v>50</v>
      </c>
      <c r="D1571" s="13">
        <v>45652</v>
      </c>
      <c r="E1571" s="9">
        <v>40081</v>
      </c>
    </row>
    <row r="1572" spans="1:5" x14ac:dyDescent="0.25">
      <c r="A1572" s="8" t="s">
        <v>2001</v>
      </c>
      <c r="B1572" s="8" t="s">
        <v>1438</v>
      </c>
      <c r="C1572" s="8" t="s">
        <v>55</v>
      </c>
      <c r="D1572" s="13">
        <v>45665</v>
      </c>
      <c r="E1572" s="9">
        <v>28542</v>
      </c>
    </row>
    <row r="1573" spans="1:5" x14ac:dyDescent="0.25">
      <c r="A1573" s="8" t="s">
        <v>2002</v>
      </c>
      <c r="B1573" s="8" t="s">
        <v>1438</v>
      </c>
      <c r="C1573" s="8" t="s">
        <v>50</v>
      </c>
      <c r="D1573" s="13">
        <v>45667</v>
      </c>
      <c r="E1573" s="9">
        <v>45328</v>
      </c>
    </row>
    <row r="1574" spans="1:5" x14ac:dyDescent="0.25">
      <c r="A1574" s="8" t="s">
        <v>2003</v>
      </c>
      <c r="B1574" s="8" t="s">
        <v>1438</v>
      </c>
      <c r="C1574" s="8" t="s">
        <v>17</v>
      </c>
      <c r="D1574" s="13">
        <v>45673</v>
      </c>
      <c r="E1574" s="9">
        <v>33491</v>
      </c>
    </row>
    <row r="1575" spans="1:5" x14ac:dyDescent="0.25">
      <c r="A1575" s="8" t="s">
        <v>2004</v>
      </c>
      <c r="B1575" s="8" t="s">
        <v>1438</v>
      </c>
      <c r="C1575" s="8" t="s">
        <v>14</v>
      </c>
      <c r="D1575" s="13">
        <v>45677</v>
      </c>
      <c r="E1575" s="9">
        <v>26773</v>
      </c>
    </row>
    <row r="1576" spans="1:5" x14ac:dyDescent="0.25">
      <c r="A1576" s="8" t="s">
        <v>2005</v>
      </c>
      <c r="B1576" s="8" t="s">
        <v>1438</v>
      </c>
      <c r="C1576" s="8" t="s">
        <v>44</v>
      </c>
      <c r="D1576" s="13">
        <v>45707</v>
      </c>
      <c r="E1576" s="9">
        <v>35578</v>
      </c>
    </row>
    <row r="1577" spans="1:5" x14ac:dyDescent="0.25">
      <c r="A1577" s="8" t="s">
        <v>2006</v>
      </c>
      <c r="B1577" s="8" t="s">
        <v>1438</v>
      </c>
      <c r="C1577" s="8" t="s">
        <v>23</v>
      </c>
      <c r="D1577" s="13">
        <v>45707</v>
      </c>
      <c r="E1577" s="9">
        <v>50750</v>
      </c>
    </row>
    <row r="1578" spans="1:5" x14ac:dyDescent="0.25">
      <c r="A1578" s="8" t="s">
        <v>2007</v>
      </c>
      <c r="B1578" s="8" t="s">
        <v>1438</v>
      </c>
      <c r="C1578" s="8" t="s">
        <v>50</v>
      </c>
      <c r="D1578" s="13">
        <v>45708</v>
      </c>
      <c r="E1578" s="9">
        <v>46038</v>
      </c>
    </row>
    <row r="1579" spans="1:5" x14ac:dyDescent="0.25">
      <c r="A1579" s="8" t="s">
        <v>2008</v>
      </c>
      <c r="B1579" s="8" t="s">
        <v>1438</v>
      </c>
      <c r="C1579" s="8" t="s">
        <v>50</v>
      </c>
      <c r="D1579" s="13">
        <v>45725</v>
      </c>
      <c r="E1579" s="9">
        <v>32142</v>
      </c>
    </row>
    <row r="1580" spans="1:5" x14ac:dyDescent="0.25">
      <c r="A1580" s="8" t="s">
        <v>2009</v>
      </c>
      <c r="B1580" s="8" t="s">
        <v>1438</v>
      </c>
      <c r="C1580" s="8" t="s">
        <v>27</v>
      </c>
      <c r="D1580" s="13">
        <v>45744</v>
      </c>
      <c r="E1580" s="9">
        <v>27768</v>
      </c>
    </row>
    <row r="1581" spans="1:5" x14ac:dyDescent="0.25">
      <c r="A1581" s="8" t="s">
        <v>2010</v>
      </c>
      <c r="B1581" s="8" t="s">
        <v>1438</v>
      </c>
      <c r="C1581" s="8" t="s">
        <v>73</v>
      </c>
      <c r="D1581" s="13">
        <v>45746</v>
      </c>
      <c r="E1581" s="9">
        <v>22704</v>
      </c>
    </row>
    <row r="1582" spans="1:5" x14ac:dyDescent="0.25">
      <c r="A1582" s="8" t="s">
        <v>2011</v>
      </c>
      <c r="B1582" s="8" t="s">
        <v>1438</v>
      </c>
      <c r="C1582" s="8" t="s">
        <v>29</v>
      </c>
      <c r="D1582" s="13">
        <v>45748</v>
      </c>
      <c r="E1582" s="9">
        <v>42608</v>
      </c>
    </row>
    <row r="1583" spans="1:5" x14ac:dyDescent="0.25">
      <c r="A1583" s="8" t="s">
        <v>2012</v>
      </c>
      <c r="B1583" s="8" t="s">
        <v>1438</v>
      </c>
      <c r="C1583" s="8" t="s">
        <v>73</v>
      </c>
      <c r="D1583" s="13">
        <v>45748</v>
      </c>
      <c r="E1583" s="9">
        <v>38847</v>
      </c>
    </row>
    <row r="1584" spans="1:5" x14ac:dyDescent="0.25">
      <c r="A1584" s="8" t="s">
        <v>2013</v>
      </c>
      <c r="B1584" s="8" t="s">
        <v>1438</v>
      </c>
      <c r="C1584" s="8" t="s">
        <v>19</v>
      </c>
      <c r="D1584" s="13">
        <v>45750</v>
      </c>
      <c r="E1584" s="9">
        <v>32679</v>
      </c>
    </row>
    <row r="1585" spans="1:5" x14ac:dyDescent="0.25">
      <c r="A1585" s="8" t="s">
        <v>2014</v>
      </c>
      <c r="B1585" s="8" t="s">
        <v>1438</v>
      </c>
      <c r="C1585" s="8" t="s">
        <v>17</v>
      </c>
      <c r="D1585" s="13">
        <v>45755</v>
      </c>
      <c r="E1585" s="9">
        <v>29534</v>
      </c>
    </row>
    <row r="1586" spans="1:5" x14ac:dyDescent="0.25">
      <c r="A1586" s="8" t="s">
        <v>2015</v>
      </c>
      <c r="B1586" s="8" t="s">
        <v>1438</v>
      </c>
      <c r="C1586" s="8" t="s">
        <v>71</v>
      </c>
      <c r="D1586" s="13">
        <v>45767</v>
      </c>
      <c r="E1586" s="9">
        <v>33860</v>
      </c>
    </row>
    <row r="1587" spans="1:5" x14ac:dyDescent="0.25">
      <c r="A1587" s="8" t="s">
        <v>2016</v>
      </c>
      <c r="B1587" s="8" t="s">
        <v>1438</v>
      </c>
      <c r="C1587" s="8" t="s">
        <v>33</v>
      </c>
      <c r="D1587" s="13">
        <v>45775</v>
      </c>
      <c r="E1587" s="9">
        <v>54331</v>
      </c>
    </row>
    <row r="1588" spans="1:5" x14ac:dyDescent="0.25">
      <c r="A1588" s="8" t="s">
        <v>2017</v>
      </c>
      <c r="B1588" s="8" t="s">
        <v>1438</v>
      </c>
      <c r="C1588" s="8" t="s">
        <v>37</v>
      </c>
      <c r="D1588" s="13">
        <v>45785</v>
      </c>
      <c r="E1588" s="9">
        <v>33506</v>
      </c>
    </row>
    <row r="1589" spans="1:5" x14ac:dyDescent="0.25">
      <c r="A1589" s="8" t="s">
        <v>2018</v>
      </c>
      <c r="B1589" s="8" t="s">
        <v>1438</v>
      </c>
      <c r="C1589" s="8" t="s">
        <v>29</v>
      </c>
      <c r="D1589" s="13">
        <v>45785</v>
      </c>
      <c r="E1589" s="9">
        <v>55557</v>
      </c>
    </row>
    <row r="1590" spans="1:5" x14ac:dyDescent="0.25">
      <c r="A1590" s="8" t="s">
        <v>2019</v>
      </c>
      <c r="B1590" s="8" t="s">
        <v>1438</v>
      </c>
      <c r="C1590" s="8" t="s">
        <v>35</v>
      </c>
      <c r="D1590" s="13">
        <v>45795</v>
      </c>
      <c r="E1590" s="9">
        <v>22522</v>
      </c>
    </row>
    <row r="1591" spans="1:5" x14ac:dyDescent="0.25">
      <c r="A1591" s="8" t="s">
        <v>2020</v>
      </c>
      <c r="B1591" s="8" t="s">
        <v>1438</v>
      </c>
      <c r="C1591" s="8" t="s">
        <v>73</v>
      </c>
      <c r="D1591" s="13">
        <v>45797</v>
      </c>
      <c r="E1591" s="9">
        <v>27229</v>
      </c>
    </row>
    <row r="1592" spans="1:5" x14ac:dyDescent="0.25">
      <c r="A1592" s="8" t="s">
        <v>1458</v>
      </c>
      <c r="B1592" s="8" t="s">
        <v>1459</v>
      </c>
      <c r="C1592" s="8" t="s">
        <v>12</v>
      </c>
      <c r="D1592" s="13">
        <v>45415</v>
      </c>
      <c r="E1592" s="9">
        <v>247712</v>
      </c>
    </row>
    <row r="1593" spans="1:5" x14ac:dyDescent="0.25">
      <c r="A1593" s="8" t="s">
        <v>1460</v>
      </c>
      <c r="B1593" s="8" t="s">
        <v>1459</v>
      </c>
      <c r="C1593" s="8" t="s">
        <v>110</v>
      </c>
      <c r="D1593" s="13">
        <v>45432</v>
      </c>
      <c r="E1593" s="9">
        <v>210013</v>
      </c>
    </row>
    <row r="1594" spans="1:5" x14ac:dyDescent="0.25">
      <c r="A1594" s="8" t="s">
        <v>1461</v>
      </c>
      <c r="B1594" s="8" t="s">
        <v>1459</v>
      </c>
      <c r="C1594" s="8" t="s">
        <v>35</v>
      </c>
      <c r="D1594" s="13">
        <v>45454</v>
      </c>
      <c r="E1594" s="9">
        <v>267534</v>
      </c>
    </row>
    <row r="1595" spans="1:5" x14ac:dyDescent="0.25">
      <c r="A1595" s="8" t="s">
        <v>1462</v>
      </c>
      <c r="B1595" s="8" t="s">
        <v>1459</v>
      </c>
      <c r="C1595" s="8" t="s">
        <v>35</v>
      </c>
      <c r="D1595" s="13">
        <v>45460</v>
      </c>
      <c r="E1595" s="9">
        <v>208677</v>
      </c>
    </row>
    <row r="1596" spans="1:5" x14ac:dyDescent="0.25">
      <c r="A1596" s="8" t="s">
        <v>1463</v>
      </c>
      <c r="B1596" s="8" t="s">
        <v>1459</v>
      </c>
      <c r="C1596" s="8" t="s">
        <v>73</v>
      </c>
      <c r="D1596" s="13">
        <v>45462</v>
      </c>
      <c r="E1596" s="9">
        <v>162580</v>
      </c>
    </row>
    <row r="1597" spans="1:5" x14ac:dyDescent="0.25">
      <c r="A1597" s="8" t="s">
        <v>1464</v>
      </c>
      <c r="B1597" s="8" t="s">
        <v>1459</v>
      </c>
      <c r="C1597" s="8" t="s">
        <v>108</v>
      </c>
      <c r="D1597" s="13">
        <v>45466</v>
      </c>
      <c r="E1597" s="9">
        <v>265606</v>
      </c>
    </row>
    <row r="1598" spans="1:5" x14ac:dyDescent="0.25">
      <c r="A1598" s="8" t="s">
        <v>1465</v>
      </c>
      <c r="B1598" s="8" t="s">
        <v>1459</v>
      </c>
      <c r="C1598" s="8" t="s">
        <v>21</v>
      </c>
      <c r="D1598" s="13">
        <v>45466</v>
      </c>
      <c r="E1598" s="9">
        <v>251957</v>
      </c>
    </row>
    <row r="1599" spans="1:5" x14ac:dyDescent="0.25">
      <c r="A1599" s="8" t="s">
        <v>1466</v>
      </c>
      <c r="B1599" s="8" t="s">
        <v>1459</v>
      </c>
      <c r="C1599" s="8" t="s">
        <v>55</v>
      </c>
      <c r="D1599" s="13">
        <v>45468</v>
      </c>
      <c r="E1599" s="9">
        <v>242061</v>
      </c>
    </row>
    <row r="1600" spans="1:5" x14ac:dyDescent="0.25">
      <c r="A1600" s="8" t="s">
        <v>1467</v>
      </c>
      <c r="B1600" s="8" t="s">
        <v>1459</v>
      </c>
      <c r="C1600" s="8" t="s">
        <v>27</v>
      </c>
      <c r="D1600" s="13">
        <v>45497</v>
      </c>
      <c r="E1600" s="9">
        <v>460001</v>
      </c>
    </row>
    <row r="1601" spans="1:5" x14ac:dyDescent="0.25">
      <c r="A1601" s="8" t="s">
        <v>1468</v>
      </c>
      <c r="B1601" s="8" t="s">
        <v>1459</v>
      </c>
      <c r="C1601" s="8" t="s">
        <v>14</v>
      </c>
      <c r="D1601" s="13">
        <v>45500</v>
      </c>
      <c r="E1601" s="9">
        <v>263684</v>
      </c>
    </row>
    <row r="1602" spans="1:5" x14ac:dyDescent="0.25">
      <c r="A1602" s="8" t="s">
        <v>1469</v>
      </c>
      <c r="B1602" s="8" t="s">
        <v>1459</v>
      </c>
      <c r="C1602" s="8" t="s">
        <v>73</v>
      </c>
      <c r="D1602" s="13">
        <v>45502</v>
      </c>
      <c r="E1602" s="9">
        <v>125460</v>
      </c>
    </row>
    <row r="1603" spans="1:5" x14ac:dyDescent="0.25">
      <c r="A1603" s="8" t="s">
        <v>1470</v>
      </c>
      <c r="B1603" s="8" t="s">
        <v>1459</v>
      </c>
      <c r="C1603" s="8" t="s">
        <v>17</v>
      </c>
      <c r="D1603" s="13">
        <v>45512</v>
      </c>
      <c r="E1603" s="9">
        <v>97212</v>
      </c>
    </row>
    <row r="1604" spans="1:5" x14ac:dyDescent="0.25">
      <c r="A1604" s="8" t="s">
        <v>1471</v>
      </c>
      <c r="B1604" s="8" t="s">
        <v>1459</v>
      </c>
      <c r="C1604" s="8" t="s">
        <v>21</v>
      </c>
      <c r="D1604" s="13">
        <v>45546</v>
      </c>
      <c r="E1604" s="9">
        <v>228811</v>
      </c>
    </row>
    <row r="1605" spans="1:5" x14ac:dyDescent="0.25">
      <c r="A1605" s="8" t="s">
        <v>1472</v>
      </c>
      <c r="B1605" s="8" t="s">
        <v>1459</v>
      </c>
      <c r="C1605" s="8" t="s">
        <v>33</v>
      </c>
      <c r="D1605" s="13">
        <v>45550</v>
      </c>
      <c r="E1605" s="9">
        <v>269320</v>
      </c>
    </row>
    <row r="1606" spans="1:5" x14ac:dyDescent="0.25">
      <c r="A1606" s="8" t="s">
        <v>1473</v>
      </c>
      <c r="B1606" s="8" t="s">
        <v>1459</v>
      </c>
      <c r="C1606" s="8" t="s">
        <v>8</v>
      </c>
      <c r="D1606" s="13">
        <v>45578</v>
      </c>
      <c r="E1606" s="9">
        <v>161083</v>
      </c>
    </row>
    <row r="1607" spans="1:5" x14ac:dyDescent="0.25">
      <c r="A1607" s="8" t="s">
        <v>1474</v>
      </c>
      <c r="B1607" s="8" t="s">
        <v>1459</v>
      </c>
      <c r="C1607" s="8" t="s">
        <v>48</v>
      </c>
      <c r="D1607" s="13">
        <v>45578</v>
      </c>
      <c r="E1607" s="9">
        <v>193211</v>
      </c>
    </row>
    <row r="1608" spans="1:5" x14ac:dyDescent="0.25">
      <c r="A1608" s="8" t="s">
        <v>1475</v>
      </c>
      <c r="B1608" s="8" t="s">
        <v>1459</v>
      </c>
      <c r="C1608" s="8" t="s">
        <v>73</v>
      </c>
      <c r="D1608" s="13">
        <v>45586</v>
      </c>
      <c r="E1608" s="9">
        <v>124810</v>
      </c>
    </row>
    <row r="1609" spans="1:5" x14ac:dyDescent="0.25">
      <c r="A1609" s="8" t="s">
        <v>1476</v>
      </c>
      <c r="B1609" s="8" t="s">
        <v>1459</v>
      </c>
      <c r="C1609" s="8" t="s">
        <v>55</v>
      </c>
      <c r="D1609" s="13">
        <v>45594</v>
      </c>
      <c r="E1609" s="9">
        <v>227142</v>
      </c>
    </row>
    <row r="1610" spans="1:5" x14ac:dyDescent="0.25">
      <c r="A1610" s="8" t="s">
        <v>1477</v>
      </c>
      <c r="B1610" s="8" t="s">
        <v>1459</v>
      </c>
      <c r="C1610" s="8" t="s">
        <v>25</v>
      </c>
      <c r="D1610" s="13">
        <v>45637</v>
      </c>
      <c r="E1610" s="9">
        <v>100417</v>
      </c>
    </row>
    <row r="1611" spans="1:5" x14ac:dyDescent="0.25">
      <c r="A1611" s="8" t="s">
        <v>1478</v>
      </c>
      <c r="B1611" s="8" t="s">
        <v>1459</v>
      </c>
      <c r="C1611" s="8" t="s">
        <v>110</v>
      </c>
      <c r="D1611" s="13">
        <v>45639</v>
      </c>
      <c r="E1611" s="9">
        <v>220563</v>
      </c>
    </row>
    <row r="1612" spans="1:5" x14ac:dyDescent="0.25">
      <c r="A1612" s="8" t="s">
        <v>1479</v>
      </c>
      <c r="B1612" s="8" t="s">
        <v>1459</v>
      </c>
      <c r="C1612" s="8" t="s">
        <v>73</v>
      </c>
      <c r="D1612" s="13">
        <v>45646</v>
      </c>
      <c r="E1612" s="9">
        <v>90040</v>
      </c>
    </row>
    <row r="1613" spans="1:5" x14ac:dyDescent="0.25">
      <c r="A1613" s="8" t="s">
        <v>1480</v>
      </c>
      <c r="B1613" s="8" t="s">
        <v>1459</v>
      </c>
      <c r="C1613" s="8" t="s">
        <v>50</v>
      </c>
      <c r="D1613" s="13">
        <v>45667</v>
      </c>
      <c r="E1613" s="9">
        <v>222426</v>
      </c>
    </row>
    <row r="1614" spans="1:5" x14ac:dyDescent="0.25">
      <c r="A1614" s="8" t="s">
        <v>1481</v>
      </c>
      <c r="B1614" s="8" t="s">
        <v>1459</v>
      </c>
      <c r="C1614" s="8" t="s">
        <v>19</v>
      </c>
      <c r="D1614" s="13">
        <v>45691</v>
      </c>
      <c r="E1614" s="9">
        <v>179562</v>
      </c>
    </row>
    <row r="1615" spans="1:5" x14ac:dyDescent="0.25">
      <c r="A1615" s="8" t="s">
        <v>1482</v>
      </c>
      <c r="B1615" s="8" t="s">
        <v>1459</v>
      </c>
      <c r="C1615" s="8" t="s">
        <v>108</v>
      </c>
      <c r="D1615" s="13">
        <v>45695</v>
      </c>
      <c r="E1615" s="9">
        <v>110587</v>
      </c>
    </row>
    <row r="1616" spans="1:5" x14ac:dyDescent="0.25">
      <c r="A1616" s="8" t="s">
        <v>1483</v>
      </c>
      <c r="B1616" s="8" t="s">
        <v>1459</v>
      </c>
      <c r="C1616" s="8" t="s">
        <v>37</v>
      </c>
      <c r="D1616" s="13">
        <v>45698</v>
      </c>
      <c r="E1616" s="9">
        <v>95042</v>
      </c>
    </row>
    <row r="1617" spans="1:5" x14ac:dyDescent="0.25">
      <c r="A1617" s="8" t="s">
        <v>1484</v>
      </c>
      <c r="B1617" s="8" t="s">
        <v>1459</v>
      </c>
      <c r="C1617" s="8" t="s">
        <v>25</v>
      </c>
      <c r="D1617" s="13">
        <v>45710</v>
      </c>
      <c r="E1617" s="9">
        <v>196323</v>
      </c>
    </row>
    <row r="1618" spans="1:5" x14ac:dyDescent="0.25">
      <c r="A1618" s="8" t="s">
        <v>1485</v>
      </c>
      <c r="B1618" s="8" t="s">
        <v>1459</v>
      </c>
      <c r="C1618" s="8" t="s">
        <v>21</v>
      </c>
      <c r="D1618" s="13">
        <v>45729</v>
      </c>
      <c r="E1618" s="9">
        <v>172529</v>
      </c>
    </row>
    <row r="1619" spans="1:5" x14ac:dyDescent="0.25">
      <c r="A1619" s="8" t="s">
        <v>1486</v>
      </c>
      <c r="B1619" s="8" t="s">
        <v>1459</v>
      </c>
      <c r="C1619" s="8" t="s">
        <v>108</v>
      </c>
      <c r="D1619" s="13">
        <v>45749</v>
      </c>
      <c r="E1619" s="9">
        <v>128627</v>
      </c>
    </row>
    <row r="1620" spans="1:5" x14ac:dyDescent="0.25">
      <c r="A1620" s="8" t="s">
        <v>1487</v>
      </c>
      <c r="B1620" s="8" t="s">
        <v>1459</v>
      </c>
      <c r="C1620" s="8" t="s">
        <v>23</v>
      </c>
      <c r="D1620" s="13">
        <v>45758</v>
      </c>
      <c r="E1620" s="9">
        <v>640945</v>
      </c>
    </row>
    <row r="1621" spans="1:5" x14ac:dyDescent="0.25">
      <c r="A1621" s="8" t="s">
        <v>1488</v>
      </c>
      <c r="B1621" s="8" t="s">
        <v>1459</v>
      </c>
      <c r="C1621" s="8" t="s">
        <v>110</v>
      </c>
      <c r="D1621" s="13">
        <v>45766</v>
      </c>
      <c r="E1621" s="9">
        <v>122905</v>
      </c>
    </row>
    <row r="1622" spans="1:5" x14ac:dyDescent="0.25">
      <c r="A1622" s="8" t="s">
        <v>1489</v>
      </c>
      <c r="B1622" s="8" t="s">
        <v>1459</v>
      </c>
      <c r="C1622" s="8" t="s">
        <v>21</v>
      </c>
      <c r="D1622" s="13">
        <v>45769</v>
      </c>
      <c r="E1622" s="9">
        <v>670596</v>
      </c>
    </row>
    <row r="1623" spans="1:5" x14ac:dyDescent="0.25">
      <c r="A1623" s="8" t="s">
        <v>1490</v>
      </c>
      <c r="B1623" s="8" t="s">
        <v>1459</v>
      </c>
      <c r="C1623" s="8" t="s">
        <v>29</v>
      </c>
      <c r="D1623" s="13">
        <v>45775</v>
      </c>
      <c r="E1623" s="9">
        <v>134990</v>
      </c>
    </row>
    <row r="1624" spans="1:5" x14ac:dyDescent="0.25">
      <c r="A1624" s="8" t="s">
        <v>1491</v>
      </c>
      <c r="B1624" s="8" t="s">
        <v>1492</v>
      </c>
      <c r="C1624" s="8" t="s">
        <v>25</v>
      </c>
      <c r="D1624" s="13">
        <v>45394</v>
      </c>
      <c r="E1624" s="9">
        <v>34492</v>
      </c>
    </row>
    <row r="1625" spans="1:5" x14ac:dyDescent="0.25">
      <c r="A1625" s="8" t="s">
        <v>1493</v>
      </c>
      <c r="B1625" s="8" t="s">
        <v>1492</v>
      </c>
      <c r="C1625" s="8" t="s">
        <v>50</v>
      </c>
      <c r="D1625" s="13">
        <v>45412</v>
      </c>
      <c r="E1625" s="9">
        <v>15108</v>
      </c>
    </row>
    <row r="1626" spans="1:5" x14ac:dyDescent="0.25">
      <c r="A1626" s="8" t="s">
        <v>1494</v>
      </c>
      <c r="B1626" s="8" t="s">
        <v>1492</v>
      </c>
      <c r="C1626" s="8" t="s">
        <v>108</v>
      </c>
      <c r="D1626" s="13">
        <v>45421</v>
      </c>
      <c r="E1626" s="9">
        <v>22832</v>
      </c>
    </row>
    <row r="1627" spans="1:5" x14ac:dyDescent="0.25">
      <c r="A1627" s="8" t="s">
        <v>1495</v>
      </c>
      <c r="B1627" s="8" t="s">
        <v>1492</v>
      </c>
      <c r="C1627" s="8" t="s">
        <v>33</v>
      </c>
      <c r="D1627" s="13">
        <v>45422</v>
      </c>
      <c r="E1627" s="9">
        <v>29380</v>
      </c>
    </row>
    <row r="1628" spans="1:5" x14ac:dyDescent="0.25">
      <c r="A1628" s="8" t="s">
        <v>1496</v>
      </c>
      <c r="B1628" s="8" t="s">
        <v>1492</v>
      </c>
      <c r="C1628" s="8" t="s">
        <v>12</v>
      </c>
      <c r="D1628" s="13">
        <v>45425</v>
      </c>
      <c r="E1628" s="9">
        <v>30509</v>
      </c>
    </row>
    <row r="1629" spans="1:5" x14ac:dyDescent="0.25">
      <c r="A1629" s="8" t="s">
        <v>1497</v>
      </c>
      <c r="B1629" s="8" t="s">
        <v>1492</v>
      </c>
      <c r="C1629" s="8" t="s">
        <v>25</v>
      </c>
      <c r="D1629" s="13">
        <v>45430</v>
      </c>
      <c r="E1629" s="9">
        <v>22022</v>
      </c>
    </row>
    <row r="1630" spans="1:5" x14ac:dyDescent="0.25">
      <c r="A1630" s="8" t="s">
        <v>1498</v>
      </c>
      <c r="B1630" s="8" t="s">
        <v>1492</v>
      </c>
      <c r="C1630" s="8" t="s">
        <v>55</v>
      </c>
      <c r="D1630" s="13">
        <v>45430</v>
      </c>
      <c r="E1630" s="9">
        <v>22410</v>
      </c>
    </row>
    <row r="1631" spans="1:5" x14ac:dyDescent="0.25">
      <c r="A1631" s="8" t="s">
        <v>1499</v>
      </c>
      <c r="B1631" s="8" t="s">
        <v>1492</v>
      </c>
      <c r="C1631" s="8" t="s">
        <v>8</v>
      </c>
      <c r="D1631" s="13">
        <v>45440</v>
      </c>
      <c r="E1631" s="9">
        <v>16032</v>
      </c>
    </row>
    <row r="1632" spans="1:5" x14ac:dyDescent="0.25">
      <c r="A1632" s="8" t="s">
        <v>1500</v>
      </c>
      <c r="B1632" s="8" t="s">
        <v>1492</v>
      </c>
      <c r="C1632" s="8" t="s">
        <v>109</v>
      </c>
      <c r="D1632" s="13">
        <v>45475</v>
      </c>
      <c r="E1632" s="9">
        <v>33129</v>
      </c>
    </row>
    <row r="1633" spans="1:5" x14ac:dyDescent="0.25">
      <c r="A1633" s="8" t="s">
        <v>1501</v>
      </c>
      <c r="B1633" s="8" t="s">
        <v>1492</v>
      </c>
      <c r="C1633" s="8" t="s">
        <v>6</v>
      </c>
      <c r="D1633" s="13">
        <v>45496</v>
      </c>
      <c r="E1633" s="9">
        <v>36329</v>
      </c>
    </row>
    <row r="1634" spans="1:5" x14ac:dyDescent="0.25">
      <c r="A1634" s="8" t="s">
        <v>1502</v>
      </c>
      <c r="B1634" s="8" t="s">
        <v>1492</v>
      </c>
      <c r="C1634" s="8" t="s">
        <v>19</v>
      </c>
      <c r="D1634" s="13">
        <v>45501</v>
      </c>
      <c r="E1634" s="9">
        <v>26526</v>
      </c>
    </row>
    <row r="1635" spans="1:5" x14ac:dyDescent="0.25">
      <c r="A1635" s="8" t="s">
        <v>1503</v>
      </c>
      <c r="B1635" s="8" t="s">
        <v>1492</v>
      </c>
      <c r="C1635" s="8" t="s">
        <v>50</v>
      </c>
      <c r="D1635" s="13">
        <v>45525</v>
      </c>
      <c r="E1635" s="9">
        <v>15797</v>
      </c>
    </row>
    <row r="1636" spans="1:5" x14ac:dyDescent="0.25">
      <c r="A1636" s="8" t="s">
        <v>1504</v>
      </c>
      <c r="B1636" s="8" t="s">
        <v>1492</v>
      </c>
      <c r="C1636" s="8" t="s">
        <v>50</v>
      </c>
      <c r="D1636" s="13">
        <v>45557</v>
      </c>
      <c r="E1636" s="9">
        <v>24181</v>
      </c>
    </row>
    <row r="1637" spans="1:5" x14ac:dyDescent="0.25">
      <c r="A1637" s="8" t="s">
        <v>1505</v>
      </c>
      <c r="B1637" s="8" t="s">
        <v>1492</v>
      </c>
      <c r="C1637" s="8" t="s">
        <v>25</v>
      </c>
      <c r="D1637" s="13">
        <v>45565</v>
      </c>
      <c r="E1637" s="9">
        <v>13234</v>
      </c>
    </row>
    <row r="1638" spans="1:5" x14ac:dyDescent="0.25">
      <c r="A1638" s="8" t="s">
        <v>1506</v>
      </c>
      <c r="B1638" s="8" t="s">
        <v>1492</v>
      </c>
      <c r="C1638" s="8" t="s">
        <v>23</v>
      </c>
      <c r="D1638" s="13">
        <v>45576</v>
      </c>
      <c r="E1638" s="9">
        <v>28206</v>
      </c>
    </row>
    <row r="1639" spans="1:5" x14ac:dyDescent="0.25">
      <c r="A1639" s="8" t="s">
        <v>1507</v>
      </c>
      <c r="B1639" s="8" t="s">
        <v>1492</v>
      </c>
      <c r="C1639" s="8" t="s">
        <v>110</v>
      </c>
      <c r="D1639" s="13">
        <v>45584</v>
      </c>
      <c r="E1639" s="9">
        <v>24667</v>
      </c>
    </row>
    <row r="1640" spans="1:5" x14ac:dyDescent="0.25">
      <c r="A1640" s="8" t="s">
        <v>1508</v>
      </c>
      <c r="B1640" s="8" t="s">
        <v>1492</v>
      </c>
      <c r="C1640" s="8" t="s">
        <v>19</v>
      </c>
      <c r="D1640" s="13">
        <v>45592</v>
      </c>
      <c r="E1640" s="9">
        <v>27428</v>
      </c>
    </row>
    <row r="1641" spans="1:5" x14ac:dyDescent="0.25">
      <c r="A1641" s="8" t="s">
        <v>1509</v>
      </c>
      <c r="B1641" s="8" t="s">
        <v>1492</v>
      </c>
      <c r="C1641" s="8" t="s">
        <v>12</v>
      </c>
      <c r="D1641" s="13">
        <v>45606</v>
      </c>
      <c r="E1641" s="9">
        <v>40173</v>
      </c>
    </row>
    <row r="1642" spans="1:5" x14ac:dyDescent="0.25">
      <c r="A1642" s="8" t="s">
        <v>1510</v>
      </c>
      <c r="B1642" s="8" t="s">
        <v>1492</v>
      </c>
      <c r="C1642" s="8" t="s">
        <v>48</v>
      </c>
      <c r="D1642" s="13">
        <v>45609</v>
      </c>
      <c r="E1642" s="9">
        <v>10892</v>
      </c>
    </row>
    <row r="1643" spans="1:5" x14ac:dyDescent="0.25">
      <c r="A1643" s="8" t="s">
        <v>1511</v>
      </c>
      <c r="B1643" s="8" t="s">
        <v>1492</v>
      </c>
      <c r="C1643" s="8" t="s">
        <v>48</v>
      </c>
      <c r="D1643" s="13">
        <v>45624</v>
      </c>
      <c r="E1643" s="9">
        <v>30193</v>
      </c>
    </row>
    <row r="1644" spans="1:5" x14ac:dyDescent="0.25">
      <c r="A1644" s="8" t="s">
        <v>1512</v>
      </c>
      <c r="B1644" s="8" t="s">
        <v>1492</v>
      </c>
      <c r="C1644" s="8" t="s">
        <v>108</v>
      </c>
      <c r="D1644" s="13">
        <v>45626</v>
      </c>
      <c r="E1644" s="9">
        <v>19487</v>
      </c>
    </row>
    <row r="1645" spans="1:5" x14ac:dyDescent="0.25">
      <c r="A1645" s="8" t="s">
        <v>1513</v>
      </c>
      <c r="B1645" s="8" t="s">
        <v>1492</v>
      </c>
      <c r="C1645" s="8" t="s">
        <v>91</v>
      </c>
      <c r="D1645" s="13">
        <v>45632</v>
      </c>
      <c r="E1645" s="9">
        <v>15179</v>
      </c>
    </row>
    <row r="1646" spans="1:5" x14ac:dyDescent="0.25">
      <c r="A1646" s="8" t="s">
        <v>1514</v>
      </c>
      <c r="B1646" s="8" t="s">
        <v>1492</v>
      </c>
      <c r="C1646" s="8" t="s">
        <v>108</v>
      </c>
      <c r="D1646" s="13">
        <v>45648</v>
      </c>
      <c r="E1646" s="9">
        <v>25890</v>
      </c>
    </row>
    <row r="1647" spans="1:5" x14ac:dyDescent="0.25">
      <c r="A1647" s="8" t="s">
        <v>1515</v>
      </c>
      <c r="B1647" s="8" t="s">
        <v>1492</v>
      </c>
      <c r="C1647" s="8" t="s">
        <v>19</v>
      </c>
      <c r="D1647" s="13">
        <v>45655</v>
      </c>
      <c r="E1647" s="9">
        <v>19289</v>
      </c>
    </row>
    <row r="1648" spans="1:5" x14ac:dyDescent="0.25">
      <c r="A1648" s="8" t="s">
        <v>1516</v>
      </c>
      <c r="B1648" s="8" t="s">
        <v>1492</v>
      </c>
      <c r="C1648" s="8" t="s">
        <v>48</v>
      </c>
      <c r="D1648" s="13">
        <v>45669</v>
      </c>
      <c r="E1648" s="9">
        <v>26227</v>
      </c>
    </row>
    <row r="1649" spans="1:5" x14ac:dyDescent="0.25">
      <c r="A1649" s="8" t="s">
        <v>1517</v>
      </c>
      <c r="B1649" s="8" t="s">
        <v>1492</v>
      </c>
      <c r="C1649" s="8" t="s">
        <v>37</v>
      </c>
      <c r="D1649" s="13">
        <v>45673</v>
      </c>
      <c r="E1649" s="9">
        <v>26937</v>
      </c>
    </row>
    <row r="1650" spans="1:5" x14ac:dyDescent="0.25">
      <c r="A1650" s="8" t="s">
        <v>1518</v>
      </c>
      <c r="B1650" s="8" t="s">
        <v>1492</v>
      </c>
      <c r="C1650" s="8" t="s">
        <v>110</v>
      </c>
      <c r="D1650" s="13">
        <v>45673</v>
      </c>
      <c r="E1650" s="9">
        <v>64855</v>
      </c>
    </row>
    <row r="1651" spans="1:5" x14ac:dyDescent="0.25">
      <c r="A1651" s="8" t="s">
        <v>1519</v>
      </c>
      <c r="B1651" s="8" t="s">
        <v>1492</v>
      </c>
      <c r="C1651" s="8" t="s">
        <v>48</v>
      </c>
      <c r="D1651" s="13">
        <v>45673</v>
      </c>
      <c r="E1651" s="9">
        <v>13199</v>
      </c>
    </row>
    <row r="1652" spans="1:5" x14ac:dyDescent="0.25">
      <c r="A1652" s="8" t="s">
        <v>1520</v>
      </c>
      <c r="B1652" s="8" t="s">
        <v>1492</v>
      </c>
      <c r="C1652" s="8" t="s">
        <v>8</v>
      </c>
      <c r="D1652" s="13">
        <v>45682</v>
      </c>
      <c r="E1652" s="9">
        <v>23653</v>
      </c>
    </row>
    <row r="1653" spans="1:5" x14ac:dyDescent="0.25">
      <c r="A1653" s="8" t="s">
        <v>1521</v>
      </c>
      <c r="B1653" s="8" t="s">
        <v>1492</v>
      </c>
      <c r="C1653" s="8" t="s">
        <v>14</v>
      </c>
      <c r="D1653" s="13">
        <v>45707</v>
      </c>
      <c r="E1653" s="9">
        <v>59235</v>
      </c>
    </row>
    <row r="1654" spans="1:5" x14ac:dyDescent="0.25">
      <c r="A1654" s="8" t="s">
        <v>1522</v>
      </c>
      <c r="B1654" s="8" t="s">
        <v>1492</v>
      </c>
      <c r="C1654" s="8" t="s">
        <v>35</v>
      </c>
      <c r="D1654" s="13">
        <v>45709</v>
      </c>
      <c r="E1654" s="9">
        <v>30899</v>
      </c>
    </row>
    <row r="1655" spans="1:5" x14ac:dyDescent="0.25">
      <c r="A1655" s="8" t="s">
        <v>1523</v>
      </c>
      <c r="B1655" s="8" t="s">
        <v>1492</v>
      </c>
      <c r="C1655" s="8" t="s">
        <v>50</v>
      </c>
      <c r="D1655" s="13">
        <v>45719</v>
      </c>
      <c r="E1655" s="9">
        <v>31403</v>
      </c>
    </row>
    <row r="1656" spans="1:5" x14ac:dyDescent="0.25">
      <c r="A1656" s="8" t="s">
        <v>1524</v>
      </c>
      <c r="B1656" s="8" t="s">
        <v>1492</v>
      </c>
      <c r="C1656" s="8" t="s">
        <v>109</v>
      </c>
      <c r="D1656" s="13">
        <v>45719</v>
      </c>
      <c r="E1656" s="9">
        <v>13219</v>
      </c>
    </row>
    <row r="1657" spans="1:5" x14ac:dyDescent="0.25">
      <c r="A1657" s="8" t="s">
        <v>1525</v>
      </c>
      <c r="B1657" s="8" t="s">
        <v>1492</v>
      </c>
      <c r="C1657" s="8" t="s">
        <v>29</v>
      </c>
      <c r="D1657" s="13">
        <v>45746</v>
      </c>
      <c r="E1657" s="9">
        <v>47326</v>
      </c>
    </row>
    <row r="1658" spans="1:5" x14ac:dyDescent="0.25">
      <c r="A1658" s="8" t="s">
        <v>1526</v>
      </c>
      <c r="B1658" s="8" t="s">
        <v>1492</v>
      </c>
      <c r="C1658" s="8" t="s">
        <v>25</v>
      </c>
      <c r="D1658" s="13">
        <v>45766</v>
      </c>
      <c r="E1658" s="9">
        <v>28390</v>
      </c>
    </row>
    <row r="1659" spans="1:5" x14ac:dyDescent="0.25">
      <c r="A1659" s="8" t="s">
        <v>1527</v>
      </c>
      <c r="B1659" s="8" t="s">
        <v>1528</v>
      </c>
      <c r="C1659" s="8" t="s">
        <v>108</v>
      </c>
      <c r="D1659" s="13">
        <v>45194</v>
      </c>
      <c r="E1659" s="9">
        <v>7742</v>
      </c>
    </row>
    <row r="1660" spans="1:5" x14ac:dyDescent="0.25">
      <c r="A1660" s="8" t="s">
        <v>1529</v>
      </c>
      <c r="B1660" s="8" t="s">
        <v>1528</v>
      </c>
      <c r="C1660" s="8" t="s">
        <v>23</v>
      </c>
      <c r="D1660" s="13">
        <v>45213</v>
      </c>
      <c r="E1660" s="9">
        <v>5047</v>
      </c>
    </row>
    <row r="1661" spans="1:5" x14ac:dyDescent="0.25">
      <c r="A1661" s="8" t="s">
        <v>1530</v>
      </c>
      <c r="B1661" s="8" t="s">
        <v>1528</v>
      </c>
      <c r="C1661" s="8" t="s">
        <v>23</v>
      </c>
      <c r="D1661" s="13">
        <v>45222</v>
      </c>
      <c r="E1661" s="9">
        <v>6144</v>
      </c>
    </row>
    <row r="1662" spans="1:5" x14ac:dyDescent="0.25">
      <c r="A1662" s="8" t="s">
        <v>1531</v>
      </c>
      <c r="B1662" s="8" t="s">
        <v>1528</v>
      </c>
      <c r="C1662" s="8" t="s">
        <v>33</v>
      </c>
      <c r="D1662" s="13">
        <v>45239</v>
      </c>
      <c r="E1662" s="9">
        <v>5163</v>
      </c>
    </row>
    <row r="1663" spans="1:5" x14ac:dyDescent="0.25">
      <c r="A1663" s="8" t="s">
        <v>1532</v>
      </c>
      <c r="B1663" s="8" t="s">
        <v>1528</v>
      </c>
      <c r="C1663" s="8" t="s">
        <v>10</v>
      </c>
      <c r="D1663" s="13">
        <v>45239</v>
      </c>
      <c r="E1663" s="9">
        <v>3881</v>
      </c>
    </row>
    <row r="1664" spans="1:5" x14ac:dyDescent="0.25">
      <c r="A1664" s="8" t="s">
        <v>1533</v>
      </c>
      <c r="B1664" s="8" t="s">
        <v>1528</v>
      </c>
      <c r="C1664" s="8" t="s">
        <v>109</v>
      </c>
      <c r="D1664" s="13">
        <v>45245</v>
      </c>
      <c r="E1664" s="9">
        <v>8163</v>
      </c>
    </row>
    <row r="1665" spans="1:5" x14ac:dyDescent="0.25">
      <c r="A1665" s="8" t="s">
        <v>1534</v>
      </c>
      <c r="B1665" s="8" t="s">
        <v>1528</v>
      </c>
      <c r="C1665" s="8" t="s">
        <v>12</v>
      </c>
      <c r="D1665" s="13">
        <v>45263</v>
      </c>
      <c r="E1665" s="9">
        <v>8444</v>
      </c>
    </row>
    <row r="1666" spans="1:5" x14ac:dyDescent="0.25">
      <c r="A1666" s="8" t="s">
        <v>1535</v>
      </c>
      <c r="B1666" s="8" t="s">
        <v>1528</v>
      </c>
      <c r="C1666" s="8" t="s">
        <v>8</v>
      </c>
      <c r="D1666" s="13">
        <v>45263</v>
      </c>
      <c r="E1666" s="9">
        <v>3334</v>
      </c>
    </row>
    <row r="1667" spans="1:5" x14ac:dyDescent="0.25">
      <c r="A1667" s="8" t="s">
        <v>1536</v>
      </c>
      <c r="B1667" s="8" t="s">
        <v>1528</v>
      </c>
      <c r="C1667" s="8" t="s">
        <v>50</v>
      </c>
      <c r="D1667" s="13">
        <v>45263</v>
      </c>
      <c r="E1667" s="9">
        <v>25141</v>
      </c>
    </row>
    <row r="1668" spans="1:5" x14ac:dyDescent="0.25">
      <c r="A1668" s="8" t="s">
        <v>1537</v>
      </c>
      <c r="B1668" s="8" t="s">
        <v>1528</v>
      </c>
      <c r="C1668" s="8" t="s">
        <v>50</v>
      </c>
      <c r="D1668" s="13">
        <v>45273</v>
      </c>
      <c r="E1668" s="9">
        <v>6560</v>
      </c>
    </row>
    <row r="1669" spans="1:5" x14ac:dyDescent="0.25">
      <c r="A1669" s="8" t="s">
        <v>1538</v>
      </c>
      <c r="B1669" s="8" t="s">
        <v>1528</v>
      </c>
      <c r="C1669" s="8" t="s">
        <v>29</v>
      </c>
      <c r="D1669" s="13">
        <v>45286</v>
      </c>
      <c r="E1669" s="9">
        <v>7804</v>
      </c>
    </row>
    <row r="1670" spans="1:5" x14ac:dyDescent="0.25">
      <c r="A1670" s="8" t="s">
        <v>1539</v>
      </c>
      <c r="B1670" s="8" t="s">
        <v>1528</v>
      </c>
      <c r="C1670" s="8" t="s">
        <v>27</v>
      </c>
      <c r="D1670" s="13">
        <v>45320</v>
      </c>
      <c r="E1670" s="9">
        <v>8872</v>
      </c>
    </row>
    <row r="1671" spans="1:5" x14ac:dyDescent="0.25">
      <c r="A1671" s="8" t="s">
        <v>1540</v>
      </c>
      <c r="B1671" s="8" t="s">
        <v>1528</v>
      </c>
      <c r="C1671" s="8" t="s">
        <v>37</v>
      </c>
      <c r="D1671" s="13">
        <v>45329</v>
      </c>
      <c r="E1671" s="9">
        <v>9173</v>
      </c>
    </row>
    <row r="1672" spans="1:5" x14ac:dyDescent="0.25">
      <c r="A1672" s="8" t="s">
        <v>1541</v>
      </c>
      <c r="B1672" s="8" t="s">
        <v>1528</v>
      </c>
      <c r="C1672" s="8" t="s">
        <v>19</v>
      </c>
      <c r="D1672" s="13">
        <v>45329</v>
      </c>
      <c r="E1672" s="9">
        <v>6391</v>
      </c>
    </row>
    <row r="1673" spans="1:5" x14ac:dyDescent="0.25">
      <c r="A1673" s="8" t="s">
        <v>1542</v>
      </c>
      <c r="B1673" s="8" t="s">
        <v>1528</v>
      </c>
      <c r="C1673" s="8" t="s">
        <v>12</v>
      </c>
      <c r="D1673" s="13">
        <v>45357</v>
      </c>
      <c r="E1673" s="9">
        <v>5800</v>
      </c>
    </row>
    <row r="1674" spans="1:5" x14ac:dyDescent="0.25">
      <c r="A1674" s="8" t="s">
        <v>1543</v>
      </c>
      <c r="B1674" s="8" t="s">
        <v>1528</v>
      </c>
      <c r="C1674" s="8" t="s">
        <v>35</v>
      </c>
      <c r="D1674" s="13">
        <v>45391</v>
      </c>
      <c r="E1674" s="9">
        <v>8993</v>
      </c>
    </row>
    <row r="1675" spans="1:5" x14ac:dyDescent="0.25">
      <c r="A1675" s="8" t="s">
        <v>1544</v>
      </c>
      <c r="B1675" s="8" t="s">
        <v>1528</v>
      </c>
      <c r="C1675" s="8" t="s">
        <v>25</v>
      </c>
      <c r="D1675" s="13">
        <v>45393</v>
      </c>
      <c r="E1675" s="9">
        <v>5318</v>
      </c>
    </row>
    <row r="1676" spans="1:5" x14ac:dyDescent="0.25">
      <c r="A1676" s="8" t="s">
        <v>1545</v>
      </c>
      <c r="B1676" s="8" t="s">
        <v>1528</v>
      </c>
      <c r="C1676" s="8" t="s">
        <v>109</v>
      </c>
      <c r="D1676" s="13">
        <v>45398</v>
      </c>
      <c r="E1676" s="9">
        <v>4453</v>
      </c>
    </row>
    <row r="1677" spans="1:5" x14ac:dyDescent="0.25">
      <c r="A1677" s="8" t="s">
        <v>1546</v>
      </c>
      <c r="B1677" s="8" t="s">
        <v>1528</v>
      </c>
      <c r="C1677" s="8" t="s">
        <v>71</v>
      </c>
      <c r="D1677" s="13">
        <v>45404</v>
      </c>
      <c r="E1677" s="9">
        <v>7979</v>
      </c>
    </row>
    <row r="1678" spans="1:5" x14ac:dyDescent="0.25">
      <c r="A1678" s="8" t="s">
        <v>1547</v>
      </c>
      <c r="B1678" s="8" t="s">
        <v>1528</v>
      </c>
      <c r="C1678" s="8" t="s">
        <v>17</v>
      </c>
      <c r="D1678" s="13">
        <v>45410</v>
      </c>
      <c r="E1678" s="9">
        <v>9243</v>
      </c>
    </row>
    <row r="1679" spans="1:5" x14ac:dyDescent="0.25">
      <c r="A1679" s="8" t="s">
        <v>1548</v>
      </c>
      <c r="B1679" s="8" t="s">
        <v>1528</v>
      </c>
      <c r="C1679" s="8" t="s">
        <v>35</v>
      </c>
      <c r="D1679" s="13">
        <v>45417</v>
      </c>
      <c r="E1679" s="9">
        <v>5956</v>
      </c>
    </row>
    <row r="1680" spans="1:5" x14ac:dyDescent="0.25">
      <c r="A1680" s="8" t="s">
        <v>1549</v>
      </c>
      <c r="B1680" s="8" t="s">
        <v>1528</v>
      </c>
      <c r="C1680" s="8" t="s">
        <v>8</v>
      </c>
      <c r="D1680" s="13">
        <v>45430</v>
      </c>
      <c r="E1680" s="9">
        <v>9649</v>
      </c>
    </row>
    <row r="1681" spans="1:5" x14ac:dyDescent="0.25">
      <c r="A1681" s="8" t="s">
        <v>1550</v>
      </c>
      <c r="B1681" s="8" t="s">
        <v>1528</v>
      </c>
      <c r="C1681" s="8" t="s">
        <v>44</v>
      </c>
      <c r="D1681" s="13">
        <v>45436</v>
      </c>
      <c r="E1681" s="9">
        <v>8503</v>
      </c>
    </row>
    <row r="1682" spans="1:5" x14ac:dyDescent="0.25">
      <c r="A1682" s="8" t="s">
        <v>1551</v>
      </c>
      <c r="B1682" s="8" t="s">
        <v>1528</v>
      </c>
      <c r="C1682" s="8" t="s">
        <v>91</v>
      </c>
      <c r="D1682" s="13">
        <v>45455</v>
      </c>
      <c r="E1682" s="9">
        <v>7772</v>
      </c>
    </row>
    <row r="1683" spans="1:5" x14ac:dyDescent="0.25">
      <c r="A1683" s="8" t="s">
        <v>1552</v>
      </c>
      <c r="B1683" s="8" t="s">
        <v>1528</v>
      </c>
      <c r="C1683" s="8" t="s">
        <v>91</v>
      </c>
      <c r="D1683" s="13">
        <v>45462</v>
      </c>
      <c r="E1683" s="9">
        <v>6514</v>
      </c>
    </row>
    <row r="1684" spans="1:5" x14ac:dyDescent="0.25">
      <c r="A1684" s="8" t="s">
        <v>1553</v>
      </c>
      <c r="B1684" s="8" t="s">
        <v>1554</v>
      </c>
      <c r="C1684" s="8" t="s">
        <v>25</v>
      </c>
      <c r="D1684" s="13">
        <v>45251</v>
      </c>
      <c r="E1684" s="9">
        <v>150377</v>
      </c>
    </row>
    <row r="1685" spans="1:5" x14ac:dyDescent="0.25">
      <c r="A1685" s="8" t="s">
        <v>1555</v>
      </c>
      <c r="B1685" s="8" t="s">
        <v>1554</v>
      </c>
      <c r="C1685" s="8" t="s">
        <v>6</v>
      </c>
      <c r="D1685" s="13">
        <v>45252</v>
      </c>
      <c r="E1685" s="9">
        <v>142142</v>
      </c>
    </row>
    <row r="1686" spans="1:5" x14ac:dyDescent="0.25">
      <c r="A1686" s="8" t="s">
        <v>1556</v>
      </c>
      <c r="B1686" s="8" t="s">
        <v>1554</v>
      </c>
      <c r="C1686" s="8" t="s">
        <v>12</v>
      </c>
      <c r="D1686" s="13">
        <v>45253</v>
      </c>
      <c r="E1686" s="9">
        <v>141277</v>
      </c>
    </row>
    <row r="1687" spans="1:5" x14ac:dyDescent="0.25">
      <c r="A1687" s="8" t="s">
        <v>1557</v>
      </c>
      <c r="B1687" s="8" t="s">
        <v>1554</v>
      </c>
      <c r="C1687" s="8" t="s">
        <v>73</v>
      </c>
      <c r="D1687" s="13">
        <v>45264</v>
      </c>
      <c r="E1687" s="9">
        <v>51716</v>
      </c>
    </row>
    <row r="1688" spans="1:5" x14ac:dyDescent="0.25">
      <c r="A1688" s="8" t="s">
        <v>1558</v>
      </c>
      <c r="B1688" s="8" t="s">
        <v>1554</v>
      </c>
      <c r="C1688" s="8" t="s">
        <v>6</v>
      </c>
      <c r="D1688" s="13">
        <v>45273</v>
      </c>
      <c r="E1688" s="9">
        <v>57891</v>
      </c>
    </row>
    <row r="1689" spans="1:5" x14ac:dyDescent="0.25">
      <c r="A1689" s="8" t="s">
        <v>1559</v>
      </c>
      <c r="B1689" s="8" t="s">
        <v>1554</v>
      </c>
      <c r="C1689" s="8" t="s">
        <v>109</v>
      </c>
      <c r="D1689" s="13">
        <v>45295</v>
      </c>
      <c r="E1689" s="9">
        <v>155408</v>
      </c>
    </row>
    <row r="1690" spans="1:5" x14ac:dyDescent="0.25">
      <c r="A1690" s="8" t="s">
        <v>1560</v>
      </c>
      <c r="B1690" s="8" t="s">
        <v>1554</v>
      </c>
      <c r="C1690" s="8" t="s">
        <v>29</v>
      </c>
      <c r="D1690" s="13">
        <v>45301</v>
      </c>
      <c r="E1690" s="9">
        <v>127432</v>
      </c>
    </row>
    <row r="1691" spans="1:5" x14ac:dyDescent="0.25">
      <c r="A1691" s="8" t="s">
        <v>1561</v>
      </c>
      <c r="B1691" s="8" t="s">
        <v>1554</v>
      </c>
      <c r="C1691" s="8" t="s">
        <v>91</v>
      </c>
      <c r="D1691" s="13">
        <v>45335</v>
      </c>
      <c r="E1691" s="9">
        <v>98013</v>
      </c>
    </row>
    <row r="1692" spans="1:5" x14ac:dyDescent="0.25">
      <c r="A1692" s="8" t="s">
        <v>1562</v>
      </c>
      <c r="B1692" s="8" t="s">
        <v>1554</v>
      </c>
      <c r="C1692" s="8" t="s">
        <v>71</v>
      </c>
      <c r="D1692" s="13">
        <v>45336</v>
      </c>
      <c r="E1692" s="9">
        <v>102676</v>
      </c>
    </row>
    <row r="1693" spans="1:5" x14ac:dyDescent="0.25">
      <c r="A1693" s="8" t="s">
        <v>1563</v>
      </c>
      <c r="B1693" s="8" t="s">
        <v>1554</v>
      </c>
      <c r="C1693" s="8" t="s">
        <v>44</v>
      </c>
      <c r="D1693" s="13">
        <v>45344</v>
      </c>
      <c r="E1693" s="9">
        <v>131779</v>
      </c>
    </row>
    <row r="1694" spans="1:5" x14ac:dyDescent="0.25">
      <c r="A1694" s="8" t="s">
        <v>1564</v>
      </c>
      <c r="B1694" s="8" t="s">
        <v>1554</v>
      </c>
      <c r="C1694" s="8" t="s">
        <v>19</v>
      </c>
      <c r="D1694" s="13">
        <v>45354</v>
      </c>
      <c r="E1694" s="9">
        <v>110478</v>
      </c>
    </row>
    <row r="1695" spans="1:5" x14ac:dyDescent="0.25">
      <c r="A1695" s="8" t="s">
        <v>1565</v>
      </c>
      <c r="B1695" s="8" t="s">
        <v>1554</v>
      </c>
      <c r="C1695" s="8" t="s">
        <v>25</v>
      </c>
      <c r="D1695" s="13">
        <v>45370</v>
      </c>
      <c r="E1695" s="9">
        <v>120551</v>
      </c>
    </row>
    <row r="1696" spans="1:5" x14ac:dyDescent="0.25">
      <c r="A1696" s="8" t="s">
        <v>1566</v>
      </c>
      <c r="B1696" s="8" t="s">
        <v>1554</v>
      </c>
      <c r="C1696" s="8" t="s">
        <v>37</v>
      </c>
      <c r="D1696" s="13">
        <v>45379</v>
      </c>
      <c r="E1696" s="9">
        <v>112020</v>
      </c>
    </row>
    <row r="1697" spans="1:5" x14ac:dyDescent="0.25">
      <c r="A1697" s="8" t="s">
        <v>1567</v>
      </c>
      <c r="B1697" s="8" t="s">
        <v>1554</v>
      </c>
      <c r="C1697" s="8" t="s">
        <v>8</v>
      </c>
      <c r="D1697" s="13">
        <v>45406</v>
      </c>
      <c r="E1697" s="9">
        <v>70777</v>
      </c>
    </row>
    <row r="1698" spans="1:5" x14ac:dyDescent="0.25">
      <c r="A1698" s="8" t="s">
        <v>1568</v>
      </c>
      <c r="B1698" s="8" t="s">
        <v>1554</v>
      </c>
      <c r="C1698" s="8" t="s">
        <v>12</v>
      </c>
      <c r="D1698" s="13">
        <v>45447</v>
      </c>
      <c r="E1698" s="9">
        <v>160929</v>
      </c>
    </row>
    <row r="1699" spans="1:5" x14ac:dyDescent="0.25">
      <c r="A1699" s="8" t="s">
        <v>1569</v>
      </c>
      <c r="B1699" s="8" t="s">
        <v>1554</v>
      </c>
      <c r="C1699" s="8" t="s">
        <v>71</v>
      </c>
      <c r="D1699" s="13">
        <v>45449</v>
      </c>
      <c r="E1699" s="9">
        <v>153127</v>
      </c>
    </row>
    <row r="1700" spans="1:5" x14ac:dyDescent="0.25">
      <c r="A1700" s="8" t="s">
        <v>1570</v>
      </c>
      <c r="B1700" s="8" t="s">
        <v>1554</v>
      </c>
      <c r="C1700" s="8" t="s">
        <v>23</v>
      </c>
      <c r="D1700" s="13">
        <v>45460</v>
      </c>
      <c r="E1700" s="9">
        <v>75580</v>
      </c>
    </row>
    <row r="1701" spans="1:5" x14ac:dyDescent="0.25">
      <c r="A1701" s="8" t="s">
        <v>1571</v>
      </c>
      <c r="B1701" s="8" t="s">
        <v>1554</v>
      </c>
      <c r="C1701" s="8" t="s">
        <v>12</v>
      </c>
      <c r="D1701" s="13">
        <v>45463</v>
      </c>
      <c r="E1701" s="9">
        <v>113309</v>
      </c>
    </row>
    <row r="1702" spans="1:5" x14ac:dyDescent="0.25">
      <c r="A1702" s="8" t="s">
        <v>1572</v>
      </c>
      <c r="B1702" s="8" t="s">
        <v>1554</v>
      </c>
      <c r="C1702" s="8" t="s">
        <v>12</v>
      </c>
      <c r="D1702" s="13">
        <v>45474</v>
      </c>
      <c r="E1702" s="9">
        <v>95987</v>
      </c>
    </row>
    <row r="1703" spans="1:5" x14ac:dyDescent="0.25">
      <c r="A1703" s="8" t="s">
        <v>1573</v>
      </c>
      <c r="B1703" s="8" t="s">
        <v>1554</v>
      </c>
      <c r="C1703" s="8" t="s">
        <v>108</v>
      </c>
      <c r="D1703" s="13">
        <v>45477</v>
      </c>
      <c r="E1703" s="9">
        <v>162955</v>
      </c>
    </row>
    <row r="1704" spans="1:5" x14ac:dyDescent="0.25">
      <c r="A1704" s="8" t="s">
        <v>1574</v>
      </c>
      <c r="B1704" s="8" t="s">
        <v>1554</v>
      </c>
      <c r="C1704" s="8" t="s">
        <v>27</v>
      </c>
      <c r="D1704" s="13">
        <v>45491</v>
      </c>
      <c r="E1704" s="9">
        <v>141022</v>
      </c>
    </row>
    <row r="1705" spans="1:5" x14ac:dyDescent="0.25">
      <c r="A1705" s="8" t="s">
        <v>1575</v>
      </c>
      <c r="B1705" s="8" t="s">
        <v>1554</v>
      </c>
      <c r="C1705" s="8" t="s">
        <v>33</v>
      </c>
      <c r="D1705" s="13">
        <v>45499</v>
      </c>
      <c r="E1705" s="9">
        <v>162408</v>
      </c>
    </row>
    <row r="1706" spans="1:5" x14ac:dyDescent="0.25">
      <c r="A1706" s="8" t="s">
        <v>1576</v>
      </c>
      <c r="B1706" s="8" t="s">
        <v>1554</v>
      </c>
      <c r="C1706" s="8" t="s">
        <v>10</v>
      </c>
      <c r="D1706" s="13">
        <v>45508</v>
      </c>
      <c r="E1706" s="9">
        <v>142684</v>
      </c>
    </row>
    <row r="1707" spans="1:5" x14ac:dyDescent="0.25">
      <c r="A1707" s="8" t="s">
        <v>1577</v>
      </c>
      <c r="B1707" s="8" t="s">
        <v>1554</v>
      </c>
      <c r="C1707" s="8" t="s">
        <v>71</v>
      </c>
      <c r="D1707" s="13">
        <v>45519</v>
      </c>
      <c r="E1707" s="9">
        <v>104086</v>
      </c>
    </row>
    <row r="1708" spans="1:5" x14ac:dyDescent="0.25">
      <c r="A1708" s="8" t="s">
        <v>1578</v>
      </c>
      <c r="B1708" s="8" t="s">
        <v>1554</v>
      </c>
      <c r="C1708" s="8" t="s">
        <v>25</v>
      </c>
      <c r="D1708" s="13">
        <v>45519</v>
      </c>
      <c r="E1708" s="9">
        <v>157004</v>
      </c>
    </row>
    <row r="1709" spans="1:5" x14ac:dyDescent="0.25">
      <c r="A1709" s="8" t="s">
        <v>2021</v>
      </c>
      <c r="B1709" s="8" t="s">
        <v>1554</v>
      </c>
      <c r="C1709" s="8" t="s">
        <v>108</v>
      </c>
      <c r="D1709" s="13">
        <v>45525</v>
      </c>
      <c r="E1709" s="9">
        <v>143834</v>
      </c>
    </row>
    <row r="1710" spans="1:5" x14ac:dyDescent="0.25">
      <c r="A1710" s="8" t="s">
        <v>2022</v>
      </c>
      <c r="B1710" s="8" t="s">
        <v>1554</v>
      </c>
      <c r="C1710" s="8" t="s">
        <v>19</v>
      </c>
      <c r="D1710" s="13">
        <v>45533</v>
      </c>
      <c r="E1710" s="9">
        <v>125366</v>
      </c>
    </row>
    <row r="1711" spans="1:5" x14ac:dyDescent="0.25">
      <c r="A1711" s="8" t="s">
        <v>2023</v>
      </c>
      <c r="B1711" s="8" t="s">
        <v>1554</v>
      </c>
      <c r="C1711" s="8" t="s">
        <v>73</v>
      </c>
      <c r="D1711" s="13">
        <v>45554</v>
      </c>
      <c r="E1711" s="9">
        <v>84930</v>
      </c>
    </row>
    <row r="1712" spans="1:5" x14ac:dyDescent="0.25">
      <c r="A1712" s="8" t="s">
        <v>2024</v>
      </c>
      <c r="B1712" s="8" t="s">
        <v>1554</v>
      </c>
      <c r="C1712" s="8" t="s">
        <v>27</v>
      </c>
      <c r="D1712" s="13">
        <v>45556</v>
      </c>
      <c r="E1712" s="9">
        <v>176108</v>
      </c>
    </row>
    <row r="1713" spans="1:5" x14ac:dyDescent="0.25">
      <c r="A1713" s="8" t="s">
        <v>2025</v>
      </c>
      <c r="B1713" s="8" t="s">
        <v>1554</v>
      </c>
      <c r="C1713" s="8" t="s">
        <v>23</v>
      </c>
      <c r="D1713" s="13">
        <v>45572</v>
      </c>
      <c r="E1713" s="9">
        <v>140612</v>
      </c>
    </row>
    <row r="1714" spans="1:5" x14ac:dyDescent="0.25">
      <c r="A1714" s="8" t="s">
        <v>2026</v>
      </c>
      <c r="B1714" s="8" t="s">
        <v>1554</v>
      </c>
      <c r="C1714" s="8" t="s">
        <v>33</v>
      </c>
      <c r="D1714" s="13">
        <v>45588</v>
      </c>
      <c r="E1714" s="9">
        <v>151200</v>
      </c>
    </row>
    <row r="1715" spans="1:5" x14ac:dyDescent="0.25">
      <c r="A1715" s="8" t="s">
        <v>2027</v>
      </c>
      <c r="B1715" s="8" t="s">
        <v>1554</v>
      </c>
      <c r="C1715" s="8" t="s">
        <v>108</v>
      </c>
      <c r="D1715" s="13">
        <v>45602</v>
      </c>
      <c r="E1715" s="9">
        <v>100358</v>
      </c>
    </row>
    <row r="1716" spans="1:5" x14ac:dyDescent="0.25">
      <c r="A1716" s="8" t="s">
        <v>2028</v>
      </c>
      <c r="B1716" s="8" t="s">
        <v>1554</v>
      </c>
      <c r="C1716" s="8" t="s">
        <v>71</v>
      </c>
      <c r="D1716" s="13">
        <v>45627</v>
      </c>
      <c r="E1716" s="9">
        <v>67653</v>
      </c>
    </row>
    <row r="1717" spans="1:5" x14ac:dyDescent="0.25">
      <c r="A1717" s="8" t="s">
        <v>2029</v>
      </c>
      <c r="B1717" s="8" t="s">
        <v>1554</v>
      </c>
      <c r="C1717" s="8" t="s">
        <v>44</v>
      </c>
      <c r="D1717" s="13">
        <v>45629</v>
      </c>
      <c r="E1717" s="9">
        <v>118864</v>
      </c>
    </row>
    <row r="1718" spans="1:5" x14ac:dyDescent="0.25">
      <c r="A1718" s="8" t="s">
        <v>2030</v>
      </c>
      <c r="B1718" s="8" t="s">
        <v>1554</v>
      </c>
      <c r="C1718" s="8" t="s">
        <v>44</v>
      </c>
      <c r="D1718" s="13">
        <v>45639</v>
      </c>
      <c r="E1718" s="9">
        <v>106986</v>
      </c>
    </row>
    <row r="1719" spans="1:5" x14ac:dyDescent="0.25">
      <c r="A1719" s="8" t="s">
        <v>2031</v>
      </c>
      <c r="B1719" s="8" t="s">
        <v>1554</v>
      </c>
      <c r="C1719" s="8" t="s">
        <v>14</v>
      </c>
      <c r="D1719" s="13">
        <v>45650</v>
      </c>
      <c r="E1719" s="9">
        <v>98909</v>
      </c>
    </row>
    <row r="1720" spans="1:5" x14ac:dyDescent="0.25">
      <c r="A1720" s="8" t="s">
        <v>2032</v>
      </c>
      <c r="B1720" s="8" t="s">
        <v>1554</v>
      </c>
      <c r="C1720" s="8" t="s">
        <v>55</v>
      </c>
      <c r="D1720" s="13">
        <v>45660</v>
      </c>
      <c r="E1720" s="9">
        <v>111431</v>
      </c>
    </row>
    <row r="1721" spans="1:5" x14ac:dyDescent="0.25">
      <c r="A1721" s="8" t="s">
        <v>2033</v>
      </c>
      <c r="B1721" s="8" t="s">
        <v>1554</v>
      </c>
      <c r="C1721" s="8" t="s">
        <v>35</v>
      </c>
      <c r="D1721" s="13">
        <v>45670</v>
      </c>
      <c r="E1721" s="9">
        <v>124773</v>
      </c>
    </row>
    <row r="1722" spans="1:5" x14ac:dyDescent="0.25">
      <c r="A1722" s="8" t="s">
        <v>2034</v>
      </c>
      <c r="B1722" s="8" t="s">
        <v>1554</v>
      </c>
      <c r="C1722" s="8" t="s">
        <v>109</v>
      </c>
      <c r="D1722" s="13">
        <v>45697</v>
      </c>
      <c r="E1722" s="9">
        <v>83857</v>
      </c>
    </row>
    <row r="1723" spans="1:5" x14ac:dyDescent="0.25">
      <c r="A1723" s="8" t="s">
        <v>2035</v>
      </c>
      <c r="B1723" s="8" t="s">
        <v>1554</v>
      </c>
      <c r="C1723" s="8" t="s">
        <v>48</v>
      </c>
      <c r="D1723" s="13">
        <v>45700</v>
      </c>
      <c r="E1723" s="9">
        <v>60631</v>
      </c>
    </row>
    <row r="1724" spans="1:5" x14ac:dyDescent="0.25">
      <c r="A1724" s="8" t="s">
        <v>2036</v>
      </c>
      <c r="B1724" s="8" t="s">
        <v>1554</v>
      </c>
      <c r="C1724" s="8" t="s">
        <v>23</v>
      </c>
      <c r="D1724" s="13">
        <v>45714</v>
      </c>
      <c r="E1724" s="9">
        <v>112835</v>
      </c>
    </row>
    <row r="1725" spans="1:5" x14ac:dyDescent="0.25">
      <c r="A1725" s="8" t="s">
        <v>2037</v>
      </c>
      <c r="B1725" s="8" t="s">
        <v>1554</v>
      </c>
      <c r="C1725" s="8" t="s">
        <v>50</v>
      </c>
      <c r="D1725" s="13">
        <v>45719</v>
      </c>
      <c r="E1725" s="9">
        <v>54631</v>
      </c>
    </row>
    <row r="1726" spans="1:5" x14ac:dyDescent="0.25">
      <c r="A1726" s="8" t="s">
        <v>2038</v>
      </c>
      <c r="B1726" s="8" t="s">
        <v>1554</v>
      </c>
      <c r="C1726" s="8" t="s">
        <v>71</v>
      </c>
      <c r="D1726" s="13">
        <v>45721</v>
      </c>
      <c r="E1726" s="9">
        <v>124301</v>
      </c>
    </row>
    <row r="1727" spans="1:5" x14ac:dyDescent="0.25">
      <c r="A1727" s="8" t="s">
        <v>2039</v>
      </c>
      <c r="B1727" s="8" t="s">
        <v>1554</v>
      </c>
      <c r="C1727" s="8" t="s">
        <v>12</v>
      </c>
      <c r="D1727" s="13">
        <v>45729</v>
      </c>
      <c r="E1727" s="9">
        <v>125558</v>
      </c>
    </row>
    <row r="1728" spans="1:5" x14ac:dyDescent="0.25">
      <c r="A1728" s="8" t="s">
        <v>2040</v>
      </c>
      <c r="B1728" s="8" t="s">
        <v>1554</v>
      </c>
      <c r="C1728" s="8" t="s">
        <v>91</v>
      </c>
      <c r="D1728" s="13">
        <v>45747</v>
      </c>
      <c r="E1728" s="9">
        <v>121934</v>
      </c>
    </row>
    <row r="1729" spans="1:5" x14ac:dyDescent="0.25">
      <c r="A1729" s="8" t="s">
        <v>2041</v>
      </c>
      <c r="B1729" s="8" t="s">
        <v>1554</v>
      </c>
      <c r="C1729" s="8" t="s">
        <v>21</v>
      </c>
      <c r="D1729" s="13">
        <v>45762</v>
      </c>
      <c r="E1729" s="9">
        <v>52374</v>
      </c>
    </row>
    <row r="1730" spans="1:5" x14ac:dyDescent="0.25">
      <c r="A1730" s="8" t="s">
        <v>2042</v>
      </c>
      <c r="B1730" s="8" t="s">
        <v>1554</v>
      </c>
      <c r="C1730" s="8" t="s">
        <v>27</v>
      </c>
      <c r="D1730" s="13">
        <v>45769</v>
      </c>
      <c r="E1730" s="9">
        <v>61040</v>
      </c>
    </row>
    <row r="1731" spans="1:5" x14ac:dyDescent="0.25">
      <c r="A1731" s="8" t="s">
        <v>2043</v>
      </c>
      <c r="B1731" s="8" t="s">
        <v>1554</v>
      </c>
      <c r="C1731" s="8" t="s">
        <v>6</v>
      </c>
      <c r="D1731" s="13">
        <v>45772</v>
      </c>
      <c r="E1731" s="9">
        <v>73491</v>
      </c>
    </row>
    <row r="1732" spans="1:5" x14ac:dyDescent="0.25">
      <c r="A1732" s="8" t="s">
        <v>2044</v>
      </c>
      <c r="B1732" s="8" t="s">
        <v>1554</v>
      </c>
      <c r="C1732" s="8" t="s">
        <v>17</v>
      </c>
      <c r="D1732" s="13">
        <v>45777</v>
      </c>
      <c r="E1732" s="9">
        <v>112882</v>
      </c>
    </row>
    <row r="1733" spans="1:5" x14ac:dyDescent="0.25">
      <c r="A1733" s="8" t="s">
        <v>2045</v>
      </c>
      <c r="B1733" s="8" t="s">
        <v>1554</v>
      </c>
      <c r="C1733" s="8" t="s">
        <v>37</v>
      </c>
      <c r="D1733" s="13">
        <v>45780</v>
      </c>
      <c r="E1733" s="9">
        <v>125907</v>
      </c>
    </row>
    <row r="1734" spans="1:5" x14ac:dyDescent="0.25">
      <c r="A1734" s="8" t="s">
        <v>1579</v>
      </c>
      <c r="B1734" s="8" t="s">
        <v>1580</v>
      </c>
      <c r="C1734" s="8" t="s">
        <v>91</v>
      </c>
      <c r="D1734" s="13">
        <v>45143</v>
      </c>
      <c r="E1734" s="9">
        <v>37473</v>
      </c>
    </row>
    <row r="1735" spans="1:5" x14ac:dyDescent="0.25">
      <c r="A1735" s="8" t="s">
        <v>1581</v>
      </c>
      <c r="B1735" s="8" t="s">
        <v>1580</v>
      </c>
      <c r="C1735" s="8" t="s">
        <v>55</v>
      </c>
      <c r="D1735" s="13">
        <v>45153</v>
      </c>
      <c r="E1735" s="9">
        <v>19669</v>
      </c>
    </row>
    <row r="1736" spans="1:5" x14ac:dyDescent="0.25">
      <c r="A1736" s="8" t="s">
        <v>1582</v>
      </c>
      <c r="B1736" s="8" t="s">
        <v>1580</v>
      </c>
      <c r="C1736" s="8" t="s">
        <v>71</v>
      </c>
      <c r="D1736" s="13">
        <v>45175</v>
      </c>
      <c r="E1736" s="9">
        <v>14971</v>
      </c>
    </row>
    <row r="1737" spans="1:5" x14ac:dyDescent="0.25">
      <c r="A1737" s="8" t="s">
        <v>1583</v>
      </c>
      <c r="B1737" s="8" t="s">
        <v>1580</v>
      </c>
      <c r="C1737" s="8" t="s">
        <v>37</v>
      </c>
      <c r="D1737" s="13">
        <v>45177</v>
      </c>
      <c r="E1737" s="9">
        <v>32515</v>
      </c>
    </row>
    <row r="1738" spans="1:5" x14ac:dyDescent="0.25">
      <c r="A1738" s="8" t="s">
        <v>1584</v>
      </c>
      <c r="B1738" s="8" t="s">
        <v>1580</v>
      </c>
      <c r="C1738" s="8" t="s">
        <v>27</v>
      </c>
      <c r="D1738" s="13">
        <v>45221</v>
      </c>
      <c r="E1738" s="9">
        <v>19429</v>
      </c>
    </row>
    <row r="1739" spans="1:5" x14ac:dyDescent="0.25">
      <c r="A1739" s="8" t="s">
        <v>1585</v>
      </c>
      <c r="B1739" s="8" t="s">
        <v>1580</v>
      </c>
      <c r="C1739" s="8" t="s">
        <v>27</v>
      </c>
      <c r="D1739" s="13">
        <v>45229</v>
      </c>
      <c r="E1739" s="9">
        <v>27820</v>
      </c>
    </row>
    <row r="1740" spans="1:5" x14ac:dyDescent="0.25">
      <c r="A1740" s="8" t="s">
        <v>1586</v>
      </c>
      <c r="B1740" s="8" t="s">
        <v>1580</v>
      </c>
      <c r="C1740" s="8" t="s">
        <v>91</v>
      </c>
      <c r="D1740" s="13">
        <v>45259</v>
      </c>
      <c r="E1740" s="9">
        <v>24451</v>
      </c>
    </row>
    <row r="1741" spans="1:5" x14ac:dyDescent="0.25">
      <c r="A1741" s="8" t="s">
        <v>1587</v>
      </c>
      <c r="B1741" s="8" t="s">
        <v>1580</v>
      </c>
      <c r="C1741" s="8" t="s">
        <v>29</v>
      </c>
      <c r="D1741" s="13">
        <v>45292</v>
      </c>
      <c r="E1741" s="9">
        <v>16994</v>
      </c>
    </row>
    <row r="1742" spans="1:5" x14ac:dyDescent="0.25">
      <c r="A1742" s="8" t="s">
        <v>1588</v>
      </c>
      <c r="B1742" s="8" t="s">
        <v>1580</v>
      </c>
      <c r="C1742" s="8" t="s">
        <v>12</v>
      </c>
      <c r="D1742" s="13">
        <v>45293</v>
      </c>
      <c r="E1742" s="9">
        <v>29480</v>
      </c>
    </row>
    <row r="1743" spans="1:5" x14ac:dyDescent="0.25">
      <c r="A1743" s="8" t="s">
        <v>1589</v>
      </c>
      <c r="B1743" s="8" t="s">
        <v>1580</v>
      </c>
      <c r="C1743" s="8" t="s">
        <v>108</v>
      </c>
      <c r="D1743" s="13">
        <v>45301</v>
      </c>
      <c r="E1743" s="9">
        <v>29296</v>
      </c>
    </row>
    <row r="1744" spans="1:5" x14ac:dyDescent="0.25">
      <c r="A1744" s="8" t="s">
        <v>1590</v>
      </c>
      <c r="B1744" s="8" t="s">
        <v>1580</v>
      </c>
      <c r="C1744" s="8" t="s">
        <v>110</v>
      </c>
      <c r="D1744" s="13">
        <v>45311</v>
      </c>
      <c r="E1744" s="9">
        <v>32659</v>
      </c>
    </row>
    <row r="1745" spans="1:5" x14ac:dyDescent="0.25">
      <c r="A1745" s="8" t="s">
        <v>1591</v>
      </c>
      <c r="B1745" s="8" t="s">
        <v>1580</v>
      </c>
      <c r="C1745" s="8" t="s">
        <v>23</v>
      </c>
      <c r="D1745" s="13">
        <v>45324</v>
      </c>
      <c r="E1745" s="9">
        <v>16596</v>
      </c>
    </row>
    <row r="1746" spans="1:5" x14ac:dyDescent="0.25">
      <c r="A1746" s="8" t="s">
        <v>1592</v>
      </c>
      <c r="B1746" s="8" t="s">
        <v>1580</v>
      </c>
      <c r="C1746" s="8" t="s">
        <v>12</v>
      </c>
      <c r="D1746" s="13">
        <v>45326</v>
      </c>
      <c r="E1746" s="9">
        <v>40624</v>
      </c>
    </row>
    <row r="1747" spans="1:5" x14ac:dyDescent="0.25">
      <c r="A1747" s="8" t="s">
        <v>1593</v>
      </c>
      <c r="B1747" s="8" t="s">
        <v>1580</v>
      </c>
      <c r="C1747" s="8" t="s">
        <v>10</v>
      </c>
      <c r="D1747" s="13">
        <v>45338</v>
      </c>
      <c r="E1747" s="9">
        <v>46934</v>
      </c>
    </row>
    <row r="1748" spans="1:5" x14ac:dyDescent="0.25">
      <c r="A1748" s="8" t="s">
        <v>1594</v>
      </c>
      <c r="B1748" s="8" t="s">
        <v>1580</v>
      </c>
      <c r="C1748" s="8" t="s">
        <v>21</v>
      </c>
      <c r="D1748" s="13">
        <v>45344</v>
      </c>
      <c r="E1748" s="9">
        <v>17809</v>
      </c>
    </row>
    <row r="1749" spans="1:5" x14ac:dyDescent="0.25">
      <c r="A1749" s="8" t="s">
        <v>1595</v>
      </c>
      <c r="B1749" s="8" t="s">
        <v>1580</v>
      </c>
      <c r="C1749" s="8" t="s">
        <v>110</v>
      </c>
      <c r="D1749" s="13">
        <v>45353</v>
      </c>
      <c r="E1749" s="9">
        <v>29612</v>
      </c>
    </row>
    <row r="1750" spans="1:5" x14ac:dyDescent="0.25">
      <c r="A1750" s="8" t="s">
        <v>1596</v>
      </c>
      <c r="B1750" s="8" t="s">
        <v>1580</v>
      </c>
      <c r="C1750" s="8" t="s">
        <v>109</v>
      </c>
      <c r="D1750" s="13">
        <v>45366</v>
      </c>
      <c r="E1750" s="9">
        <v>18988</v>
      </c>
    </row>
    <row r="1751" spans="1:5" x14ac:dyDescent="0.25">
      <c r="A1751" s="8" t="s">
        <v>1597</v>
      </c>
      <c r="B1751" s="8" t="s">
        <v>1580</v>
      </c>
      <c r="C1751" s="8" t="s">
        <v>14</v>
      </c>
      <c r="D1751" s="13">
        <v>45366</v>
      </c>
      <c r="E1751" s="9">
        <v>21641</v>
      </c>
    </row>
    <row r="1752" spans="1:5" x14ac:dyDescent="0.25">
      <c r="A1752" s="8" t="s">
        <v>1598</v>
      </c>
      <c r="B1752" s="8" t="s">
        <v>1580</v>
      </c>
      <c r="C1752" s="8" t="s">
        <v>29</v>
      </c>
      <c r="D1752" s="13">
        <v>45385</v>
      </c>
      <c r="E1752" s="9">
        <v>130386</v>
      </c>
    </row>
    <row r="1753" spans="1:5" x14ac:dyDescent="0.25">
      <c r="A1753" s="8" t="s">
        <v>1599</v>
      </c>
      <c r="B1753" s="8" t="s">
        <v>1580</v>
      </c>
      <c r="C1753" s="8" t="s">
        <v>6</v>
      </c>
      <c r="D1753" s="13">
        <v>45403</v>
      </c>
      <c r="E1753" s="9">
        <v>40385</v>
      </c>
    </row>
    <row r="1754" spans="1:5" x14ac:dyDescent="0.25">
      <c r="A1754" s="8" t="s">
        <v>1600</v>
      </c>
      <c r="B1754" s="8" t="s">
        <v>1580</v>
      </c>
      <c r="C1754" s="8" t="s">
        <v>33</v>
      </c>
      <c r="D1754" s="13">
        <v>45404</v>
      </c>
      <c r="E1754" s="9">
        <v>35694</v>
      </c>
    </row>
    <row r="1755" spans="1:5" x14ac:dyDescent="0.25">
      <c r="A1755" s="8" t="s">
        <v>1601</v>
      </c>
      <c r="B1755" s="8" t="s">
        <v>1580</v>
      </c>
      <c r="C1755" s="8" t="s">
        <v>25</v>
      </c>
      <c r="D1755" s="13">
        <v>45422</v>
      </c>
      <c r="E1755" s="9">
        <v>20538</v>
      </c>
    </row>
    <row r="1756" spans="1:5" x14ac:dyDescent="0.25">
      <c r="A1756" s="8" t="s">
        <v>1602</v>
      </c>
      <c r="B1756" s="8" t="s">
        <v>1580</v>
      </c>
      <c r="C1756" s="8" t="s">
        <v>50</v>
      </c>
      <c r="D1756" s="13">
        <v>45444</v>
      </c>
      <c r="E1756" s="9">
        <v>38286</v>
      </c>
    </row>
    <row r="1757" spans="1:5" x14ac:dyDescent="0.25">
      <c r="A1757" s="8" t="s">
        <v>1603</v>
      </c>
      <c r="B1757" s="8" t="s">
        <v>1580</v>
      </c>
      <c r="C1757" s="8" t="s">
        <v>55</v>
      </c>
      <c r="D1757" s="13">
        <v>45446</v>
      </c>
      <c r="E1757" s="9">
        <v>45009</v>
      </c>
    </row>
    <row r="1758" spans="1:5" x14ac:dyDescent="0.25">
      <c r="A1758" s="8" t="s">
        <v>1604</v>
      </c>
      <c r="B1758" s="8" t="s">
        <v>1580</v>
      </c>
      <c r="C1758" s="8" t="s">
        <v>73</v>
      </c>
      <c r="D1758" s="13">
        <v>45453</v>
      </c>
      <c r="E1758" s="9">
        <v>42120</v>
      </c>
    </row>
    <row r="1759" spans="1:5" x14ac:dyDescent="0.25">
      <c r="A1759" s="8" t="s">
        <v>1605</v>
      </c>
      <c r="B1759" s="8" t="s">
        <v>1580</v>
      </c>
      <c r="C1759" s="8" t="s">
        <v>12</v>
      </c>
      <c r="D1759" s="13">
        <v>45458</v>
      </c>
      <c r="E1759" s="9">
        <v>44783</v>
      </c>
    </row>
    <row r="1760" spans="1:5" x14ac:dyDescent="0.25">
      <c r="A1760" s="8" t="s">
        <v>1606</v>
      </c>
      <c r="B1760" s="8" t="s">
        <v>1580</v>
      </c>
      <c r="C1760" s="8" t="s">
        <v>91</v>
      </c>
      <c r="D1760" s="13">
        <v>45459</v>
      </c>
      <c r="E1760" s="9">
        <v>19046</v>
      </c>
    </row>
    <row r="1761" spans="1:5" x14ac:dyDescent="0.25">
      <c r="A1761" s="8" t="s">
        <v>1607</v>
      </c>
      <c r="B1761" s="8" t="s">
        <v>1580</v>
      </c>
      <c r="C1761" s="8" t="s">
        <v>17</v>
      </c>
      <c r="D1761" s="13">
        <v>45466</v>
      </c>
      <c r="E1761" s="9">
        <v>25572</v>
      </c>
    </row>
    <row r="1762" spans="1:5" x14ac:dyDescent="0.25">
      <c r="A1762" s="8" t="s">
        <v>1608</v>
      </c>
      <c r="B1762" s="8" t="s">
        <v>1580</v>
      </c>
      <c r="C1762" s="8" t="s">
        <v>12</v>
      </c>
      <c r="D1762" s="13">
        <v>45478</v>
      </c>
      <c r="E1762" s="9">
        <v>17142</v>
      </c>
    </row>
    <row r="1763" spans="1:5" x14ac:dyDescent="0.25">
      <c r="A1763" s="8" t="s">
        <v>1609</v>
      </c>
      <c r="B1763" s="8" t="s">
        <v>1580</v>
      </c>
      <c r="C1763" s="8" t="s">
        <v>33</v>
      </c>
      <c r="D1763" s="13">
        <v>45482</v>
      </c>
      <c r="E1763" s="9">
        <v>27399</v>
      </c>
    </row>
    <row r="1764" spans="1:5" x14ac:dyDescent="0.25">
      <c r="A1764" s="8" t="s">
        <v>1610</v>
      </c>
      <c r="B1764" s="8" t="s">
        <v>1580</v>
      </c>
      <c r="C1764" s="8" t="s">
        <v>44</v>
      </c>
      <c r="D1764" s="13">
        <v>45490</v>
      </c>
      <c r="E1764" s="9">
        <v>18468</v>
      </c>
    </row>
    <row r="1765" spans="1:5" x14ac:dyDescent="0.25">
      <c r="A1765" s="8" t="s">
        <v>1611</v>
      </c>
      <c r="B1765" s="8" t="s">
        <v>1580</v>
      </c>
      <c r="C1765" s="8" t="s">
        <v>27</v>
      </c>
      <c r="D1765" s="13">
        <v>45552</v>
      </c>
      <c r="E1765" s="9">
        <v>33526</v>
      </c>
    </row>
    <row r="1766" spans="1:5" x14ac:dyDescent="0.25">
      <c r="A1766" s="8" t="s">
        <v>1612</v>
      </c>
      <c r="B1766" s="8" t="s">
        <v>1580</v>
      </c>
      <c r="C1766" s="8" t="s">
        <v>12</v>
      </c>
      <c r="D1766" s="13">
        <v>45553</v>
      </c>
      <c r="E1766" s="9">
        <v>21263</v>
      </c>
    </row>
    <row r="1767" spans="1:5" x14ac:dyDescent="0.25">
      <c r="A1767" s="8" t="s">
        <v>1613</v>
      </c>
      <c r="B1767" s="8" t="s">
        <v>1580</v>
      </c>
      <c r="C1767" s="8" t="s">
        <v>14</v>
      </c>
      <c r="D1767" s="13">
        <v>45583</v>
      </c>
      <c r="E1767" s="9">
        <v>17674</v>
      </c>
    </row>
    <row r="1768" spans="1:5" x14ac:dyDescent="0.25">
      <c r="A1768" s="8" t="s">
        <v>1614</v>
      </c>
      <c r="B1768" s="8" t="s">
        <v>1580</v>
      </c>
      <c r="C1768" s="8" t="s">
        <v>91</v>
      </c>
      <c r="D1768" s="13">
        <v>45607</v>
      </c>
      <c r="E1768" s="9">
        <v>18636</v>
      </c>
    </row>
    <row r="1769" spans="1:5" x14ac:dyDescent="0.25">
      <c r="A1769" s="8" t="s">
        <v>1615</v>
      </c>
      <c r="B1769" s="8" t="s">
        <v>1580</v>
      </c>
      <c r="C1769" s="8" t="s">
        <v>6</v>
      </c>
      <c r="D1769" s="13">
        <v>45621</v>
      </c>
      <c r="E1769" s="9">
        <v>25265</v>
      </c>
    </row>
    <row r="1770" spans="1:5" x14ac:dyDescent="0.25">
      <c r="A1770" s="8" t="s">
        <v>1616</v>
      </c>
      <c r="B1770" s="8" t="s">
        <v>1580</v>
      </c>
      <c r="C1770" s="8" t="s">
        <v>21</v>
      </c>
      <c r="D1770" s="13">
        <v>45627</v>
      </c>
      <c r="E1770" s="9">
        <v>16404</v>
      </c>
    </row>
    <row r="1771" spans="1:5" x14ac:dyDescent="0.25">
      <c r="A1771" s="8" t="s">
        <v>1617</v>
      </c>
      <c r="B1771" s="8" t="s">
        <v>1580</v>
      </c>
      <c r="C1771" s="8" t="s">
        <v>73</v>
      </c>
      <c r="D1771" s="13">
        <v>45648</v>
      </c>
      <c r="E1771" s="9">
        <v>26128</v>
      </c>
    </row>
    <row r="1772" spans="1:5" x14ac:dyDescent="0.25">
      <c r="A1772" s="8" t="s">
        <v>1618</v>
      </c>
      <c r="B1772" s="8" t="s">
        <v>1580</v>
      </c>
      <c r="C1772" s="8" t="s">
        <v>55</v>
      </c>
      <c r="D1772" s="13">
        <v>45682</v>
      </c>
      <c r="E1772" s="9">
        <v>40191</v>
      </c>
    </row>
    <row r="1773" spans="1:5" x14ac:dyDescent="0.25">
      <c r="A1773" s="8" t="s">
        <v>1619</v>
      </c>
      <c r="B1773" s="8" t="s">
        <v>1580</v>
      </c>
      <c r="C1773" s="8" t="s">
        <v>33</v>
      </c>
      <c r="D1773" s="13">
        <v>45711</v>
      </c>
      <c r="E1773" s="9">
        <v>20918</v>
      </c>
    </row>
    <row r="1774" spans="1:5" x14ac:dyDescent="0.25">
      <c r="A1774" s="8" t="s">
        <v>1620</v>
      </c>
      <c r="B1774" s="8" t="s">
        <v>1580</v>
      </c>
      <c r="C1774" s="8" t="s">
        <v>37</v>
      </c>
      <c r="D1774" s="13">
        <v>45722</v>
      </c>
      <c r="E1774" s="9">
        <v>22670</v>
      </c>
    </row>
    <row r="1775" spans="1:5" x14ac:dyDescent="0.25">
      <c r="A1775" s="8" t="s">
        <v>1621</v>
      </c>
      <c r="B1775" s="8" t="s">
        <v>1580</v>
      </c>
      <c r="C1775" s="8" t="s">
        <v>6</v>
      </c>
      <c r="D1775" s="13">
        <v>45724</v>
      </c>
      <c r="E1775" s="9">
        <v>37186</v>
      </c>
    </row>
    <row r="1776" spans="1:5" x14ac:dyDescent="0.25">
      <c r="A1776" s="8" t="s">
        <v>1622</v>
      </c>
      <c r="B1776" s="8" t="s">
        <v>1580</v>
      </c>
      <c r="C1776" s="8" t="s">
        <v>14</v>
      </c>
      <c r="D1776" s="13">
        <v>45738</v>
      </c>
      <c r="E1776" s="9">
        <v>39821</v>
      </c>
    </row>
    <row r="1777" spans="1:5" x14ac:dyDescent="0.25">
      <c r="A1777" s="8" t="s">
        <v>1623</v>
      </c>
      <c r="B1777" s="8" t="s">
        <v>1580</v>
      </c>
      <c r="C1777" s="8" t="s">
        <v>108</v>
      </c>
      <c r="D1777" s="13">
        <v>45753</v>
      </c>
      <c r="E1777" s="9">
        <v>30110</v>
      </c>
    </row>
    <row r="1778" spans="1:5" x14ac:dyDescent="0.25">
      <c r="A1778" s="8" t="s">
        <v>1624</v>
      </c>
      <c r="B1778" s="8" t="s">
        <v>1580</v>
      </c>
      <c r="C1778" s="8" t="s">
        <v>10</v>
      </c>
      <c r="D1778" s="13">
        <v>45774</v>
      </c>
      <c r="E1778" s="9">
        <v>18578</v>
      </c>
    </row>
    <row r="1779" spans="1:5" x14ac:dyDescent="0.25">
      <c r="A1779" s="8" t="s">
        <v>1625</v>
      </c>
      <c r="B1779" s="8" t="s">
        <v>1580</v>
      </c>
      <c r="C1779" s="8" t="s">
        <v>48</v>
      </c>
      <c r="D1779" s="13">
        <v>45785</v>
      </c>
      <c r="E1779" s="9">
        <v>33136</v>
      </c>
    </row>
    <row r="1780" spans="1:5" x14ac:dyDescent="0.25">
      <c r="A1780" s="8" t="s">
        <v>1626</v>
      </c>
      <c r="B1780" s="8" t="s">
        <v>1580</v>
      </c>
      <c r="C1780" s="8" t="s">
        <v>37</v>
      </c>
      <c r="D1780" s="13">
        <v>45788</v>
      </c>
      <c r="E1780" s="9">
        <v>26983</v>
      </c>
    </row>
    <row r="1781" spans="1:5" x14ac:dyDescent="0.25">
      <c r="A1781" s="8" t="s">
        <v>1627</v>
      </c>
      <c r="B1781" s="8" t="s">
        <v>1580</v>
      </c>
      <c r="C1781" s="8" t="s">
        <v>19</v>
      </c>
      <c r="D1781" s="13">
        <v>45792</v>
      </c>
      <c r="E1781" s="9">
        <v>17410</v>
      </c>
    </row>
    <row r="1782" spans="1:5" x14ac:dyDescent="0.25">
      <c r="A1782" s="8" t="s">
        <v>1628</v>
      </c>
      <c r="B1782" s="8" t="s">
        <v>1580</v>
      </c>
      <c r="C1782" s="8" t="s">
        <v>37</v>
      </c>
      <c r="D1782" s="13">
        <v>45794</v>
      </c>
      <c r="E1782" s="9">
        <v>30949</v>
      </c>
    </row>
    <row r="1783" spans="1:5" x14ac:dyDescent="0.25">
      <c r="A1783" s="8" t="s">
        <v>1629</v>
      </c>
      <c r="B1783" s="8" t="s">
        <v>1580</v>
      </c>
      <c r="C1783" s="8" t="s">
        <v>29</v>
      </c>
      <c r="D1783" s="13">
        <v>45806</v>
      </c>
      <c r="E1783" s="9">
        <v>21545</v>
      </c>
    </row>
    <row r="1784" spans="1:5" x14ac:dyDescent="0.25">
      <c r="A1784" s="8" t="s">
        <v>2046</v>
      </c>
      <c r="B1784" s="8" t="s">
        <v>1580</v>
      </c>
      <c r="C1784" s="8" t="s">
        <v>19</v>
      </c>
      <c r="D1784" s="13">
        <v>45812</v>
      </c>
      <c r="E1784" s="9">
        <v>19027</v>
      </c>
    </row>
    <row r="1785" spans="1:5" x14ac:dyDescent="0.25">
      <c r="A1785" s="8" t="s">
        <v>2047</v>
      </c>
      <c r="B1785" s="8" t="s">
        <v>1580</v>
      </c>
      <c r="C1785" s="8" t="s">
        <v>48</v>
      </c>
      <c r="D1785" s="13">
        <v>45826</v>
      </c>
      <c r="E1785" s="9">
        <v>32658</v>
      </c>
    </row>
    <row r="1786" spans="1:5" x14ac:dyDescent="0.25">
      <c r="A1786" s="8" t="s">
        <v>2048</v>
      </c>
      <c r="B1786" s="8" t="s">
        <v>1580</v>
      </c>
      <c r="C1786" s="8" t="s">
        <v>48</v>
      </c>
      <c r="D1786" s="13">
        <v>45831</v>
      </c>
      <c r="E1786" s="9">
        <v>13858</v>
      </c>
    </row>
    <row r="1787" spans="1:5" x14ac:dyDescent="0.25">
      <c r="A1787" s="8" t="s">
        <v>2049</v>
      </c>
      <c r="B1787" s="8" t="s">
        <v>1580</v>
      </c>
      <c r="C1787" s="8" t="s">
        <v>12</v>
      </c>
      <c r="D1787" s="13">
        <v>45836</v>
      </c>
      <c r="E1787" s="9">
        <v>31196</v>
      </c>
    </row>
    <row r="1788" spans="1:5" x14ac:dyDescent="0.25">
      <c r="A1788" s="8" t="s">
        <v>2050</v>
      </c>
      <c r="B1788" s="8" t="s">
        <v>1580</v>
      </c>
      <c r="C1788" s="8" t="s">
        <v>44</v>
      </c>
      <c r="D1788" s="13">
        <v>45849</v>
      </c>
      <c r="E1788" s="9">
        <v>15945</v>
      </c>
    </row>
    <row r="1789" spans="1:5" x14ac:dyDescent="0.25">
      <c r="A1789" s="8" t="s">
        <v>2051</v>
      </c>
      <c r="B1789" s="8" t="s">
        <v>1580</v>
      </c>
      <c r="C1789" s="8" t="s">
        <v>23</v>
      </c>
      <c r="D1789" s="13">
        <v>45867</v>
      </c>
      <c r="E1789" s="9">
        <v>13897</v>
      </c>
    </row>
    <row r="1790" spans="1:5" x14ac:dyDescent="0.25">
      <c r="A1790" s="8" t="s">
        <v>2052</v>
      </c>
      <c r="B1790" s="8" t="s">
        <v>1580</v>
      </c>
      <c r="C1790" s="8" t="s">
        <v>29</v>
      </c>
      <c r="D1790" s="13">
        <v>45871</v>
      </c>
      <c r="E1790" s="9">
        <v>24309</v>
      </c>
    </row>
    <row r="1791" spans="1:5" x14ac:dyDescent="0.25">
      <c r="A1791" s="8" t="s">
        <v>2053</v>
      </c>
      <c r="B1791" s="8" t="s">
        <v>1580</v>
      </c>
      <c r="C1791" s="8" t="s">
        <v>91</v>
      </c>
      <c r="D1791" s="13">
        <v>45877</v>
      </c>
      <c r="E1791" s="9">
        <v>14303</v>
      </c>
    </row>
    <row r="1792" spans="1:5" x14ac:dyDescent="0.25">
      <c r="A1792" s="8" t="s">
        <v>2054</v>
      </c>
      <c r="B1792" s="8" t="s">
        <v>1580</v>
      </c>
      <c r="C1792" s="8" t="s">
        <v>55</v>
      </c>
      <c r="D1792" s="13">
        <v>45887</v>
      </c>
      <c r="E1792" s="9">
        <v>15857</v>
      </c>
    </row>
    <row r="1793" spans="1:5" x14ac:dyDescent="0.25">
      <c r="A1793" s="8" t="s">
        <v>2055</v>
      </c>
      <c r="B1793" s="8" t="s">
        <v>1580</v>
      </c>
      <c r="C1793" s="8" t="s">
        <v>25</v>
      </c>
      <c r="D1793" s="13">
        <v>45890</v>
      </c>
      <c r="E1793" s="9">
        <v>27516</v>
      </c>
    </row>
    <row r="1794" spans="1:5" x14ac:dyDescent="0.25">
      <c r="A1794" s="8" t="s">
        <v>1630</v>
      </c>
      <c r="B1794" s="8" t="s">
        <v>1631</v>
      </c>
      <c r="C1794" s="8" t="s">
        <v>21</v>
      </c>
      <c r="D1794" s="13">
        <v>45141</v>
      </c>
      <c r="E1794" s="9">
        <v>6651</v>
      </c>
    </row>
    <row r="1795" spans="1:5" x14ac:dyDescent="0.25">
      <c r="A1795" s="8" t="s">
        <v>1632</v>
      </c>
      <c r="B1795" s="8" t="s">
        <v>1631</v>
      </c>
      <c r="C1795" s="8" t="s">
        <v>48</v>
      </c>
      <c r="D1795" s="13">
        <v>45159</v>
      </c>
      <c r="E1795" s="9">
        <v>7319</v>
      </c>
    </row>
    <row r="1796" spans="1:5" x14ac:dyDescent="0.25">
      <c r="A1796" s="8" t="s">
        <v>1633</v>
      </c>
      <c r="B1796" s="8" t="s">
        <v>1631</v>
      </c>
      <c r="C1796" s="8" t="s">
        <v>91</v>
      </c>
      <c r="D1796" s="13">
        <v>45161</v>
      </c>
      <c r="E1796" s="9">
        <v>14899</v>
      </c>
    </row>
    <row r="1797" spans="1:5" x14ac:dyDescent="0.25">
      <c r="A1797" s="8" t="s">
        <v>1634</v>
      </c>
      <c r="B1797" s="8" t="s">
        <v>1631</v>
      </c>
      <c r="C1797" s="8" t="s">
        <v>44</v>
      </c>
      <c r="D1797" s="13">
        <v>45177</v>
      </c>
      <c r="E1797" s="9">
        <v>5776</v>
      </c>
    </row>
    <row r="1798" spans="1:5" x14ac:dyDescent="0.25">
      <c r="A1798" s="8" t="s">
        <v>1635</v>
      </c>
      <c r="B1798" s="8" t="s">
        <v>1631</v>
      </c>
      <c r="C1798" s="8" t="s">
        <v>6</v>
      </c>
      <c r="D1798" s="13">
        <v>45185</v>
      </c>
      <c r="E1798" s="9">
        <v>15998</v>
      </c>
    </row>
    <row r="1799" spans="1:5" x14ac:dyDescent="0.25">
      <c r="A1799" s="8" t="s">
        <v>1636</v>
      </c>
      <c r="B1799" s="8" t="s">
        <v>1631</v>
      </c>
      <c r="C1799" s="8" t="s">
        <v>33</v>
      </c>
      <c r="D1799" s="13">
        <v>45185</v>
      </c>
      <c r="E1799" s="9">
        <v>13787</v>
      </c>
    </row>
    <row r="1800" spans="1:5" x14ac:dyDescent="0.25">
      <c r="A1800" s="8" t="s">
        <v>1637</v>
      </c>
      <c r="B1800" s="8" t="s">
        <v>1631</v>
      </c>
      <c r="C1800" s="8" t="s">
        <v>19</v>
      </c>
      <c r="D1800" s="13">
        <v>45190</v>
      </c>
      <c r="E1800" s="9">
        <v>9864</v>
      </c>
    </row>
    <row r="1801" spans="1:5" x14ac:dyDescent="0.25">
      <c r="A1801" s="8" t="s">
        <v>1638</v>
      </c>
      <c r="B1801" s="8" t="s">
        <v>1631</v>
      </c>
      <c r="C1801" s="8" t="s">
        <v>48</v>
      </c>
      <c r="D1801" s="13">
        <v>45230</v>
      </c>
      <c r="E1801" s="9">
        <v>11578</v>
      </c>
    </row>
    <row r="1802" spans="1:5" x14ac:dyDescent="0.25">
      <c r="A1802" s="8" t="s">
        <v>1639</v>
      </c>
      <c r="B1802" s="8" t="s">
        <v>1631</v>
      </c>
      <c r="C1802" s="8" t="s">
        <v>73</v>
      </c>
      <c r="D1802" s="13">
        <v>45242</v>
      </c>
      <c r="E1802" s="9">
        <v>8991</v>
      </c>
    </row>
    <row r="1803" spans="1:5" x14ac:dyDescent="0.25">
      <c r="A1803" s="8" t="s">
        <v>1640</v>
      </c>
      <c r="B1803" s="8" t="s">
        <v>1631</v>
      </c>
      <c r="C1803" s="8" t="s">
        <v>109</v>
      </c>
      <c r="D1803" s="13">
        <v>45246</v>
      </c>
      <c r="E1803" s="9">
        <v>15291</v>
      </c>
    </row>
    <row r="1804" spans="1:5" x14ac:dyDescent="0.25">
      <c r="A1804" s="8" t="s">
        <v>1641</v>
      </c>
      <c r="B1804" s="8" t="s">
        <v>1631</v>
      </c>
      <c r="C1804" s="8" t="s">
        <v>17</v>
      </c>
      <c r="D1804" s="13">
        <v>45255</v>
      </c>
      <c r="E1804" s="9">
        <v>13612</v>
      </c>
    </row>
    <row r="1805" spans="1:5" x14ac:dyDescent="0.25">
      <c r="A1805" s="8" t="s">
        <v>1642</v>
      </c>
      <c r="B1805" s="8" t="s">
        <v>1631</v>
      </c>
      <c r="C1805" s="8" t="s">
        <v>8</v>
      </c>
      <c r="D1805" s="13">
        <v>45257</v>
      </c>
      <c r="E1805" s="9">
        <v>15778</v>
      </c>
    </row>
    <row r="1806" spans="1:5" x14ac:dyDescent="0.25">
      <c r="A1806" s="8" t="s">
        <v>1643</v>
      </c>
      <c r="B1806" s="8" t="s">
        <v>1631</v>
      </c>
      <c r="C1806" s="8" t="s">
        <v>10</v>
      </c>
      <c r="D1806" s="13">
        <v>45273</v>
      </c>
      <c r="E1806" s="9">
        <v>8706</v>
      </c>
    </row>
    <row r="1807" spans="1:5" x14ac:dyDescent="0.25">
      <c r="A1807" s="8" t="s">
        <v>1644</v>
      </c>
      <c r="B1807" s="8" t="s">
        <v>1631</v>
      </c>
      <c r="C1807" s="8" t="s">
        <v>6</v>
      </c>
      <c r="D1807" s="13">
        <v>45280</v>
      </c>
      <c r="E1807" s="9">
        <v>5970</v>
      </c>
    </row>
    <row r="1808" spans="1:5" x14ac:dyDescent="0.25">
      <c r="A1808" s="8" t="s">
        <v>1645</v>
      </c>
      <c r="B1808" s="8" t="s">
        <v>1631</v>
      </c>
      <c r="C1808" s="8" t="s">
        <v>33</v>
      </c>
      <c r="D1808" s="13">
        <v>45291</v>
      </c>
      <c r="E1808" s="9">
        <v>8162</v>
      </c>
    </row>
    <row r="1809" spans="1:5" x14ac:dyDescent="0.25">
      <c r="A1809" s="8" t="s">
        <v>1646</v>
      </c>
      <c r="B1809" s="8" t="s">
        <v>1631</v>
      </c>
      <c r="C1809" s="8" t="s">
        <v>73</v>
      </c>
      <c r="D1809" s="13">
        <v>45295</v>
      </c>
      <c r="E1809" s="9">
        <v>6742</v>
      </c>
    </row>
    <row r="1810" spans="1:5" x14ac:dyDescent="0.25">
      <c r="A1810" s="8" t="s">
        <v>1647</v>
      </c>
      <c r="B1810" s="8" t="s">
        <v>1631</v>
      </c>
      <c r="C1810" s="8" t="s">
        <v>44</v>
      </c>
      <c r="D1810" s="13">
        <v>45312</v>
      </c>
      <c r="E1810" s="9">
        <v>13269</v>
      </c>
    </row>
    <row r="1811" spans="1:5" x14ac:dyDescent="0.25">
      <c r="A1811" s="8" t="s">
        <v>1648</v>
      </c>
      <c r="B1811" s="8" t="s">
        <v>1631</v>
      </c>
      <c r="C1811" s="8" t="s">
        <v>71</v>
      </c>
      <c r="D1811" s="13">
        <v>45313</v>
      </c>
      <c r="E1811" s="9">
        <v>14349</v>
      </c>
    </row>
    <row r="1812" spans="1:5" x14ac:dyDescent="0.25">
      <c r="A1812" s="8" t="s">
        <v>1649</v>
      </c>
      <c r="B1812" s="8" t="s">
        <v>1631</v>
      </c>
      <c r="C1812" s="8" t="s">
        <v>21</v>
      </c>
      <c r="D1812" s="13">
        <v>45317</v>
      </c>
      <c r="E1812" s="9">
        <v>19396</v>
      </c>
    </row>
    <row r="1813" spans="1:5" x14ac:dyDescent="0.25">
      <c r="A1813" s="8" t="s">
        <v>1650</v>
      </c>
      <c r="B1813" s="8" t="s">
        <v>1631</v>
      </c>
      <c r="C1813" s="8" t="s">
        <v>6</v>
      </c>
      <c r="D1813" s="13">
        <v>45331</v>
      </c>
      <c r="E1813" s="9">
        <v>16781</v>
      </c>
    </row>
    <row r="1814" spans="1:5" x14ac:dyDescent="0.25">
      <c r="A1814" s="8" t="s">
        <v>2056</v>
      </c>
      <c r="B1814" s="8" t="s">
        <v>1631</v>
      </c>
      <c r="C1814" s="8" t="s">
        <v>21</v>
      </c>
      <c r="D1814" s="13">
        <v>45343</v>
      </c>
      <c r="E1814" s="9">
        <v>10466</v>
      </c>
    </row>
    <row r="1815" spans="1:5" x14ac:dyDescent="0.25">
      <c r="A1815" s="8" t="s">
        <v>2057</v>
      </c>
      <c r="B1815" s="8" t="s">
        <v>1631</v>
      </c>
      <c r="C1815" s="8" t="s">
        <v>109</v>
      </c>
      <c r="D1815" s="13">
        <v>45351</v>
      </c>
      <c r="E1815" s="9">
        <v>12475</v>
      </c>
    </row>
    <row r="1816" spans="1:5" x14ac:dyDescent="0.25">
      <c r="A1816" s="8" t="s">
        <v>2058</v>
      </c>
      <c r="B1816" s="8" t="s">
        <v>1631</v>
      </c>
      <c r="C1816" s="8" t="s">
        <v>27</v>
      </c>
      <c r="D1816" s="13">
        <v>45368</v>
      </c>
      <c r="E1816" s="9">
        <v>8950</v>
      </c>
    </row>
    <row r="1817" spans="1:5" x14ac:dyDescent="0.25">
      <c r="A1817" s="8" t="s">
        <v>2059</v>
      </c>
      <c r="B1817" s="8" t="s">
        <v>1631</v>
      </c>
      <c r="C1817" s="8" t="s">
        <v>71</v>
      </c>
      <c r="D1817" s="13">
        <v>45397</v>
      </c>
      <c r="E1817" s="9">
        <v>18520</v>
      </c>
    </row>
    <row r="1818" spans="1:5" x14ac:dyDescent="0.25">
      <c r="A1818" s="8" t="s">
        <v>2060</v>
      </c>
      <c r="B1818" s="8" t="s">
        <v>1631</v>
      </c>
      <c r="C1818" s="8" t="s">
        <v>14</v>
      </c>
      <c r="D1818" s="13">
        <v>45401</v>
      </c>
      <c r="E1818" s="9">
        <v>14681</v>
      </c>
    </row>
    <row r="1819" spans="1:5" x14ac:dyDescent="0.25">
      <c r="A1819" s="8" t="s">
        <v>2061</v>
      </c>
      <c r="B1819" s="8" t="s">
        <v>1631</v>
      </c>
      <c r="C1819" s="8" t="s">
        <v>110</v>
      </c>
      <c r="D1819" s="13">
        <v>45415</v>
      </c>
      <c r="E1819" s="9">
        <v>12734</v>
      </c>
    </row>
    <row r="1820" spans="1:5" x14ac:dyDescent="0.25">
      <c r="A1820" s="8" t="s">
        <v>2062</v>
      </c>
      <c r="B1820" s="8" t="s">
        <v>1631</v>
      </c>
      <c r="C1820" s="8" t="s">
        <v>110</v>
      </c>
      <c r="D1820" s="13">
        <v>45436</v>
      </c>
      <c r="E1820" s="9">
        <v>17719</v>
      </c>
    </row>
    <row r="1821" spans="1:5" x14ac:dyDescent="0.25">
      <c r="A1821" s="8" t="s">
        <v>2063</v>
      </c>
      <c r="B1821" s="8" t="s">
        <v>1631</v>
      </c>
      <c r="C1821" s="8" t="s">
        <v>71</v>
      </c>
      <c r="D1821" s="13">
        <v>45436</v>
      </c>
      <c r="E1821" s="9">
        <v>6676</v>
      </c>
    </row>
    <row r="1822" spans="1:5" x14ac:dyDescent="0.25">
      <c r="A1822" s="8" t="s">
        <v>2064</v>
      </c>
      <c r="B1822" s="8" t="s">
        <v>1631</v>
      </c>
      <c r="C1822" s="8" t="s">
        <v>6</v>
      </c>
      <c r="D1822" s="13">
        <v>45441</v>
      </c>
      <c r="E1822" s="9">
        <v>12303</v>
      </c>
    </row>
    <row r="1823" spans="1:5" x14ac:dyDescent="0.25">
      <c r="A1823" s="8" t="s">
        <v>2065</v>
      </c>
      <c r="B1823" s="8" t="s">
        <v>1631</v>
      </c>
      <c r="C1823" s="8" t="s">
        <v>55</v>
      </c>
      <c r="D1823" s="13">
        <v>45442</v>
      </c>
      <c r="E1823" s="9">
        <v>14071</v>
      </c>
    </row>
    <row r="1824" spans="1:5" x14ac:dyDescent="0.25">
      <c r="A1824" s="8" t="s">
        <v>2066</v>
      </c>
      <c r="B1824" s="8" t="s">
        <v>1631</v>
      </c>
      <c r="C1824" s="8" t="s">
        <v>71</v>
      </c>
      <c r="D1824" s="13">
        <v>45447</v>
      </c>
      <c r="E1824" s="9">
        <v>6502</v>
      </c>
    </row>
    <row r="1825" spans="1:5" x14ac:dyDescent="0.25">
      <c r="A1825" s="8" t="s">
        <v>2067</v>
      </c>
      <c r="B1825" s="8" t="s">
        <v>1631</v>
      </c>
      <c r="C1825" s="8" t="s">
        <v>17</v>
      </c>
      <c r="D1825" s="13">
        <v>45452</v>
      </c>
      <c r="E1825" s="9">
        <v>9833</v>
      </c>
    </row>
    <row r="1826" spans="1:5" x14ac:dyDescent="0.25">
      <c r="A1826" s="8" t="s">
        <v>2068</v>
      </c>
      <c r="B1826" s="8" t="s">
        <v>1631</v>
      </c>
      <c r="C1826" s="8" t="s">
        <v>110</v>
      </c>
      <c r="D1826" s="13">
        <v>45484</v>
      </c>
      <c r="E1826" s="9">
        <v>11375</v>
      </c>
    </row>
    <row r="1827" spans="1:5" x14ac:dyDescent="0.25">
      <c r="A1827" s="8" t="s">
        <v>2069</v>
      </c>
      <c r="B1827" s="8" t="s">
        <v>1631</v>
      </c>
      <c r="C1827" s="8" t="s">
        <v>17</v>
      </c>
      <c r="D1827" s="13">
        <v>45489</v>
      </c>
      <c r="E1827" s="9">
        <v>15807</v>
      </c>
    </row>
    <row r="1828" spans="1:5" x14ac:dyDescent="0.25">
      <c r="A1828" s="8" t="s">
        <v>2070</v>
      </c>
      <c r="B1828" s="8" t="s">
        <v>1631</v>
      </c>
      <c r="C1828" s="8" t="s">
        <v>27</v>
      </c>
      <c r="D1828" s="13">
        <v>45505</v>
      </c>
      <c r="E1828" s="9">
        <v>14797</v>
      </c>
    </row>
    <row r="1829" spans="1:5" x14ac:dyDescent="0.25">
      <c r="A1829" s="8" t="s">
        <v>2071</v>
      </c>
      <c r="B1829" s="8" t="s">
        <v>1631</v>
      </c>
      <c r="C1829" s="8" t="s">
        <v>27</v>
      </c>
      <c r="D1829" s="13">
        <v>45528</v>
      </c>
      <c r="E1829" s="9">
        <v>15888</v>
      </c>
    </row>
    <row r="1830" spans="1:5" x14ac:dyDescent="0.25">
      <c r="A1830" s="8" t="s">
        <v>2072</v>
      </c>
      <c r="B1830" s="8" t="s">
        <v>1631</v>
      </c>
      <c r="C1830" s="8" t="s">
        <v>25</v>
      </c>
      <c r="D1830" s="13">
        <v>45531</v>
      </c>
      <c r="E1830" s="9">
        <v>14459</v>
      </c>
    </row>
    <row r="1831" spans="1:5" x14ac:dyDescent="0.25">
      <c r="A1831" s="8" t="s">
        <v>2073</v>
      </c>
      <c r="B1831" s="8" t="s">
        <v>1631</v>
      </c>
      <c r="C1831" s="8" t="s">
        <v>91</v>
      </c>
      <c r="D1831" s="13">
        <v>45552</v>
      </c>
      <c r="E1831" s="9">
        <v>15267</v>
      </c>
    </row>
    <row r="1832" spans="1:5" x14ac:dyDescent="0.25">
      <c r="A1832" s="8" t="s">
        <v>2074</v>
      </c>
      <c r="B1832" s="8" t="s">
        <v>1631</v>
      </c>
      <c r="C1832" s="8" t="s">
        <v>50</v>
      </c>
      <c r="D1832" s="13">
        <v>45587</v>
      </c>
      <c r="E1832" s="9">
        <v>25546</v>
      </c>
    </row>
    <row r="1833" spans="1:5" x14ac:dyDescent="0.25">
      <c r="A1833" s="8" t="s">
        <v>2075</v>
      </c>
      <c r="B1833" s="8" t="s">
        <v>1631</v>
      </c>
      <c r="C1833" s="8" t="s">
        <v>12</v>
      </c>
      <c r="D1833" s="13">
        <v>45606</v>
      </c>
      <c r="E1833" s="9">
        <v>9611</v>
      </c>
    </row>
    <row r="1834" spans="1:5" x14ac:dyDescent="0.25">
      <c r="A1834" s="8" t="s">
        <v>2076</v>
      </c>
      <c r="B1834" s="8" t="s">
        <v>1631</v>
      </c>
      <c r="C1834" s="8" t="s">
        <v>48</v>
      </c>
      <c r="D1834" s="13">
        <v>45631</v>
      </c>
      <c r="E1834" s="9">
        <v>14160</v>
      </c>
    </row>
    <row r="1835" spans="1:5" x14ac:dyDescent="0.25">
      <c r="A1835" s="8" t="s">
        <v>2077</v>
      </c>
      <c r="B1835" s="8" t="s">
        <v>1631</v>
      </c>
      <c r="C1835" s="8" t="s">
        <v>35</v>
      </c>
      <c r="D1835" s="13">
        <v>45640</v>
      </c>
      <c r="E1835" s="9">
        <v>7066</v>
      </c>
    </row>
    <row r="1836" spans="1:5" x14ac:dyDescent="0.25">
      <c r="A1836" s="8" t="s">
        <v>2078</v>
      </c>
      <c r="B1836" s="8" t="s">
        <v>1631</v>
      </c>
      <c r="C1836" s="8" t="s">
        <v>109</v>
      </c>
      <c r="D1836" s="13">
        <v>45648</v>
      </c>
      <c r="E1836" s="9">
        <v>12639</v>
      </c>
    </row>
    <row r="1837" spans="1:5" x14ac:dyDescent="0.25">
      <c r="A1837" s="8" t="s">
        <v>2079</v>
      </c>
      <c r="B1837" s="8" t="s">
        <v>1631</v>
      </c>
      <c r="C1837" s="8" t="s">
        <v>110</v>
      </c>
      <c r="D1837" s="13">
        <v>45662</v>
      </c>
      <c r="E1837" s="9">
        <v>8166</v>
      </c>
    </row>
    <row r="1838" spans="1:5" x14ac:dyDescent="0.25">
      <c r="A1838" s="8" t="s">
        <v>2080</v>
      </c>
      <c r="B1838" s="8" t="s">
        <v>1631</v>
      </c>
      <c r="C1838" s="8" t="s">
        <v>33</v>
      </c>
      <c r="D1838" s="13">
        <v>45671</v>
      </c>
      <c r="E1838" s="9">
        <v>6378</v>
      </c>
    </row>
    <row r="1839" spans="1:5" x14ac:dyDescent="0.25">
      <c r="A1839" s="8" t="s">
        <v>2081</v>
      </c>
      <c r="B1839" s="8" t="s">
        <v>1631</v>
      </c>
      <c r="C1839" s="8" t="s">
        <v>35</v>
      </c>
      <c r="D1839" s="13">
        <v>45674</v>
      </c>
      <c r="E1839" s="9">
        <v>44274</v>
      </c>
    </row>
    <row r="1840" spans="1:5" x14ac:dyDescent="0.25">
      <c r="A1840" s="8" t="s">
        <v>2082</v>
      </c>
      <c r="B1840" s="8" t="s">
        <v>1631</v>
      </c>
      <c r="C1840" s="8" t="s">
        <v>23</v>
      </c>
      <c r="D1840" s="13">
        <v>45686</v>
      </c>
      <c r="E1840" s="9">
        <v>7154</v>
      </c>
    </row>
    <row r="1841" spans="1:5" x14ac:dyDescent="0.25">
      <c r="A1841" s="8" t="s">
        <v>2083</v>
      </c>
      <c r="B1841" s="8" t="s">
        <v>1631</v>
      </c>
      <c r="C1841" s="8" t="s">
        <v>50</v>
      </c>
      <c r="D1841" s="13">
        <v>45700</v>
      </c>
      <c r="E1841" s="9">
        <v>13603</v>
      </c>
    </row>
    <row r="1842" spans="1:5" x14ac:dyDescent="0.25">
      <c r="A1842" s="8" t="s">
        <v>2084</v>
      </c>
      <c r="B1842" s="8" t="s">
        <v>1631</v>
      </c>
      <c r="C1842" s="8" t="s">
        <v>35</v>
      </c>
      <c r="D1842" s="13">
        <v>45726</v>
      </c>
      <c r="E1842" s="9">
        <v>8049</v>
      </c>
    </row>
    <row r="1843" spans="1:5" x14ac:dyDescent="0.25">
      <c r="A1843" s="8" t="s">
        <v>2085</v>
      </c>
      <c r="B1843" s="8" t="s">
        <v>1631</v>
      </c>
      <c r="C1843" s="8" t="s">
        <v>19</v>
      </c>
      <c r="D1843" s="13">
        <v>45747</v>
      </c>
      <c r="E1843" s="9">
        <v>10176</v>
      </c>
    </row>
    <row r="1844" spans="1:5" x14ac:dyDescent="0.25">
      <c r="A1844" s="8" t="s">
        <v>2086</v>
      </c>
      <c r="B1844" s="8" t="s">
        <v>1631</v>
      </c>
      <c r="C1844" s="8" t="s">
        <v>91</v>
      </c>
      <c r="D1844" s="13">
        <v>45771</v>
      </c>
      <c r="E1844" s="9">
        <v>15050</v>
      </c>
    </row>
    <row r="1845" spans="1:5" x14ac:dyDescent="0.25">
      <c r="A1845" s="8" t="s">
        <v>2087</v>
      </c>
      <c r="B1845" s="8" t="s">
        <v>1631</v>
      </c>
      <c r="C1845" s="8" t="s">
        <v>110</v>
      </c>
      <c r="D1845" s="13">
        <v>45794</v>
      </c>
      <c r="E1845" s="9">
        <v>11537</v>
      </c>
    </row>
    <row r="1846" spans="1:5" x14ac:dyDescent="0.25">
      <c r="A1846" s="8" t="s">
        <v>2088</v>
      </c>
      <c r="B1846" s="8" t="s">
        <v>1631</v>
      </c>
      <c r="C1846" s="8" t="s">
        <v>91</v>
      </c>
      <c r="D1846" s="13">
        <v>45816</v>
      </c>
      <c r="E1846" s="9">
        <v>14623</v>
      </c>
    </row>
    <row r="1847" spans="1:5" x14ac:dyDescent="0.25">
      <c r="A1847" s="8" t="s">
        <v>2089</v>
      </c>
      <c r="B1847" s="8" t="s">
        <v>1631</v>
      </c>
      <c r="C1847" s="8" t="s">
        <v>23</v>
      </c>
      <c r="D1847" s="13">
        <v>45832</v>
      </c>
      <c r="E1847" s="9">
        <v>15841</v>
      </c>
    </row>
    <row r="1848" spans="1:5" x14ac:dyDescent="0.25">
      <c r="A1848" s="8" t="s">
        <v>2090</v>
      </c>
      <c r="B1848" s="8" t="s">
        <v>1631</v>
      </c>
      <c r="C1848" s="8" t="s">
        <v>109</v>
      </c>
      <c r="D1848" s="13">
        <v>45841</v>
      </c>
      <c r="E1848" s="9">
        <v>14628</v>
      </c>
    </row>
    <row r="1849" spans="1:5" x14ac:dyDescent="0.25">
      <c r="A1849" s="8" t="s">
        <v>2091</v>
      </c>
      <c r="B1849" s="8" t="s">
        <v>1631</v>
      </c>
      <c r="C1849" s="8" t="s">
        <v>108</v>
      </c>
      <c r="D1849" s="13">
        <v>45842</v>
      </c>
      <c r="E1849" s="9">
        <v>8325</v>
      </c>
    </row>
    <row r="1850" spans="1:5" x14ac:dyDescent="0.25">
      <c r="A1850" s="8" t="s">
        <v>2092</v>
      </c>
      <c r="B1850" s="8" t="s">
        <v>1631</v>
      </c>
      <c r="C1850" s="8" t="s">
        <v>25</v>
      </c>
      <c r="D1850" s="13">
        <v>45856</v>
      </c>
      <c r="E1850" s="9">
        <v>9174</v>
      </c>
    </row>
    <row r="1851" spans="1:5" x14ac:dyDescent="0.25">
      <c r="A1851" s="8" t="s">
        <v>2093</v>
      </c>
      <c r="B1851" s="8" t="s">
        <v>1631</v>
      </c>
      <c r="C1851" s="8" t="s">
        <v>14</v>
      </c>
      <c r="D1851" s="13">
        <v>45867</v>
      </c>
      <c r="E1851" s="9">
        <v>14936</v>
      </c>
    </row>
    <row r="1852" spans="1:5" x14ac:dyDescent="0.25">
      <c r="A1852" s="8" t="s">
        <v>2094</v>
      </c>
      <c r="B1852" s="8" t="s">
        <v>1631</v>
      </c>
      <c r="C1852" s="8" t="s">
        <v>23</v>
      </c>
      <c r="D1852" s="13">
        <v>45879</v>
      </c>
      <c r="E1852" s="9">
        <v>8552</v>
      </c>
    </row>
    <row r="1853" spans="1:5" x14ac:dyDescent="0.25">
      <c r="A1853" s="8" t="s">
        <v>2095</v>
      </c>
      <c r="B1853" s="8" t="s">
        <v>1631</v>
      </c>
      <c r="C1853" s="8" t="s">
        <v>33</v>
      </c>
      <c r="D1853" s="13">
        <v>45895</v>
      </c>
      <c r="E1853" s="9">
        <v>6791</v>
      </c>
    </row>
    <row r="1854" spans="1:5" x14ac:dyDescent="0.25">
      <c r="A1854" s="8" t="s">
        <v>1651</v>
      </c>
      <c r="B1854" s="8" t="s">
        <v>1652</v>
      </c>
      <c r="C1854" s="8" t="s">
        <v>14</v>
      </c>
      <c r="D1854" s="13">
        <v>45268</v>
      </c>
      <c r="E1854" s="9">
        <v>124584</v>
      </c>
    </row>
    <row r="1855" spans="1:5" x14ac:dyDescent="0.25">
      <c r="A1855" s="8" t="s">
        <v>1653</v>
      </c>
      <c r="B1855" s="8" t="s">
        <v>1652</v>
      </c>
      <c r="C1855" s="8" t="s">
        <v>35</v>
      </c>
      <c r="D1855" s="13">
        <v>45283</v>
      </c>
      <c r="E1855" s="9">
        <v>149974</v>
      </c>
    </row>
    <row r="1856" spans="1:5" x14ac:dyDescent="0.25">
      <c r="A1856" s="8" t="s">
        <v>1654</v>
      </c>
      <c r="B1856" s="8" t="s">
        <v>1652</v>
      </c>
      <c r="C1856" s="8" t="s">
        <v>17</v>
      </c>
      <c r="D1856" s="13">
        <v>45302</v>
      </c>
      <c r="E1856" s="9">
        <v>67328</v>
      </c>
    </row>
    <row r="1857" spans="1:5" x14ac:dyDescent="0.25">
      <c r="A1857" s="8" t="s">
        <v>1655</v>
      </c>
      <c r="B1857" s="8" t="s">
        <v>1652</v>
      </c>
      <c r="C1857" s="8" t="s">
        <v>6</v>
      </c>
      <c r="D1857" s="13">
        <v>45317</v>
      </c>
      <c r="E1857" s="9">
        <v>77329</v>
      </c>
    </row>
    <row r="1858" spans="1:5" x14ac:dyDescent="0.25">
      <c r="A1858" s="8" t="s">
        <v>1656</v>
      </c>
      <c r="B1858" s="8" t="s">
        <v>1652</v>
      </c>
      <c r="C1858" s="8" t="s">
        <v>29</v>
      </c>
      <c r="D1858" s="13">
        <v>45321</v>
      </c>
      <c r="E1858" s="9">
        <v>92213</v>
      </c>
    </row>
    <row r="1859" spans="1:5" x14ac:dyDescent="0.25">
      <c r="A1859" s="8" t="s">
        <v>1657</v>
      </c>
      <c r="B1859" s="8" t="s">
        <v>1652</v>
      </c>
      <c r="C1859" s="8" t="s">
        <v>50</v>
      </c>
      <c r="D1859" s="13">
        <v>45328</v>
      </c>
      <c r="E1859" s="9">
        <v>142012</v>
      </c>
    </row>
    <row r="1860" spans="1:5" x14ac:dyDescent="0.25">
      <c r="A1860" s="8" t="s">
        <v>1658</v>
      </c>
      <c r="B1860" s="8" t="s">
        <v>1652</v>
      </c>
      <c r="C1860" s="8" t="s">
        <v>29</v>
      </c>
      <c r="D1860" s="13">
        <v>45350</v>
      </c>
      <c r="E1860" s="9">
        <v>160115</v>
      </c>
    </row>
    <row r="1861" spans="1:5" x14ac:dyDescent="0.25">
      <c r="A1861" s="8" t="s">
        <v>1659</v>
      </c>
      <c r="B1861" s="8" t="s">
        <v>1652</v>
      </c>
      <c r="C1861" s="8" t="s">
        <v>50</v>
      </c>
      <c r="D1861" s="13">
        <v>45363</v>
      </c>
      <c r="E1861" s="9">
        <v>114214</v>
      </c>
    </row>
    <row r="1862" spans="1:5" x14ac:dyDescent="0.25">
      <c r="A1862" s="8" t="s">
        <v>1660</v>
      </c>
      <c r="B1862" s="8" t="s">
        <v>1652</v>
      </c>
      <c r="C1862" s="8" t="s">
        <v>44</v>
      </c>
      <c r="D1862" s="13">
        <v>45373</v>
      </c>
      <c r="E1862" s="9">
        <v>117054</v>
      </c>
    </row>
    <row r="1863" spans="1:5" x14ac:dyDescent="0.25">
      <c r="A1863" s="8" t="s">
        <v>1661</v>
      </c>
      <c r="B1863" s="8" t="s">
        <v>1652</v>
      </c>
      <c r="C1863" s="8" t="s">
        <v>14</v>
      </c>
      <c r="D1863" s="13">
        <v>45396</v>
      </c>
      <c r="E1863" s="9">
        <v>79800</v>
      </c>
    </row>
    <row r="1864" spans="1:5" x14ac:dyDescent="0.25">
      <c r="A1864" s="8" t="s">
        <v>1662</v>
      </c>
      <c r="B1864" s="8" t="s">
        <v>1652</v>
      </c>
      <c r="C1864" s="8" t="s">
        <v>37</v>
      </c>
      <c r="D1864" s="13">
        <v>45411</v>
      </c>
      <c r="E1864" s="9">
        <v>59299</v>
      </c>
    </row>
    <row r="1865" spans="1:5" x14ac:dyDescent="0.25">
      <c r="A1865" s="8" t="s">
        <v>1663</v>
      </c>
      <c r="B1865" s="8" t="s">
        <v>1652</v>
      </c>
      <c r="C1865" s="8" t="s">
        <v>25</v>
      </c>
      <c r="D1865" s="13">
        <v>45419</v>
      </c>
      <c r="E1865" s="9">
        <v>83418</v>
      </c>
    </row>
    <row r="1866" spans="1:5" x14ac:dyDescent="0.25">
      <c r="A1866" s="8" t="s">
        <v>1664</v>
      </c>
      <c r="B1866" s="8" t="s">
        <v>1652</v>
      </c>
      <c r="C1866" s="8" t="s">
        <v>12</v>
      </c>
      <c r="D1866" s="13">
        <v>45433</v>
      </c>
      <c r="E1866" s="9">
        <v>64718</v>
      </c>
    </row>
    <row r="1867" spans="1:5" x14ac:dyDescent="0.25">
      <c r="A1867" s="8" t="s">
        <v>1665</v>
      </c>
      <c r="B1867" s="8" t="s">
        <v>1652</v>
      </c>
      <c r="C1867" s="8" t="s">
        <v>91</v>
      </c>
      <c r="D1867" s="13">
        <v>45433</v>
      </c>
      <c r="E1867" s="9">
        <v>100963</v>
      </c>
    </row>
    <row r="1868" spans="1:5" x14ac:dyDescent="0.25">
      <c r="A1868" s="8" t="s">
        <v>1666</v>
      </c>
      <c r="B1868" s="8" t="s">
        <v>1652</v>
      </c>
      <c r="C1868" s="8" t="s">
        <v>108</v>
      </c>
      <c r="D1868" s="13">
        <v>45441</v>
      </c>
      <c r="E1868" s="9">
        <v>107113</v>
      </c>
    </row>
    <row r="1869" spans="1:5" x14ac:dyDescent="0.25">
      <c r="A1869" s="8" t="s">
        <v>1667</v>
      </c>
      <c r="B1869" s="8" t="s">
        <v>1652</v>
      </c>
      <c r="C1869" s="8" t="s">
        <v>73</v>
      </c>
      <c r="D1869" s="13">
        <v>45446</v>
      </c>
      <c r="E1869" s="9">
        <v>145045</v>
      </c>
    </row>
    <row r="1870" spans="1:5" x14ac:dyDescent="0.25">
      <c r="A1870" s="8" t="s">
        <v>1668</v>
      </c>
      <c r="B1870" s="8" t="s">
        <v>1652</v>
      </c>
      <c r="C1870" s="8" t="s">
        <v>73</v>
      </c>
      <c r="D1870" s="13">
        <v>45457</v>
      </c>
      <c r="E1870" s="9">
        <v>104557</v>
      </c>
    </row>
    <row r="1871" spans="1:5" x14ac:dyDescent="0.25">
      <c r="A1871" s="8" t="s">
        <v>1669</v>
      </c>
      <c r="B1871" s="8" t="s">
        <v>1652</v>
      </c>
      <c r="C1871" s="8" t="s">
        <v>73</v>
      </c>
      <c r="D1871" s="13">
        <v>45469</v>
      </c>
      <c r="E1871" s="9">
        <v>107885</v>
      </c>
    </row>
    <row r="1872" spans="1:5" x14ac:dyDescent="0.25">
      <c r="A1872" s="8" t="s">
        <v>1670</v>
      </c>
      <c r="B1872" s="8" t="s">
        <v>1652</v>
      </c>
      <c r="C1872" s="8" t="s">
        <v>8</v>
      </c>
      <c r="D1872" s="13">
        <v>45480</v>
      </c>
      <c r="E1872" s="9">
        <v>118279</v>
      </c>
    </row>
    <row r="1873" spans="1:5" x14ac:dyDescent="0.25">
      <c r="A1873" s="8" t="s">
        <v>1671</v>
      </c>
      <c r="B1873" s="8" t="s">
        <v>1652</v>
      </c>
      <c r="C1873" s="8" t="s">
        <v>12</v>
      </c>
      <c r="D1873" s="13">
        <v>45485</v>
      </c>
      <c r="E1873" s="9">
        <v>93329</v>
      </c>
    </row>
    <row r="1874" spans="1:5" x14ac:dyDescent="0.25">
      <c r="A1874" s="8" t="s">
        <v>1672</v>
      </c>
      <c r="B1874" s="8" t="s">
        <v>1652</v>
      </c>
      <c r="C1874" s="8" t="s">
        <v>25</v>
      </c>
      <c r="D1874" s="13">
        <v>45501</v>
      </c>
      <c r="E1874" s="9">
        <v>122512</v>
      </c>
    </row>
    <row r="1875" spans="1:5" x14ac:dyDescent="0.25">
      <c r="A1875" s="8" t="s">
        <v>1673</v>
      </c>
      <c r="B1875" s="8" t="s">
        <v>1652</v>
      </c>
      <c r="C1875" s="8" t="s">
        <v>33</v>
      </c>
      <c r="D1875" s="13">
        <v>45521</v>
      </c>
      <c r="E1875" s="9">
        <v>94820</v>
      </c>
    </row>
    <row r="1876" spans="1:5" x14ac:dyDescent="0.25">
      <c r="A1876" s="8" t="s">
        <v>1674</v>
      </c>
      <c r="B1876" s="8" t="s">
        <v>1652</v>
      </c>
      <c r="C1876" s="8" t="s">
        <v>25</v>
      </c>
      <c r="D1876" s="13">
        <v>45527</v>
      </c>
      <c r="E1876" s="9">
        <v>110509</v>
      </c>
    </row>
    <row r="1877" spans="1:5" x14ac:dyDescent="0.25">
      <c r="A1877" s="8" t="s">
        <v>1675</v>
      </c>
      <c r="B1877" s="8" t="s">
        <v>1652</v>
      </c>
      <c r="C1877" s="8" t="s">
        <v>108</v>
      </c>
      <c r="D1877" s="13">
        <v>45531</v>
      </c>
      <c r="E1877" s="9">
        <v>136117</v>
      </c>
    </row>
    <row r="1878" spans="1:5" x14ac:dyDescent="0.25">
      <c r="A1878" s="8" t="s">
        <v>1676</v>
      </c>
      <c r="B1878" s="8" t="s">
        <v>1652</v>
      </c>
      <c r="C1878" s="8" t="s">
        <v>44</v>
      </c>
      <c r="D1878" s="13">
        <v>45538</v>
      </c>
      <c r="E1878" s="9">
        <v>111456</v>
      </c>
    </row>
    <row r="1879" spans="1:5" x14ac:dyDescent="0.25">
      <c r="A1879" s="8" t="s">
        <v>1677</v>
      </c>
      <c r="B1879" s="8" t="s">
        <v>1652</v>
      </c>
      <c r="C1879" s="8" t="s">
        <v>35</v>
      </c>
      <c r="D1879" s="13">
        <v>45568</v>
      </c>
      <c r="E1879" s="9">
        <v>143483</v>
      </c>
    </row>
    <row r="1880" spans="1:5" x14ac:dyDescent="0.25">
      <c r="A1880" s="8" t="s">
        <v>1678</v>
      </c>
      <c r="B1880" s="8" t="s">
        <v>1652</v>
      </c>
      <c r="C1880" s="8" t="s">
        <v>33</v>
      </c>
      <c r="D1880" s="13">
        <v>45575</v>
      </c>
      <c r="E1880" s="9">
        <v>109518</v>
      </c>
    </row>
    <row r="1881" spans="1:5" x14ac:dyDescent="0.25">
      <c r="A1881" s="8" t="s">
        <v>1679</v>
      </c>
      <c r="B1881" s="8" t="s">
        <v>1652</v>
      </c>
      <c r="C1881" s="8" t="s">
        <v>6</v>
      </c>
      <c r="D1881" s="13">
        <v>45578</v>
      </c>
      <c r="E1881" s="9">
        <v>79662</v>
      </c>
    </row>
    <row r="1882" spans="1:5" x14ac:dyDescent="0.25">
      <c r="A1882" s="8" t="s">
        <v>1680</v>
      </c>
      <c r="B1882" s="8" t="s">
        <v>1652</v>
      </c>
      <c r="C1882" s="8" t="s">
        <v>50</v>
      </c>
      <c r="D1882" s="13">
        <v>45583</v>
      </c>
      <c r="E1882" s="9">
        <v>94596</v>
      </c>
    </row>
    <row r="1883" spans="1:5" x14ac:dyDescent="0.25">
      <c r="A1883" s="8" t="s">
        <v>1681</v>
      </c>
      <c r="B1883" s="8" t="s">
        <v>1652</v>
      </c>
      <c r="C1883" s="8" t="s">
        <v>110</v>
      </c>
      <c r="D1883" s="13">
        <v>45586</v>
      </c>
      <c r="E1883" s="9">
        <v>129139</v>
      </c>
    </row>
    <row r="1884" spans="1:5" x14ac:dyDescent="0.25">
      <c r="A1884" s="8" t="s">
        <v>1682</v>
      </c>
      <c r="B1884" s="8" t="s">
        <v>1652</v>
      </c>
      <c r="C1884" s="8" t="s">
        <v>48</v>
      </c>
      <c r="D1884" s="13">
        <v>45592</v>
      </c>
      <c r="E1884" s="9">
        <v>111159</v>
      </c>
    </row>
    <row r="1885" spans="1:5" x14ac:dyDescent="0.25">
      <c r="A1885" s="8" t="s">
        <v>1683</v>
      </c>
      <c r="B1885" s="8" t="s">
        <v>1652</v>
      </c>
      <c r="C1885" s="8" t="s">
        <v>21</v>
      </c>
      <c r="D1885" s="13">
        <v>45594</v>
      </c>
      <c r="E1885" s="9">
        <v>69423</v>
      </c>
    </row>
    <row r="1886" spans="1:5" x14ac:dyDescent="0.25">
      <c r="A1886" s="8" t="s">
        <v>1684</v>
      </c>
      <c r="B1886" s="8" t="s">
        <v>1685</v>
      </c>
      <c r="C1886" s="8" t="s">
        <v>71</v>
      </c>
      <c r="D1886" s="13">
        <v>45203</v>
      </c>
      <c r="E1886" s="9">
        <v>6435</v>
      </c>
    </row>
    <row r="1887" spans="1:5" x14ac:dyDescent="0.25">
      <c r="A1887" s="8" t="s">
        <v>1686</v>
      </c>
      <c r="B1887" s="8" t="s">
        <v>1685</v>
      </c>
      <c r="C1887" s="8" t="s">
        <v>91</v>
      </c>
      <c r="D1887" s="13">
        <v>45231</v>
      </c>
      <c r="E1887" s="9">
        <v>8379</v>
      </c>
    </row>
    <row r="1888" spans="1:5" x14ac:dyDescent="0.25">
      <c r="A1888" s="8" t="s">
        <v>1687</v>
      </c>
      <c r="B1888" s="8" t="s">
        <v>1685</v>
      </c>
      <c r="C1888" s="8" t="s">
        <v>10</v>
      </c>
      <c r="D1888" s="13">
        <v>45232</v>
      </c>
      <c r="E1888" s="9">
        <v>7038</v>
      </c>
    </row>
    <row r="1889" spans="1:5" x14ac:dyDescent="0.25">
      <c r="A1889" s="8" t="s">
        <v>1688</v>
      </c>
      <c r="B1889" s="8" t="s">
        <v>1685</v>
      </c>
      <c r="C1889" s="8" t="s">
        <v>23</v>
      </c>
      <c r="D1889" s="13">
        <v>45234</v>
      </c>
      <c r="E1889" s="9">
        <v>10983</v>
      </c>
    </row>
    <row r="1890" spans="1:5" x14ac:dyDescent="0.25">
      <c r="A1890" s="8" t="s">
        <v>1689</v>
      </c>
      <c r="B1890" s="8" t="s">
        <v>1685</v>
      </c>
      <c r="C1890" s="8" t="s">
        <v>73</v>
      </c>
      <c r="D1890" s="13">
        <v>45236</v>
      </c>
      <c r="E1890" s="9">
        <v>7049</v>
      </c>
    </row>
    <row r="1891" spans="1:5" x14ac:dyDescent="0.25">
      <c r="A1891" s="8" t="s">
        <v>1690</v>
      </c>
      <c r="B1891" s="8" t="s">
        <v>1685</v>
      </c>
      <c r="C1891" s="8" t="s">
        <v>10</v>
      </c>
      <c r="D1891" s="13">
        <v>45240</v>
      </c>
      <c r="E1891" s="9">
        <v>11238</v>
      </c>
    </row>
    <row r="1892" spans="1:5" x14ac:dyDescent="0.25">
      <c r="A1892" s="8" t="s">
        <v>1691</v>
      </c>
      <c r="B1892" s="8" t="s">
        <v>1685</v>
      </c>
      <c r="C1892" s="8" t="s">
        <v>44</v>
      </c>
      <c r="D1892" s="13">
        <v>45265</v>
      </c>
      <c r="E1892" s="9">
        <v>7592</v>
      </c>
    </row>
    <row r="1893" spans="1:5" x14ac:dyDescent="0.25">
      <c r="A1893" s="8" t="s">
        <v>1692</v>
      </c>
      <c r="B1893" s="8" t="s">
        <v>1685</v>
      </c>
      <c r="C1893" s="8" t="s">
        <v>37</v>
      </c>
      <c r="D1893" s="13">
        <v>45278</v>
      </c>
      <c r="E1893" s="9">
        <v>9276</v>
      </c>
    </row>
    <row r="1894" spans="1:5" x14ac:dyDescent="0.25">
      <c r="A1894" s="8" t="s">
        <v>1693</v>
      </c>
      <c r="B1894" s="8" t="s">
        <v>1685</v>
      </c>
      <c r="C1894" s="8" t="s">
        <v>55</v>
      </c>
      <c r="D1894" s="13">
        <v>45295</v>
      </c>
      <c r="E1894" s="9">
        <v>13413</v>
      </c>
    </row>
    <row r="1895" spans="1:5" x14ac:dyDescent="0.25">
      <c r="A1895" s="8" t="s">
        <v>1694</v>
      </c>
      <c r="B1895" s="8" t="s">
        <v>1685</v>
      </c>
      <c r="C1895" s="8" t="s">
        <v>73</v>
      </c>
      <c r="D1895" s="13">
        <v>45301</v>
      </c>
      <c r="E1895" s="9">
        <v>6544</v>
      </c>
    </row>
    <row r="1896" spans="1:5" x14ac:dyDescent="0.25">
      <c r="A1896" s="8" t="s">
        <v>1695</v>
      </c>
      <c r="B1896" s="8" t="s">
        <v>1685</v>
      </c>
      <c r="C1896" s="8" t="s">
        <v>91</v>
      </c>
      <c r="D1896" s="13">
        <v>45306</v>
      </c>
      <c r="E1896" s="9">
        <v>16614</v>
      </c>
    </row>
    <row r="1897" spans="1:5" x14ac:dyDescent="0.25">
      <c r="A1897" s="8" t="s">
        <v>1696</v>
      </c>
      <c r="B1897" s="8" t="s">
        <v>1685</v>
      </c>
      <c r="C1897" s="8" t="s">
        <v>27</v>
      </c>
      <c r="D1897" s="13">
        <v>45311</v>
      </c>
      <c r="E1897" s="9">
        <v>13759</v>
      </c>
    </row>
    <row r="1898" spans="1:5" x14ac:dyDescent="0.25">
      <c r="A1898" s="8" t="s">
        <v>1697</v>
      </c>
      <c r="B1898" s="8" t="s">
        <v>1685</v>
      </c>
      <c r="C1898" s="8" t="s">
        <v>23</v>
      </c>
      <c r="D1898" s="13">
        <v>45316</v>
      </c>
      <c r="E1898" s="9">
        <v>11446</v>
      </c>
    </row>
    <row r="1899" spans="1:5" x14ac:dyDescent="0.25">
      <c r="A1899" s="8" t="s">
        <v>1698</v>
      </c>
      <c r="B1899" s="8" t="s">
        <v>1685</v>
      </c>
      <c r="C1899" s="8" t="s">
        <v>48</v>
      </c>
      <c r="D1899" s="13">
        <v>45345</v>
      </c>
      <c r="E1899" s="9">
        <v>13673</v>
      </c>
    </row>
    <row r="1900" spans="1:5" x14ac:dyDescent="0.25">
      <c r="A1900" s="8" t="s">
        <v>1699</v>
      </c>
      <c r="B1900" s="8" t="s">
        <v>1685</v>
      </c>
      <c r="C1900" s="8" t="s">
        <v>12</v>
      </c>
      <c r="D1900" s="13">
        <v>45354</v>
      </c>
      <c r="E1900" s="9">
        <v>11949</v>
      </c>
    </row>
    <row r="1901" spans="1:5" x14ac:dyDescent="0.25">
      <c r="A1901" s="8" t="s">
        <v>1700</v>
      </c>
      <c r="B1901" s="8" t="s">
        <v>1685</v>
      </c>
      <c r="C1901" s="8" t="s">
        <v>17</v>
      </c>
      <c r="D1901" s="13">
        <v>45362</v>
      </c>
      <c r="E1901" s="9">
        <v>16477</v>
      </c>
    </row>
    <row r="1902" spans="1:5" x14ac:dyDescent="0.25">
      <c r="A1902" s="8" t="s">
        <v>1701</v>
      </c>
      <c r="B1902" s="8" t="s">
        <v>1685</v>
      </c>
      <c r="C1902" s="8" t="s">
        <v>12</v>
      </c>
      <c r="D1902" s="13">
        <v>45366</v>
      </c>
      <c r="E1902" s="9">
        <v>8487</v>
      </c>
    </row>
    <row r="1903" spans="1:5" x14ac:dyDescent="0.25">
      <c r="A1903" s="8" t="s">
        <v>1702</v>
      </c>
      <c r="B1903" s="8" t="s">
        <v>1685</v>
      </c>
      <c r="C1903" s="8" t="s">
        <v>10</v>
      </c>
      <c r="D1903" s="13">
        <v>45380</v>
      </c>
      <c r="E1903" s="9">
        <v>7595</v>
      </c>
    </row>
    <row r="1904" spans="1:5" x14ac:dyDescent="0.25">
      <c r="A1904" s="8" t="s">
        <v>1703</v>
      </c>
      <c r="B1904" s="8" t="s">
        <v>1685</v>
      </c>
      <c r="C1904" s="8" t="s">
        <v>73</v>
      </c>
      <c r="D1904" s="13">
        <v>45385</v>
      </c>
      <c r="E1904" s="9">
        <v>15469</v>
      </c>
    </row>
    <row r="1905" spans="1:5" x14ac:dyDescent="0.25">
      <c r="A1905" s="8" t="s">
        <v>1704</v>
      </c>
      <c r="B1905" s="8" t="s">
        <v>1685</v>
      </c>
      <c r="C1905" s="8" t="s">
        <v>37</v>
      </c>
      <c r="D1905" s="13">
        <v>45412</v>
      </c>
      <c r="E1905" s="9">
        <v>11918</v>
      </c>
    </row>
    <row r="1906" spans="1:5" x14ac:dyDescent="0.25">
      <c r="A1906" s="8" t="s">
        <v>1705</v>
      </c>
      <c r="B1906" s="8" t="s">
        <v>1685</v>
      </c>
      <c r="C1906" s="8" t="s">
        <v>10</v>
      </c>
      <c r="D1906" s="13">
        <v>45413</v>
      </c>
      <c r="E1906" s="9">
        <v>11124</v>
      </c>
    </row>
    <row r="1907" spans="1:5" x14ac:dyDescent="0.25">
      <c r="A1907" s="8" t="s">
        <v>1706</v>
      </c>
      <c r="B1907" s="8" t="s">
        <v>1685</v>
      </c>
      <c r="C1907" s="8" t="s">
        <v>50</v>
      </c>
      <c r="D1907" s="13">
        <v>45483</v>
      </c>
      <c r="E1907" s="9">
        <v>16900</v>
      </c>
    </row>
    <row r="1908" spans="1:5" x14ac:dyDescent="0.25">
      <c r="A1908" s="8" t="s">
        <v>1707</v>
      </c>
      <c r="B1908" s="8" t="s">
        <v>1685</v>
      </c>
      <c r="C1908" s="8" t="s">
        <v>27</v>
      </c>
      <c r="D1908" s="13">
        <v>45496</v>
      </c>
      <c r="E1908" s="9">
        <v>11713</v>
      </c>
    </row>
    <row r="1909" spans="1:5" x14ac:dyDescent="0.25">
      <c r="A1909" s="8" t="s">
        <v>1708</v>
      </c>
      <c r="B1909" s="8" t="s">
        <v>1685</v>
      </c>
      <c r="C1909" s="8" t="s">
        <v>29</v>
      </c>
      <c r="D1909" s="13">
        <v>45514</v>
      </c>
      <c r="E1909" s="9">
        <v>12546</v>
      </c>
    </row>
    <row r="1910" spans="1:5" x14ac:dyDescent="0.25">
      <c r="A1910" s="8" t="s">
        <v>1709</v>
      </c>
      <c r="B1910" s="8" t="s">
        <v>1685</v>
      </c>
      <c r="C1910" s="8" t="s">
        <v>44</v>
      </c>
      <c r="D1910" s="13">
        <v>45523</v>
      </c>
      <c r="E1910" s="9">
        <v>13300</v>
      </c>
    </row>
    <row r="1911" spans="1:5" x14ac:dyDescent="0.25">
      <c r="A1911" s="8" t="s">
        <v>1710</v>
      </c>
      <c r="B1911" s="8" t="s">
        <v>1685</v>
      </c>
      <c r="C1911" s="8" t="s">
        <v>55</v>
      </c>
      <c r="D1911" s="13">
        <v>45524</v>
      </c>
      <c r="E1911" s="9">
        <v>15638</v>
      </c>
    </row>
    <row r="1912" spans="1:5" x14ac:dyDescent="0.25">
      <c r="A1912" s="8" t="s">
        <v>1711</v>
      </c>
      <c r="B1912" s="8" t="s">
        <v>1685</v>
      </c>
      <c r="C1912" s="8" t="s">
        <v>12</v>
      </c>
      <c r="D1912" s="13">
        <v>45548</v>
      </c>
      <c r="E1912" s="9">
        <v>8370</v>
      </c>
    </row>
    <row r="1913" spans="1:5" x14ac:dyDescent="0.25">
      <c r="A1913" s="8" t="s">
        <v>1712</v>
      </c>
      <c r="B1913" s="8" t="s">
        <v>1685</v>
      </c>
      <c r="C1913" s="8" t="s">
        <v>19</v>
      </c>
      <c r="D1913" s="13">
        <v>45557</v>
      </c>
      <c r="E1913" s="9">
        <v>6697</v>
      </c>
    </row>
    <row r="1914" spans="1:5" x14ac:dyDescent="0.25">
      <c r="A1914" s="8" t="s">
        <v>1713</v>
      </c>
      <c r="B1914" s="8" t="s">
        <v>1685</v>
      </c>
      <c r="C1914" s="8" t="s">
        <v>35</v>
      </c>
      <c r="D1914" s="13">
        <v>45557</v>
      </c>
      <c r="E1914" s="9">
        <v>12086</v>
      </c>
    </row>
    <row r="1915" spans="1:5" x14ac:dyDescent="0.25">
      <c r="A1915" s="8" t="s">
        <v>1714</v>
      </c>
      <c r="B1915" s="8" t="s">
        <v>1685</v>
      </c>
      <c r="C1915" s="8" t="s">
        <v>21</v>
      </c>
      <c r="D1915" s="13">
        <v>45567</v>
      </c>
      <c r="E1915" s="9">
        <v>12920</v>
      </c>
    </row>
    <row r="1916" spans="1:5" x14ac:dyDescent="0.25">
      <c r="A1916" s="8" t="s">
        <v>1715</v>
      </c>
      <c r="B1916" s="8" t="s">
        <v>1685</v>
      </c>
      <c r="C1916" s="8" t="s">
        <v>29</v>
      </c>
      <c r="D1916" s="13">
        <v>45578</v>
      </c>
      <c r="E1916" s="9">
        <v>7569</v>
      </c>
    </row>
    <row r="1917" spans="1:5" x14ac:dyDescent="0.25">
      <c r="A1917" s="8" t="s">
        <v>1716</v>
      </c>
      <c r="B1917" s="8" t="s">
        <v>1685</v>
      </c>
      <c r="C1917" s="8" t="s">
        <v>8</v>
      </c>
      <c r="D1917" s="13">
        <v>45587</v>
      </c>
      <c r="E1917" s="9">
        <v>13723</v>
      </c>
    </row>
    <row r="1918" spans="1:5" x14ac:dyDescent="0.25">
      <c r="A1918" s="8" t="s">
        <v>1717</v>
      </c>
      <c r="B1918" s="8" t="s">
        <v>1685</v>
      </c>
      <c r="C1918" s="8" t="s">
        <v>108</v>
      </c>
      <c r="D1918" s="13">
        <v>45597</v>
      </c>
      <c r="E1918" s="9">
        <v>14711</v>
      </c>
    </row>
    <row r="1919" spans="1:5" x14ac:dyDescent="0.25">
      <c r="A1919" s="8" t="s">
        <v>1718</v>
      </c>
      <c r="B1919" s="8" t="s">
        <v>1685</v>
      </c>
      <c r="C1919" s="8" t="s">
        <v>25</v>
      </c>
      <c r="D1919" s="13">
        <v>45604</v>
      </c>
      <c r="E1919" s="9">
        <v>10049</v>
      </c>
    </row>
    <row r="1920" spans="1:5" x14ac:dyDescent="0.25">
      <c r="A1920" s="8" t="s">
        <v>1719</v>
      </c>
      <c r="B1920" s="8" t="s">
        <v>1685</v>
      </c>
      <c r="C1920" s="8" t="s">
        <v>23</v>
      </c>
      <c r="D1920" s="13">
        <v>45607</v>
      </c>
      <c r="E1920" s="9">
        <v>10146</v>
      </c>
    </row>
    <row r="1921" spans="1:5" x14ac:dyDescent="0.25">
      <c r="A1921" s="8" t="s">
        <v>1720</v>
      </c>
      <c r="B1921" s="8" t="s">
        <v>1685</v>
      </c>
      <c r="C1921" s="8" t="s">
        <v>48</v>
      </c>
      <c r="D1921" s="13">
        <v>45628</v>
      </c>
      <c r="E1921" s="9">
        <v>29862</v>
      </c>
    </row>
    <row r="1922" spans="1:5" x14ac:dyDescent="0.25">
      <c r="A1922" s="8" t="s">
        <v>1721</v>
      </c>
      <c r="B1922" s="8" t="s">
        <v>1685</v>
      </c>
      <c r="C1922" s="8" t="s">
        <v>50</v>
      </c>
      <c r="D1922" s="13">
        <v>45643</v>
      </c>
      <c r="E1922" s="9">
        <v>9817</v>
      </c>
    </row>
    <row r="1923" spans="1:5" x14ac:dyDescent="0.25">
      <c r="A1923" s="8" t="s">
        <v>1722</v>
      </c>
      <c r="B1923" s="8" t="s">
        <v>1685</v>
      </c>
      <c r="C1923" s="8" t="s">
        <v>8</v>
      </c>
      <c r="D1923" s="13">
        <v>45646</v>
      </c>
      <c r="E1923" s="9">
        <v>14445</v>
      </c>
    </row>
    <row r="1924" spans="1:5" x14ac:dyDescent="0.25">
      <c r="A1924" s="8" t="s">
        <v>1723</v>
      </c>
      <c r="B1924" s="8" t="s">
        <v>1685</v>
      </c>
      <c r="C1924" s="8" t="s">
        <v>12</v>
      </c>
      <c r="D1924" s="13">
        <v>45652</v>
      </c>
      <c r="E1924" s="9">
        <v>13544</v>
      </c>
    </row>
    <row r="1925" spans="1:5" x14ac:dyDescent="0.25">
      <c r="A1925" s="8" t="s">
        <v>1724</v>
      </c>
      <c r="B1925" s="8" t="s">
        <v>1685</v>
      </c>
      <c r="C1925" s="8" t="s">
        <v>17</v>
      </c>
      <c r="D1925" s="13">
        <v>45665</v>
      </c>
      <c r="E1925" s="9">
        <v>6481</v>
      </c>
    </row>
    <row r="1926" spans="1:5" x14ac:dyDescent="0.25">
      <c r="A1926" s="8" t="s">
        <v>1725</v>
      </c>
      <c r="B1926" s="8" t="s">
        <v>1685</v>
      </c>
      <c r="C1926" s="8" t="s">
        <v>50</v>
      </c>
      <c r="D1926" s="13">
        <v>45669</v>
      </c>
      <c r="E1926" s="9">
        <v>11580</v>
      </c>
    </row>
    <row r="1927" spans="1:5" x14ac:dyDescent="0.25">
      <c r="A1927" s="8" t="s">
        <v>1726</v>
      </c>
      <c r="B1927" s="8" t="s">
        <v>1685</v>
      </c>
      <c r="C1927" s="8" t="s">
        <v>12</v>
      </c>
      <c r="D1927" s="13">
        <v>45679</v>
      </c>
      <c r="E1927" s="9">
        <v>11921</v>
      </c>
    </row>
    <row r="1928" spans="1:5" x14ac:dyDescent="0.25">
      <c r="A1928" s="8" t="s">
        <v>1727</v>
      </c>
      <c r="B1928" s="8" t="s">
        <v>1685</v>
      </c>
      <c r="C1928" s="8" t="s">
        <v>91</v>
      </c>
      <c r="D1928" s="13">
        <v>45688</v>
      </c>
      <c r="E1928" s="9">
        <v>10180</v>
      </c>
    </row>
    <row r="1929" spans="1:5" x14ac:dyDescent="0.25">
      <c r="A1929" s="8" t="s">
        <v>1728</v>
      </c>
      <c r="B1929" s="8" t="s">
        <v>1685</v>
      </c>
      <c r="C1929" s="8" t="s">
        <v>19</v>
      </c>
      <c r="D1929" s="13">
        <v>45689</v>
      </c>
      <c r="E1929" s="9">
        <v>7191</v>
      </c>
    </row>
    <row r="1930" spans="1:5" x14ac:dyDescent="0.25">
      <c r="A1930" s="8" t="s">
        <v>1729</v>
      </c>
      <c r="B1930" s="8" t="s">
        <v>1685</v>
      </c>
      <c r="C1930" s="8" t="s">
        <v>48</v>
      </c>
      <c r="D1930" s="13">
        <v>45695</v>
      </c>
      <c r="E1930" s="9">
        <v>11711</v>
      </c>
    </row>
    <row r="1931" spans="1:5" x14ac:dyDescent="0.25">
      <c r="A1931" s="8" t="s">
        <v>1730</v>
      </c>
      <c r="B1931" s="8" t="s">
        <v>1685</v>
      </c>
      <c r="C1931" s="8" t="s">
        <v>37</v>
      </c>
      <c r="D1931" s="13">
        <v>45695</v>
      </c>
      <c r="E1931" s="9">
        <v>5651</v>
      </c>
    </row>
    <row r="1932" spans="1:5" x14ac:dyDescent="0.25">
      <c r="A1932" s="8" t="s">
        <v>1731</v>
      </c>
      <c r="B1932" s="8" t="s">
        <v>1685</v>
      </c>
      <c r="C1932" s="8" t="s">
        <v>37</v>
      </c>
      <c r="D1932" s="13">
        <v>45701</v>
      </c>
      <c r="E1932" s="9">
        <v>5406</v>
      </c>
    </row>
    <row r="1933" spans="1:5" x14ac:dyDescent="0.25">
      <c r="A1933" s="8" t="s">
        <v>1732</v>
      </c>
      <c r="B1933" s="8" t="s">
        <v>1685</v>
      </c>
      <c r="C1933" s="8" t="s">
        <v>14</v>
      </c>
      <c r="D1933" s="13">
        <v>45747</v>
      </c>
      <c r="E1933" s="9">
        <v>12425</v>
      </c>
    </row>
    <row r="1934" spans="1:5" x14ac:dyDescent="0.25">
      <c r="A1934" s="8" t="s">
        <v>1733</v>
      </c>
      <c r="B1934" s="8" t="s">
        <v>1685</v>
      </c>
      <c r="C1934" s="8" t="s">
        <v>23</v>
      </c>
      <c r="D1934" s="13">
        <v>45748</v>
      </c>
      <c r="E1934" s="9">
        <v>8877</v>
      </c>
    </row>
    <row r="1935" spans="1:5" x14ac:dyDescent="0.25">
      <c r="A1935" s="8" t="s">
        <v>1734</v>
      </c>
      <c r="B1935" s="8" t="s">
        <v>1685</v>
      </c>
      <c r="C1935" s="8" t="s">
        <v>19</v>
      </c>
      <c r="D1935" s="13">
        <v>45760</v>
      </c>
      <c r="E1935" s="9">
        <v>8961</v>
      </c>
    </row>
  </sheetData>
  <autoFilter ref="A1:E1935" xr:uid="{1DCF4D90-E8D2-4D4D-9DEA-113CB87DA5D0}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7D6B2-FD9E-437E-9724-47B5F30BCB10}">
  <dimension ref="A1:G47"/>
  <sheetViews>
    <sheetView topLeftCell="A2" workbookViewId="0">
      <selection activeCell="F27" sqref="F27"/>
    </sheetView>
  </sheetViews>
  <sheetFormatPr baseColWidth="10" defaultColWidth="10" defaultRowHeight="19" x14ac:dyDescent="0.25"/>
  <cols>
    <col min="1" max="1" width="11.1640625" style="2" bestFit="1" customWidth="1"/>
    <col min="2" max="2" width="23.83203125" style="2" bestFit="1" customWidth="1"/>
    <col min="3" max="3" width="12.83203125" style="2" bestFit="1" customWidth="1"/>
    <col min="4" max="4" width="19.6640625" style="11" bestFit="1" customWidth="1"/>
    <col min="5" max="6" width="12.1640625" style="2" bestFit="1" customWidth="1"/>
    <col min="7" max="7" width="21.6640625" style="2" bestFit="1" customWidth="1"/>
    <col min="8" max="16384" width="10" style="2"/>
  </cols>
  <sheetData>
    <row r="1" spans="1:7" x14ac:dyDescent="0.25">
      <c r="A1" s="8" t="s">
        <v>1</v>
      </c>
      <c r="B1" s="8" t="s">
        <v>1735</v>
      </c>
      <c r="C1" s="8" t="s">
        <v>1736</v>
      </c>
      <c r="D1" s="9" t="s">
        <v>1737</v>
      </c>
      <c r="E1" s="8" t="s">
        <v>1738</v>
      </c>
      <c r="F1" s="8" t="s">
        <v>1739</v>
      </c>
      <c r="G1" s="8" t="s">
        <v>1740</v>
      </c>
    </row>
    <row r="2" spans="1:7" x14ac:dyDescent="0.25">
      <c r="A2" s="8" t="s">
        <v>5</v>
      </c>
      <c r="B2" s="8" t="s">
        <v>1741</v>
      </c>
      <c r="C2" s="8" t="s">
        <v>1742</v>
      </c>
      <c r="D2" s="9">
        <v>5543627</v>
      </c>
      <c r="E2" s="10">
        <v>45139</v>
      </c>
      <c r="F2" s="10">
        <v>45900</v>
      </c>
      <c r="G2" s="8" t="s">
        <v>1743</v>
      </c>
    </row>
    <row r="3" spans="1:7" x14ac:dyDescent="0.25">
      <c r="A3" s="8" t="s">
        <v>87</v>
      </c>
      <c r="B3" s="8" t="s">
        <v>2096</v>
      </c>
      <c r="C3" s="8" t="s">
        <v>1744</v>
      </c>
      <c r="D3" s="9">
        <v>6018833</v>
      </c>
      <c r="E3" s="10">
        <v>45372</v>
      </c>
      <c r="F3" s="10">
        <v>45586</v>
      </c>
      <c r="G3" s="8" t="s">
        <v>1822</v>
      </c>
    </row>
    <row r="4" spans="1:7" x14ac:dyDescent="0.25">
      <c r="A4" s="8" t="s">
        <v>112</v>
      </c>
      <c r="B4" s="8" t="s">
        <v>2097</v>
      </c>
      <c r="C4" s="8" t="s">
        <v>1742</v>
      </c>
      <c r="D4" s="9">
        <v>6171576</v>
      </c>
      <c r="E4" s="10">
        <v>45190</v>
      </c>
      <c r="F4" s="10">
        <v>45586</v>
      </c>
      <c r="G4" s="8" t="s">
        <v>1748</v>
      </c>
    </row>
    <row r="5" spans="1:7" x14ac:dyDescent="0.25">
      <c r="A5" s="8" t="s">
        <v>148</v>
      </c>
      <c r="B5" s="8" t="s">
        <v>2098</v>
      </c>
      <c r="C5" s="8" t="s">
        <v>1747</v>
      </c>
      <c r="D5" s="9">
        <v>444469</v>
      </c>
      <c r="E5" s="10">
        <v>45232</v>
      </c>
      <c r="F5" s="10">
        <v>45840</v>
      </c>
      <c r="G5" s="8" t="s">
        <v>1746</v>
      </c>
    </row>
    <row r="6" spans="1:7" x14ac:dyDescent="0.25">
      <c r="A6" s="8" t="s">
        <v>201</v>
      </c>
      <c r="B6" s="8" t="s">
        <v>2099</v>
      </c>
      <c r="C6" s="8" t="s">
        <v>1742</v>
      </c>
      <c r="D6" s="9">
        <v>8956949</v>
      </c>
      <c r="E6" s="10">
        <v>45192</v>
      </c>
      <c r="F6" s="10">
        <v>45711</v>
      </c>
      <c r="G6" s="8" t="s">
        <v>1822</v>
      </c>
    </row>
    <row r="7" spans="1:7" x14ac:dyDescent="0.25">
      <c r="A7" s="8" t="s">
        <v>247</v>
      </c>
      <c r="B7" s="8" t="s">
        <v>1749</v>
      </c>
      <c r="C7" s="8" t="s">
        <v>1750</v>
      </c>
      <c r="D7" s="9">
        <v>3812561</v>
      </c>
      <c r="E7" s="10">
        <v>45139</v>
      </c>
      <c r="F7" s="10">
        <v>45900</v>
      </c>
      <c r="G7" s="8" t="s">
        <v>1822</v>
      </c>
    </row>
    <row r="8" spans="1:7" x14ac:dyDescent="0.25">
      <c r="A8" s="8" t="s">
        <v>308</v>
      </c>
      <c r="B8" s="8" t="s">
        <v>2100</v>
      </c>
      <c r="C8" s="8" t="s">
        <v>1747</v>
      </c>
      <c r="D8" s="9">
        <v>3308526</v>
      </c>
      <c r="E8" s="10">
        <v>45236</v>
      </c>
      <c r="F8" s="10">
        <v>45844</v>
      </c>
      <c r="G8" s="8" t="s">
        <v>1822</v>
      </c>
    </row>
    <row r="9" spans="1:7" x14ac:dyDescent="0.25">
      <c r="A9" s="8" t="s">
        <v>361</v>
      </c>
      <c r="B9" s="8" t="s">
        <v>2101</v>
      </c>
      <c r="C9" s="8" t="s">
        <v>1742</v>
      </c>
      <c r="D9" s="9">
        <v>8079602</v>
      </c>
      <c r="E9" s="10">
        <v>45139</v>
      </c>
      <c r="F9" s="10">
        <v>45900</v>
      </c>
      <c r="G9" s="8" t="s">
        <v>1751</v>
      </c>
    </row>
    <row r="10" spans="1:7" x14ac:dyDescent="0.25">
      <c r="A10" s="8" t="s">
        <v>397</v>
      </c>
      <c r="B10" s="8" t="s">
        <v>2102</v>
      </c>
      <c r="C10" s="8" t="s">
        <v>1752</v>
      </c>
      <c r="D10" s="9">
        <v>7006978</v>
      </c>
      <c r="E10" s="10">
        <v>45462</v>
      </c>
      <c r="F10" s="10">
        <v>45676</v>
      </c>
      <c r="G10" s="8" t="s">
        <v>1748</v>
      </c>
    </row>
    <row r="11" spans="1:7" x14ac:dyDescent="0.25">
      <c r="A11" s="8" t="s">
        <v>418</v>
      </c>
      <c r="B11" s="8" t="s">
        <v>2103</v>
      </c>
      <c r="C11" s="8" t="s">
        <v>1747</v>
      </c>
      <c r="D11" s="9">
        <v>7629267</v>
      </c>
      <c r="E11" s="10">
        <v>45355</v>
      </c>
      <c r="F11" s="10">
        <v>45600</v>
      </c>
      <c r="G11" s="8" t="s">
        <v>1748</v>
      </c>
    </row>
    <row r="12" spans="1:7" x14ac:dyDescent="0.25">
      <c r="A12" s="8" t="s">
        <v>441</v>
      </c>
      <c r="B12" s="8" t="s">
        <v>1754</v>
      </c>
      <c r="C12" s="8" t="s">
        <v>1747</v>
      </c>
      <c r="D12" s="9">
        <v>2712927</v>
      </c>
      <c r="E12" s="10">
        <v>45139</v>
      </c>
      <c r="F12" s="10">
        <v>45900</v>
      </c>
      <c r="G12" s="8" t="s">
        <v>1753</v>
      </c>
    </row>
    <row r="13" spans="1:7" x14ac:dyDescent="0.25">
      <c r="A13" s="8" t="s">
        <v>502</v>
      </c>
      <c r="B13" s="8" t="s">
        <v>1755</v>
      </c>
      <c r="C13" s="8" t="s">
        <v>1747</v>
      </c>
      <c r="D13" s="9">
        <v>5466843</v>
      </c>
      <c r="E13" s="10">
        <v>45274</v>
      </c>
      <c r="F13" s="10">
        <v>45579</v>
      </c>
      <c r="G13" s="8" t="s">
        <v>1751</v>
      </c>
    </row>
    <row r="14" spans="1:7" x14ac:dyDescent="0.25">
      <c r="A14" s="8" t="s">
        <v>530</v>
      </c>
      <c r="B14" s="8" t="s">
        <v>1756</v>
      </c>
      <c r="C14" s="8" t="s">
        <v>1757</v>
      </c>
      <c r="D14" s="9">
        <v>5621110</v>
      </c>
      <c r="E14" s="10">
        <v>45139</v>
      </c>
      <c r="F14" s="10">
        <v>45900</v>
      </c>
      <c r="G14" s="8" t="s">
        <v>1822</v>
      </c>
    </row>
    <row r="15" spans="1:7" x14ac:dyDescent="0.25">
      <c r="A15" s="8" t="s">
        <v>591</v>
      </c>
      <c r="B15" s="8" t="s">
        <v>2104</v>
      </c>
      <c r="C15" s="8" t="s">
        <v>1747</v>
      </c>
      <c r="D15" s="9">
        <v>9844619</v>
      </c>
      <c r="E15" s="10">
        <v>45195</v>
      </c>
      <c r="F15" s="10">
        <v>45714</v>
      </c>
      <c r="G15" s="8" t="s">
        <v>1748</v>
      </c>
    </row>
    <row r="16" spans="1:7" x14ac:dyDescent="0.25">
      <c r="A16" s="8" t="s">
        <v>637</v>
      </c>
      <c r="B16" s="8" t="s">
        <v>2105</v>
      </c>
      <c r="C16" s="8" t="s">
        <v>1750</v>
      </c>
      <c r="D16" s="9">
        <v>695235</v>
      </c>
      <c r="E16" s="10">
        <v>45187</v>
      </c>
      <c r="F16" s="10">
        <v>45430</v>
      </c>
      <c r="G16" s="8" t="s">
        <v>1748</v>
      </c>
    </row>
    <row r="17" spans="1:7" x14ac:dyDescent="0.25">
      <c r="A17" s="8" t="s">
        <v>660</v>
      </c>
      <c r="B17" s="8" t="s">
        <v>2106</v>
      </c>
      <c r="C17" s="8" t="s">
        <v>1757</v>
      </c>
      <c r="D17" s="9">
        <v>2515006</v>
      </c>
      <c r="E17" s="10">
        <v>45139</v>
      </c>
      <c r="F17" s="10">
        <v>45900</v>
      </c>
      <c r="G17" s="8" t="s">
        <v>1822</v>
      </c>
    </row>
    <row r="18" spans="1:7" x14ac:dyDescent="0.25">
      <c r="A18" s="8" t="s">
        <v>686</v>
      </c>
      <c r="B18" s="8" t="s">
        <v>2107</v>
      </c>
      <c r="C18" s="8" t="s">
        <v>1744</v>
      </c>
      <c r="D18" s="9">
        <v>1608197</v>
      </c>
      <c r="E18" s="10">
        <v>45236</v>
      </c>
      <c r="F18" s="10">
        <v>45783</v>
      </c>
      <c r="G18" s="8" t="s">
        <v>1822</v>
      </c>
    </row>
    <row r="19" spans="1:7" x14ac:dyDescent="0.25">
      <c r="A19" s="8" t="s">
        <v>734</v>
      </c>
      <c r="B19" s="8" t="s">
        <v>2108</v>
      </c>
      <c r="C19" s="8" t="s">
        <v>1752</v>
      </c>
      <c r="D19" s="9">
        <v>2220951</v>
      </c>
      <c r="E19" s="10">
        <v>45194</v>
      </c>
      <c r="F19" s="10">
        <v>45894</v>
      </c>
      <c r="G19" s="8" t="s">
        <v>1743</v>
      </c>
    </row>
    <row r="20" spans="1:7" x14ac:dyDescent="0.25">
      <c r="A20" s="8" t="s">
        <v>795</v>
      </c>
      <c r="B20" s="8" t="s">
        <v>2109</v>
      </c>
      <c r="C20" s="8" t="s">
        <v>1752</v>
      </c>
      <c r="D20" s="9">
        <v>3933711</v>
      </c>
      <c r="E20" s="10">
        <v>45139</v>
      </c>
      <c r="F20" s="10">
        <v>45900</v>
      </c>
      <c r="G20" s="8" t="s">
        <v>1743</v>
      </c>
    </row>
    <row r="21" spans="1:7" x14ac:dyDescent="0.25">
      <c r="A21" s="8" t="s">
        <v>813</v>
      </c>
      <c r="B21" s="8" t="s">
        <v>1758</v>
      </c>
      <c r="C21" s="8" t="s">
        <v>1747</v>
      </c>
      <c r="D21" s="9">
        <v>3044226</v>
      </c>
      <c r="E21" s="10">
        <v>45361</v>
      </c>
      <c r="F21" s="10">
        <v>45818</v>
      </c>
      <c r="G21" s="8" t="s">
        <v>1746</v>
      </c>
    </row>
    <row r="22" spans="1:7" x14ac:dyDescent="0.25">
      <c r="A22" s="8" t="s">
        <v>839</v>
      </c>
      <c r="B22" s="8" t="s">
        <v>2110</v>
      </c>
      <c r="C22" s="8" t="s">
        <v>1757</v>
      </c>
      <c r="D22" s="9">
        <v>3218062</v>
      </c>
      <c r="E22" s="10">
        <v>45408</v>
      </c>
      <c r="F22" s="10">
        <v>45591</v>
      </c>
      <c r="G22" s="8" t="s">
        <v>1746</v>
      </c>
    </row>
    <row r="23" spans="1:7" x14ac:dyDescent="0.25">
      <c r="A23" s="8" t="s">
        <v>857</v>
      </c>
      <c r="B23" s="8" t="s">
        <v>2111</v>
      </c>
      <c r="C23" s="8" t="s">
        <v>1747</v>
      </c>
      <c r="D23" s="9">
        <v>6769283</v>
      </c>
      <c r="E23" s="10">
        <v>45139</v>
      </c>
      <c r="F23" s="10">
        <v>45900</v>
      </c>
      <c r="G23" s="8" t="s">
        <v>1746</v>
      </c>
    </row>
    <row r="24" spans="1:7" x14ac:dyDescent="0.25">
      <c r="A24" s="8" t="s">
        <v>918</v>
      </c>
      <c r="B24" s="8" t="s">
        <v>2112</v>
      </c>
      <c r="C24" s="8" t="s">
        <v>1742</v>
      </c>
      <c r="D24" s="9">
        <v>8447132</v>
      </c>
      <c r="E24" s="10">
        <v>45334</v>
      </c>
      <c r="F24" s="10">
        <v>45850</v>
      </c>
      <c r="G24" s="8" t="s">
        <v>1743</v>
      </c>
    </row>
    <row r="25" spans="1:7" x14ac:dyDescent="0.25">
      <c r="A25" s="8" t="s">
        <v>964</v>
      </c>
      <c r="B25" s="8" t="s">
        <v>1759</v>
      </c>
      <c r="C25" s="8" t="s">
        <v>1757</v>
      </c>
      <c r="D25" s="9">
        <v>656287</v>
      </c>
      <c r="E25" s="10">
        <v>45139</v>
      </c>
      <c r="F25" s="10">
        <v>45900</v>
      </c>
      <c r="G25" s="8" t="s">
        <v>1822</v>
      </c>
    </row>
    <row r="26" spans="1:7" x14ac:dyDescent="0.25">
      <c r="A26" s="8" t="s">
        <v>1025</v>
      </c>
      <c r="B26" s="8" t="s">
        <v>2113</v>
      </c>
      <c r="C26" s="8" t="s">
        <v>1750</v>
      </c>
      <c r="D26" s="9">
        <v>1750457</v>
      </c>
      <c r="E26" s="10">
        <v>45614</v>
      </c>
      <c r="F26" s="10">
        <v>45887</v>
      </c>
      <c r="G26" s="8" t="s">
        <v>1746</v>
      </c>
    </row>
    <row r="27" spans="1:7" x14ac:dyDescent="0.25">
      <c r="A27" s="8" t="s">
        <v>1051</v>
      </c>
      <c r="B27" s="8" t="s">
        <v>1760</v>
      </c>
      <c r="C27" s="8" t="s">
        <v>1744</v>
      </c>
      <c r="D27" s="9">
        <v>5402033</v>
      </c>
      <c r="E27" s="10">
        <v>45168</v>
      </c>
      <c r="F27" s="10">
        <v>45565</v>
      </c>
      <c r="G27" s="8" t="s">
        <v>1748</v>
      </c>
    </row>
    <row r="28" spans="1:7" x14ac:dyDescent="0.25">
      <c r="A28" s="8" t="s">
        <v>1087</v>
      </c>
      <c r="B28" s="8" t="s">
        <v>2114</v>
      </c>
      <c r="C28" s="8" t="s">
        <v>1747</v>
      </c>
      <c r="D28" s="9">
        <v>2933309</v>
      </c>
      <c r="E28" s="10">
        <v>45636</v>
      </c>
      <c r="F28" s="10">
        <v>45879</v>
      </c>
      <c r="G28" s="8" t="s">
        <v>1743</v>
      </c>
    </row>
    <row r="29" spans="1:7" x14ac:dyDescent="0.25">
      <c r="A29" s="8" t="s">
        <v>1110</v>
      </c>
      <c r="B29" s="8" t="s">
        <v>1761</v>
      </c>
      <c r="C29" s="8" t="s">
        <v>1752</v>
      </c>
      <c r="D29" s="9">
        <v>2107892</v>
      </c>
      <c r="E29" s="10">
        <v>45476</v>
      </c>
      <c r="F29" s="10">
        <v>45780</v>
      </c>
      <c r="G29" s="8" t="s">
        <v>1746</v>
      </c>
    </row>
    <row r="30" spans="1:7" x14ac:dyDescent="0.25">
      <c r="A30" s="8" t="s">
        <v>1133</v>
      </c>
      <c r="B30" s="8" t="s">
        <v>2115</v>
      </c>
      <c r="C30" s="8" t="s">
        <v>1747</v>
      </c>
      <c r="D30" s="9">
        <v>2432795</v>
      </c>
      <c r="E30" s="10">
        <v>45409</v>
      </c>
      <c r="F30" s="10">
        <v>45835</v>
      </c>
      <c r="G30" s="8" t="s">
        <v>1748</v>
      </c>
    </row>
    <row r="31" spans="1:7" x14ac:dyDescent="0.25">
      <c r="A31" s="8" t="s">
        <v>1171</v>
      </c>
      <c r="B31" s="8" t="s">
        <v>2116</v>
      </c>
      <c r="C31" s="8" t="s">
        <v>1744</v>
      </c>
      <c r="D31" s="9">
        <v>2648151</v>
      </c>
      <c r="E31" s="10">
        <v>45187</v>
      </c>
      <c r="F31" s="10">
        <v>45887</v>
      </c>
      <c r="G31" s="8" t="s">
        <v>1746</v>
      </c>
    </row>
    <row r="32" spans="1:7" x14ac:dyDescent="0.25">
      <c r="A32" s="8" t="s">
        <v>1232</v>
      </c>
      <c r="B32" s="8" t="s">
        <v>2117</v>
      </c>
      <c r="C32" s="8" t="s">
        <v>1744</v>
      </c>
      <c r="D32" s="9">
        <v>7804491</v>
      </c>
      <c r="E32" s="10">
        <v>45310</v>
      </c>
      <c r="F32" s="10">
        <v>45857</v>
      </c>
      <c r="G32" s="8" t="s">
        <v>1745</v>
      </c>
    </row>
    <row r="33" spans="1:7" x14ac:dyDescent="0.25">
      <c r="A33" s="8" t="s">
        <v>1280</v>
      </c>
      <c r="B33" s="8" t="s">
        <v>2118</v>
      </c>
      <c r="C33" s="8" t="s">
        <v>1750</v>
      </c>
      <c r="D33" s="9">
        <v>1179308</v>
      </c>
      <c r="E33" s="10">
        <v>45196</v>
      </c>
      <c r="F33" s="10">
        <v>45865</v>
      </c>
      <c r="G33" s="8" t="s">
        <v>1822</v>
      </c>
    </row>
    <row r="34" spans="1:7" x14ac:dyDescent="0.25">
      <c r="A34" s="8" t="s">
        <v>1338</v>
      </c>
      <c r="B34" s="8" t="s">
        <v>2119</v>
      </c>
      <c r="C34" s="8" t="s">
        <v>1742</v>
      </c>
      <c r="D34" s="9">
        <v>6700396</v>
      </c>
      <c r="E34" s="10">
        <v>45171</v>
      </c>
      <c r="F34" s="10">
        <v>45567</v>
      </c>
      <c r="G34" s="8" t="s">
        <v>1822</v>
      </c>
    </row>
    <row r="35" spans="1:7" x14ac:dyDescent="0.25">
      <c r="A35" s="8" t="s">
        <v>1374</v>
      </c>
      <c r="B35" s="8" t="s">
        <v>2120</v>
      </c>
      <c r="C35" s="8" t="s">
        <v>1742</v>
      </c>
      <c r="D35" s="9">
        <v>4467277</v>
      </c>
      <c r="E35" s="10">
        <v>45156</v>
      </c>
      <c r="F35" s="10">
        <v>45887</v>
      </c>
      <c r="G35" s="8" t="s">
        <v>1746</v>
      </c>
    </row>
    <row r="36" spans="1:7" x14ac:dyDescent="0.25">
      <c r="A36" s="8" t="s">
        <v>1397</v>
      </c>
      <c r="B36" s="8" t="s">
        <v>1762</v>
      </c>
      <c r="C36" s="8" t="s">
        <v>1757</v>
      </c>
      <c r="D36" s="9">
        <v>2442430</v>
      </c>
      <c r="E36" s="10">
        <v>45211</v>
      </c>
      <c r="F36" s="10">
        <v>45394</v>
      </c>
      <c r="G36" s="8" t="s">
        <v>1745</v>
      </c>
    </row>
    <row r="37" spans="1:7" x14ac:dyDescent="0.25">
      <c r="A37" s="8" t="s">
        <v>1415</v>
      </c>
      <c r="B37" s="8" t="s">
        <v>2121</v>
      </c>
      <c r="C37" s="8" t="s">
        <v>1742</v>
      </c>
      <c r="D37" s="9">
        <v>3416268</v>
      </c>
      <c r="E37" s="10">
        <v>45171</v>
      </c>
      <c r="F37" s="10">
        <v>45414</v>
      </c>
      <c r="G37" s="8" t="s">
        <v>1746</v>
      </c>
    </row>
    <row r="38" spans="1:7" x14ac:dyDescent="0.25">
      <c r="A38" s="8" t="s">
        <v>1438</v>
      </c>
      <c r="B38" s="8" t="s">
        <v>2122</v>
      </c>
      <c r="C38" s="8" t="s">
        <v>1752</v>
      </c>
      <c r="D38" s="9">
        <v>3124034</v>
      </c>
      <c r="E38" s="10">
        <v>45169</v>
      </c>
      <c r="F38" s="10">
        <v>45838</v>
      </c>
      <c r="G38" s="8" t="s">
        <v>1753</v>
      </c>
    </row>
    <row r="39" spans="1:7" x14ac:dyDescent="0.25">
      <c r="A39" s="8" t="s">
        <v>1459</v>
      </c>
      <c r="B39" s="8" t="s">
        <v>1763</v>
      </c>
      <c r="C39" s="8" t="s">
        <v>1752</v>
      </c>
      <c r="D39" s="9">
        <v>4930958</v>
      </c>
      <c r="E39" s="10">
        <v>45415</v>
      </c>
      <c r="F39" s="10">
        <v>45780</v>
      </c>
      <c r="G39" s="8" t="s">
        <v>1753</v>
      </c>
    </row>
    <row r="40" spans="1:7" x14ac:dyDescent="0.25">
      <c r="A40" s="8" t="s">
        <v>1492</v>
      </c>
      <c r="B40" s="8" t="s">
        <v>2123</v>
      </c>
      <c r="C40" s="8" t="s">
        <v>1750</v>
      </c>
      <c r="D40" s="9">
        <v>744594</v>
      </c>
      <c r="E40" s="10">
        <v>45381</v>
      </c>
      <c r="F40" s="10">
        <v>45777</v>
      </c>
      <c r="G40" s="8" t="s">
        <v>1822</v>
      </c>
    </row>
    <row r="41" spans="1:7" x14ac:dyDescent="0.25">
      <c r="A41" s="8" t="s">
        <v>1528</v>
      </c>
      <c r="B41" s="8" t="s">
        <v>2124</v>
      </c>
      <c r="C41" s="8" t="s">
        <v>1752</v>
      </c>
      <c r="D41" s="9">
        <v>440960</v>
      </c>
      <c r="E41" s="10">
        <v>45188</v>
      </c>
      <c r="F41" s="10">
        <v>45462</v>
      </c>
      <c r="G41" s="8" t="s">
        <v>1751</v>
      </c>
    </row>
    <row r="42" spans="1:7" x14ac:dyDescent="0.25">
      <c r="A42" s="8" t="s">
        <v>1554</v>
      </c>
      <c r="B42" s="8" t="s">
        <v>2125</v>
      </c>
      <c r="C42" s="8" t="s">
        <v>1747</v>
      </c>
      <c r="D42" s="9">
        <v>6060365</v>
      </c>
      <c r="E42" s="10">
        <v>45244</v>
      </c>
      <c r="F42" s="10">
        <v>45822</v>
      </c>
      <c r="G42" s="8" t="s">
        <v>1753</v>
      </c>
    </row>
    <row r="43" spans="1:7" x14ac:dyDescent="0.25">
      <c r="A43" s="8" t="s">
        <v>1580</v>
      </c>
      <c r="B43" s="8" t="s">
        <v>2126</v>
      </c>
      <c r="C43" s="8" t="s">
        <v>1747</v>
      </c>
      <c r="D43" s="9">
        <v>1634764</v>
      </c>
      <c r="E43" s="10">
        <v>45139</v>
      </c>
      <c r="F43" s="10">
        <v>45900</v>
      </c>
      <c r="G43" s="8" t="s">
        <v>1753</v>
      </c>
    </row>
    <row r="44" spans="1:7" x14ac:dyDescent="0.25">
      <c r="A44" s="8" t="s">
        <v>1631</v>
      </c>
      <c r="B44" s="8" t="s">
        <v>2127</v>
      </c>
      <c r="C44" s="8" t="s">
        <v>1757</v>
      </c>
      <c r="D44" s="9">
        <v>660433</v>
      </c>
      <c r="E44" s="10">
        <v>45139</v>
      </c>
      <c r="F44" s="10">
        <v>45900</v>
      </c>
      <c r="G44" s="8" t="s">
        <v>1746</v>
      </c>
    </row>
    <row r="45" spans="1:7" x14ac:dyDescent="0.25">
      <c r="A45" s="8" t="s">
        <v>1652</v>
      </c>
      <c r="B45" s="8" t="s">
        <v>1764</v>
      </c>
      <c r="C45" s="8" t="s">
        <v>1742</v>
      </c>
      <c r="D45" s="9">
        <v>3234592</v>
      </c>
      <c r="E45" s="10">
        <v>45236</v>
      </c>
      <c r="F45" s="10">
        <v>45602</v>
      </c>
      <c r="G45" s="8" t="s">
        <v>1743</v>
      </c>
    </row>
    <row r="46" spans="1:7" x14ac:dyDescent="0.25">
      <c r="A46" s="8" t="s">
        <v>1685</v>
      </c>
      <c r="B46" s="8" t="s">
        <v>1765</v>
      </c>
      <c r="C46" s="8" t="s">
        <v>1752</v>
      </c>
      <c r="D46" s="9">
        <v>501071</v>
      </c>
      <c r="E46" s="10">
        <v>45185</v>
      </c>
      <c r="F46" s="10">
        <v>45763</v>
      </c>
      <c r="G46" s="8" t="s">
        <v>1743</v>
      </c>
    </row>
    <row r="47" spans="1:7" x14ac:dyDescent="0.25">
      <c r="A47" s="8" t="s">
        <v>5</v>
      </c>
      <c r="B47" s="8" t="s">
        <v>1741</v>
      </c>
      <c r="C47" s="8" t="s">
        <v>1742</v>
      </c>
      <c r="D47" s="9">
        <v>800000</v>
      </c>
      <c r="E47" s="8"/>
      <c r="F47" s="8"/>
      <c r="G47" s="8"/>
    </row>
  </sheetData>
  <autoFilter ref="A1:G47" xr:uid="{2047D6B2-FD9E-437E-9724-47B5F30BCB1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EA54D-4587-4A1E-A8FA-575C71F3A8A4}">
  <dimension ref="A1:E790"/>
  <sheetViews>
    <sheetView workbookViewId="0">
      <selection activeCell="E3" sqref="E3"/>
    </sheetView>
  </sheetViews>
  <sheetFormatPr baseColWidth="10" defaultColWidth="9.33203125" defaultRowHeight="19" x14ac:dyDescent="0.25"/>
  <cols>
    <col min="1" max="1" width="11.1640625" style="2" bestFit="1" customWidth="1"/>
    <col min="2" max="2" width="8.83203125" style="2" bestFit="1" customWidth="1"/>
    <col min="3" max="3" width="19.83203125" style="11" bestFit="1" customWidth="1"/>
    <col min="4" max="4" width="18.83203125" style="2" bestFit="1" customWidth="1"/>
    <col min="5" max="5" width="15" style="2" bestFit="1" customWidth="1"/>
    <col min="6" max="16384" width="9.33203125" style="2"/>
  </cols>
  <sheetData>
    <row r="1" spans="1:5" x14ac:dyDescent="0.25">
      <c r="A1" s="8" t="s">
        <v>1</v>
      </c>
      <c r="B1" s="8" t="s">
        <v>1766</v>
      </c>
      <c r="C1" s="9" t="s">
        <v>1767</v>
      </c>
      <c r="D1" s="8" t="s">
        <v>1768</v>
      </c>
      <c r="E1" s="8" t="s">
        <v>1769</v>
      </c>
    </row>
    <row r="2" spans="1:5" x14ac:dyDescent="0.25">
      <c r="A2" s="8" t="s">
        <v>5</v>
      </c>
      <c r="B2" s="8" t="s">
        <v>2128</v>
      </c>
      <c r="C2" s="9">
        <v>107996</v>
      </c>
      <c r="D2" s="8" t="s">
        <v>2129</v>
      </c>
      <c r="E2" s="10">
        <v>45419</v>
      </c>
    </row>
    <row r="3" spans="1:5" x14ac:dyDescent="0.25">
      <c r="A3" s="8" t="s">
        <v>5</v>
      </c>
      <c r="B3" s="8" t="s">
        <v>1788</v>
      </c>
      <c r="C3" s="9">
        <v>185488</v>
      </c>
      <c r="D3" s="8" t="s">
        <v>2130</v>
      </c>
      <c r="E3" s="10">
        <v>45490</v>
      </c>
    </row>
    <row r="4" spans="1:5" x14ac:dyDescent="0.25">
      <c r="A4" s="8" t="s">
        <v>5</v>
      </c>
      <c r="B4" s="8" t="s">
        <v>1778</v>
      </c>
      <c r="C4" s="9">
        <v>221419</v>
      </c>
      <c r="D4" s="8" t="s">
        <v>2131</v>
      </c>
      <c r="E4" s="10">
        <v>45602</v>
      </c>
    </row>
    <row r="5" spans="1:5" x14ac:dyDescent="0.25">
      <c r="A5" s="8" t="s">
        <v>5</v>
      </c>
      <c r="B5" s="8" t="s">
        <v>1779</v>
      </c>
      <c r="C5" s="9">
        <v>130468</v>
      </c>
      <c r="D5" s="8" t="s">
        <v>2132</v>
      </c>
      <c r="E5" s="10">
        <v>45280</v>
      </c>
    </row>
    <row r="6" spans="1:5" x14ac:dyDescent="0.25">
      <c r="A6" s="8" t="s">
        <v>5</v>
      </c>
      <c r="B6" s="8" t="s">
        <v>1780</v>
      </c>
      <c r="C6" s="9">
        <v>189430</v>
      </c>
      <c r="D6" s="8" t="s">
        <v>2130</v>
      </c>
      <c r="E6" s="10">
        <v>45755</v>
      </c>
    </row>
    <row r="7" spans="1:5" x14ac:dyDescent="0.25">
      <c r="A7" s="8" t="s">
        <v>5</v>
      </c>
      <c r="B7" s="8" t="s">
        <v>1781</v>
      </c>
      <c r="C7" s="9">
        <v>146990</v>
      </c>
      <c r="D7" s="8" t="s">
        <v>2131</v>
      </c>
      <c r="E7" s="10">
        <v>45857</v>
      </c>
    </row>
    <row r="8" spans="1:5" x14ac:dyDescent="0.25">
      <c r="A8" s="8" t="s">
        <v>5</v>
      </c>
      <c r="B8" s="8" t="s">
        <v>1782</v>
      </c>
      <c r="C8" s="9">
        <v>140863</v>
      </c>
      <c r="D8" s="8" t="s">
        <v>2133</v>
      </c>
      <c r="E8" s="10">
        <v>45867</v>
      </c>
    </row>
    <row r="9" spans="1:5" x14ac:dyDescent="0.25">
      <c r="A9" s="8" t="s">
        <v>5</v>
      </c>
      <c r="B9" s="8" t="s">
        <v>1783</v>
      </c>
      <c r="C9" s="9">
        <v>132099</v>
      </c>
      <c r="D9" s="8" t="s">
        <v>2129</v>
      </c>
      <c r="E9" s="10">
        <v>45344</v>
      </c>
    </row>
    <row r="10" spans="1:5" x14ac:dyDescent="0.25">
      <c r="A10" s="8" t="s">
        <v>5</v>
      </c>
      <c r="B10" s="8" t="s">
        <v>1784</v>
      </c>
      <c r="C10" s="9">
        <v>158077</v>
      </c>
      <c r="D10" s="8" t="s">
        <v>2129</v>
      </c>
      <c r="E10" s="10">
        <v>45778</v>
      </c>
    </row>
    <row r="11" spans="1:5" x14ac:dyDescent="0.25">
      <c r="A11" s="8" t="s">
        <v>5</v>
      </c>
      <c r="B11" s="8" t="s">
        <v>1785</v>
      </c>
      <c r="C11" s="9">
        <v>156561</v>
      </c>
      <c r="D11" s="8" t="s">
        <v>2131</v>
      </c>
      <c r="E11" s="10">
        <v>45842</v>
      </c>
    </row>
    <row r="12" spans="1:5" x14ac:dyDescent="0.25">
      <c r="A12" s="8" t="s">
        <v>5</v>
      </c>
      <c r="B12" s="8" t="s">
        <v>1786</v>
      </c>
      <c r="C12" s="9">
        <v>192205</v>
      </c>
      <c r="D12" s="8" t="s">
        <v>2133</v>
      </c>
      <c r="E12" s="10">
        <v>45827</v>
      </c>
    </row>
    <row r="13" spans="1:5" x14ac:dyDescent="0.25">
      <c r="A13" s="8" t="s">
        <v>5</v>
      </c>
      <c r="B13" s="8" t="s">
        <v>1787</v>
      </c>
      <c r="C13" s="9">
        <v>103349</v>
      </c>
      <c r="D13" s="8" t="s">
        <v>2132</v>
      </c>
      <c r="E13" s="10">
        <v>45866</v>
      </c>
    </row>
    <row r="14" spans="1:5" x14ac:dyDescent="0.25">
      <c r="A14" s="8" t="s">
        <v>5</v>
      </c>
      <c r="B14" s="8" t="s">
        <v>1770</v>
      </c>
      <c r="C14" s="9">
        <v>196116</v>
      </c>
      <c r="D14" s="8" t="s">
        <v>2132</v>
      </c>
      <c r="E14" s="10">
        <v>45654</v>
      </c>
    </row>
    <row r="15" spans="1:5" x14ac:dyDescent="0.25">
      <c r="A15" s="8" t="s">
        <v>5</v>
      </c>
      <c r="B15" s="8" t="s">
        <v>1771</v>
      </c>
      <c r="C15" s="9">
        <v>195217</v>
      </c>
      <c r="D15" s="8" t="s">
        <v>2133</v>
      </c>
      <c r="E15" s="10">
        <v>45866</v>
      </c>
    </row>
    <row r="16" spans="1:5" x14ac:dyDescent="0.25">
      <c r="A16" s="8" t="s">
        <v>5</v>
      </c>
      <c r="B16" s="8" t="s">
        <v>1772</v>
      </c>
      <c r="C16" s="9">
        <v>174237</v>
      </c>
      <c r="D16" s="8" t="s">
        <v>2134</v>
      </c>
      <c r="E16" s="10">
        <v>45499</v>
      </c>
    </row>
    <row r="17" spans="1:5" x14ac:dyDescent="0.25">
      <c r="A17" s="8" t="s">
        <v>5</v>
      </c>
      <c r="B17" s="8" t="s">
        <v>1773</v>
      </c>
      <c r="C17" s="9">
        <v>254255</v>
      </c>
      <c r="D17" s="8" t="s">
        <v>2135</v>
      </c>
      <c r="E17" s="10">
        <v>45735</v>
      </c>
    </row>
    <row r="18" spans="1:5" x14ac:dyDescent="0.25">
      <c r="A18" s="8" t="s">
        <v>5</v>
      </c>
      <c r="B18" s="8" t="s">
        <v>1774</v>
      </c>
      <c r="C18" s="9">
        <v>211620</v>
      </c>
      <c r="D18" s="8" t="s">
        <v>2130</v>
      </c>
      <c r="E18" s="10">
        <v>45829</v>
      </c>
    </row>
    <row r="19" spans="1:5" x14ac:dyDescent="0.25">
      <c r="A19" s="8" t="s">
        <v>5</v>
      </c>
      <c r="B19" s="8" t="s">
        <v>1775</v>
      </c>
      <c r="C19" s="9">
        <v>141490</v>
      </c>
      <c r="D19" s="8" t="s">
        <v>2131</v>
      </c>
      <c r="E19" s="10">
        <v>45571</v>
      </c>
    </row>
    <row r="20" spans="1:5" x14ac:dyDescent="0.25">
      <c r="A20" s="8" t="s">
        <v>5</v>
      </c>
      <c r="B20" s="8" t="s">
        <v>1776</v>
      </c>
      <c r="C20" s="9">
        <v>113646</v>
      </c>
      <c r="D20" s="8" t="s">
        <v>2136</v>
      </c>
      <c r="E20" s="10">
        <v>45674</v>
      </c>
    </row>
    <row r="21" spans="1:5" x14ac:dyDescent="0.25">
      <c r="A21" s="8" t="s">
        <v>5</v>
      </c>
      <c r="B21" s="8" t="s">
        <v>1777</v>
      </c>
      <c r="C21" s="9">
        <v>133932</v>
      </c>
      <c r="D21" s="8" t="s">
        <v>2134</v>
      </c>
      <c r="E21" s="10">
        <v>45164</v>
      </c>
    </row>
    <row r="22" spans="1:5" x14ac:dyDescent="0.25">
      <c r="A22" s="8" t="s">
        <v>5</v>
      </c>
      <c r="B22" s="8" t="s">
        <v>2137</v>
      </c>
      <c r="C22" s="9">
        <v>138251</v>
      </c>
      <c r="D22" s="8" t="s">
        <v>2130</v>
      </c>
      <c r="E22" s="10">
        <v>45287</v>
      </c>
    </row>
    <row r="23" spans="1:5" x14ac:dyDescent="0.25">
      <c r="A23" s="8" t="s">
        <v>5</v>
      </c>
      <c r="B23" s="8" t="s">
        <v>2138</v>
      </c>
      <c r="C23" s="9">
        <v>87819</v>
      </c>
      <c r="D23" s="8" t="s">
        <v>2136</v>
      </c>
      <c r="E23" s="10">
        <v>45825</v>
      </c>
    </row>
    <row r="24" spans="1:5" x14ac:dyDescent="0.25">
      <c r="A24" s="8" t="s">
        <v>5</v>
      </c>
      <c r="B24" s="8" t="s">
        <v>2139</v>
      </c>
      <c r="C24" s="9">
        <v>181731</v>
      </c>
      <c r="D24" s="8" t="s">
        <v>2136</v>
      </c>
      <c r="E24" s="10">
        <v>45343</v>
      </c>
    </row>
    <row r="25" spans="1:5" x14ac:dyDescent="0.25">
      <c r="A25" s="8" t="s">
        <v>5</v>
      </c>
      <c r="B25" s="8" t="s">
        <v>2140</v>
      </c>
      <c r="C25" s="9">
        <v>108617</v>
      </c>
      <c r="D25" s="8" t="s">
        <v>2131</v>
      </c>
      <c r="E25" s="10">
        <v>45303</v>
      </c>
    </row>
    <row r="26" spans="1:5" x14ac:dyDescent="0.25">
      <c r="A26" s="8" t="s">
        <v>5</v>
      </c>
      <c r="B26" s="8" t="s">
        <v>2141</v>
      </c>
      <c r="C26" s="9">
        <v>171167</v>
      </c>
      <c r="D26" s="8" t="s">
        <v>2131</v>
      </c>
      <c r="E26" s="10">
        <v>45838</v>
      </c>
    </row>
    <row r="27" spans="1:5" x14ac:dyDescent="0.25">
      <c r="A27" s="8" t="s">
        <v>87</v>
      </c>
      <c r="B27" s="8" t="s">
        <v>1783</v>
      </c>
      <c r="C27" s="9">
        <v>712723</v>
      </c>
      <c r="D27" s="8" t="s">
        <v>2131</v>
      </c>
      <c r="E27" s="10">
        <v>45288</v>
      </c>
    </row>
    <row r="28" spans="1:5" x14ac:dyDescent="0.25">
      <c r="A28" s="8" t="s">
        <v>87</v>
      </c>
      <c r="B28" s="8" t="s">
        <v>1784</v>
      </c>
      <c r="C28" s="9">
        <v>779352</v>
      </c>
      <c r="D28" s="8" t="s">
        <v>2136</v>
      </c>
      <c r="E28" s="10">
        <v>45846</v>
      </c>
    </row>
    <row r="29" spans="1:5" x14ac:dyDescent="0.25">
      <c r="A29" s="8" t="s">
        <v>87</v>
      </c>
      <c r="B29" s="8" t="s">
        <v>1785</v>
      </c>
      <c r="C29" s="9">
        <v>541065</v>
      </c>
      <c r="D29" s="8" t="s">
        <v>2131</v>
      </c>
      <c r="E29" s="10">
        <v>45347</v>
      </c>
    </row>
    <row r="30" spans="1:5" x14ac:dyDescent="0.25">
      <c r="A30" s="8" t="s">
        <v>87</v>
      </c>
      <c r="B30" s="8" t="s">
        <v>1786</v>
      </c>
      <c r="C30" s="9">
        <v>473967</v>
      </c>
      <c r="D30" s="8" t="s">
        <v>2136</v>
      </c>
      <c r="E30" s="10">
        <v>45506</v>
      </c>
    </row>
    <row r="31" spans="1:5" x14ac:dyDescent="0.25">
      <c r="A31" s="8" t="s">
        <v>87</v>
      </c>
      <c r="B31" s="8" t="s">
        <v>1787</v>
      </c>
      <c r="C31" s="9">
        <v>770249</v>
      </c>
      <c r="D31" s="8" t="s">
        <v>2135</v>
      </c>
      <c r="E31" s="10">
        <v>45243</v>
      </c>
    </row>
    <row r="32" spans="1:5" x14ac:dyDescent="0.25">
      <c r="A32" s="8" t="s">
        <v>87</v>
      </c>
      <c r="B32" s="8" t="s">
        <v>1770</v>
      </c>
      <c r="C32" s="9">
        <v>794789</v>
      </c>
      <c r="D32" s="8" t="s">
        <v>2129</v>
      </c>
      <c r="E32" s="10">
        <v>45899</v>
      </c>
    </row>
    <row r="33" spans="1:5" x14ac:dyDescent="0.25">
      <c r="A33" s="8" t="s">
        <v>87</v>
      </c>
      <c r="B33" s="8" t="s">
        <v>1771</v>
      </c>
      <c r="C33" s="9">
        <v>675885</v>
      </c>
      <c r="D33" s="8" t="s">
        <v>2130</v>
      </c>
      <c r="E33" s="10">
        <v>45382</v>
      </c>
    </row>
    <row r="34" spans="1:5" x14ac:dyDescent="0.25">
      <c r="A34" s="8" t="s">
        <v>87</v>
      </c>
      <c r="B34" s="8" t="s">
        <v>1772</v>
      </c>
      <c r="C34" s="9">
        <v>477485</v>
      </c>
      <c r="D34" s="8" t="s">
        <v>2131</v>
      </c>
      <c r="E34" s="10">
        <v>45848</v>
      </c>
    </row>
    <row r="35" spans="1:5" x14ac:dyDescent="0.25">
      <c r="A35" s="8" t="s">
        <v>112</v>
      </c>
      <c r="B35" s="8" t="s">
        <v>1788</v>
      </c>
      <c r="C35" s="9">
        <v>295686</v>
      </c>
      <c r="D35" s="8" t="s">
        <v>2136</v>
      </c>
      <c r="E35" s="10">
        <v>45529</v>
      </c>
    </row>
    <row r="36" spans="1:5" x14ac:dyDescent="0.25">
      <c r="A36" s="8" t="s">
        <v>112</v>
      </c>
      <c r="B36" s="8" t="s">
        <v>1778</v>
      </c>
      <c r="C36" s="9">
        <v>563843</v>
      </c>
      <c r="D36" s="8" t="s">
        <v>2130</v>
      </c>
      <c r="E36" s="10">
        <v>45565</v>
      </c>
    </row>
    <row r="37" spans="1:5" x14ac:dyDescent="0.25">
      <c r="A37" s="8" t="s">
        <v>112</v>
      </c>
      <c r="B37" s="8" t="s">
        <v>1779</v>
      </c>
      <c r="C37" s="9">
        <v>434034</v>
      </c>
      <c r="D37" s="8" t="s">
        <v>2133</v>
      </c>
      <c r="E37" s="10">
        <v>45704</v>
      </c>
    </row>
    <row r="38" spans="1:5" x14ac:dyDescent="0.25">
      <c r="A38" s="8" t="s">
        <v>112</v>
      </c>
      <c r="B38" s="8" t="s">
        <v>1780</v>
      </c>
      <c r="C38" s="9">
        <v>577459</v>
      </c>
      <c r="D38" s="8" t="s">
        <v>2136</v>
      </c>
      <c r="E38" s="10">
        <v>45152</v>
      </c>
    </row>
    <row r="39" spans="1:5" x14ac:dyDescent="0.25">
      <c r="A39" s="8" t="s">
        <v>112</v>
      </c>
      <c r="B39" s="8" t="s">
        <v>1781</v>
      </c>
      <c r="C39" s="9">
        <v>367515</v>
      </c>
      <c r="D39" s="8" t="s">
        <v>2131</v>
      </c>
      <c r="E39" s="10">
        <v>45346</v>
      </c>
    </row>
    <row r="40" spans="1:5" x14ac:dyDescent="0.25">
      <c r="A40" s="8" t="s">
        <v>112</v>
      </c>
      <c r="B40" s="8" t="s">
        <v>1782</v>
      </c>
      <c r="C40" s="9">
        <v>563013</v>
      </c>
      <c r="D40" s="8" t="s">
        <v>2135</v>
      </c>
      <c r="E40" s="10">
        <v>45369</v>
      </c>
    </row>
    <row r="41" spans="1:5" x14ac:dyDescent="0.25">
      <c r="A41" s="8" t="s">
        <v>112</v>
      </c>
      <c r="B41" s="8" t="s">
        <v>1783</v>
      </c>
      <c r="C41" s="9">
        <v>595942</v>
      </c>
      <c r="D41" s="8" t="s">
        <v>2133</v>
      </c>
      <c r="E41" s="10">
        <v>45741</v>
      </c>
    </row>
    <row r="42" spans="1:5" x14ac:dyDescent="0.25">
      <c r="A42" s="8" t="s">
        <v>112</v>
      </c>
      <c r="B42" s="8" t="s">
        <v>1784</v>
      </c>
      <c r="C42" s="9">
        <v>414153</v>
      </c>
      <c r="D42" s="8" t="s">
        <v>2129</v>
      </c>
      <c r="E42" s="10">
        <v>45881</v>
      </c>
    </row>
    <row r="43" spans="1:5" x14ac:dyDescent="0.25">
      <c r="A43" s="8" t="s">
        <v>112</v>
      </c>
      <c r="B43" s="8" t="s">
        <v>1785</v>
      </c>
      <c r="C43" s="9">
        <v>474836</v>
      </c>
      <c r="D43" s="8" t="s">
        <v>2129</v>
      </c>
      <c r="E43" s="10">
        <v>45440</v>
      </c>
    </row>
    <row r="44" spans="1:5" x14ac:dyDescent="0.25">
      <c r="A44" s="8" t="s">
        <v>112</v>
      </c>
      <c r="B44" s="8" t="s">
        <v>1786</v>
      </c>
      <c r="C44" s="9">
        <v>312855</v>
      </c>
      <c r="D44" s="8" t="s">
        <v>2135</v>
      </c>
      <c r="E44" s="10">
        <v>45320</v>
      </c>
    </row>
    <row r="45" spans="1:5" x14ac:dyDescent="0.25">
      <c r="A45" s="8" t="s">
        <v>112</v>
      </c>
      <c r="B45" s="8" t="s">
        <v>1787</v>
      </c>
      <c r="C45" s="9">
        <v>315631</v>
      </c>
      <c r="D45" s="8" t="s">
        <v>2134</v>
      </c>
      <c r="E45" s="10">
        <v>45330</v>
      </c>
    </row>
    <row r="46" spans="1:5" x14ac:dyDescent="0.25">
      <c r="A46" s="8" t="s">
        <v>112</v>
      </c>
      <c r="B46" s="8" t="s">
        <v>1770</v>
      </c>
      <c r="C46" s="9">
        <v>475794</v>
      </c>
      <c r="D46" s="8" t="s">
        <v>2132</v>
      </c>
      <c r="E46" s="10">
        <v>45891</v>
      </c>
    </row>
    <row r="47" spans="1:5" x14ac:dyDescent="0.25">
      <c r="A47" s="8" t="s">
        <v>112</v>
      </c>
      <c r="B47" s="8" t="s">
        <v>1771</v>
      </c>
      <c r="C47" s="9">
        <v>381297</v>
      </c>
      <c r="D47" s="8" t="s">
        <v>2134</v>
      </c>
      <c r="E47" s="10">
        <v>45525</v>
      </c>
    </row>
    <row r="48" spans="1:5" x14ac:dyDescent="0.25">
      <c r="A48" s="8" t="s">
        <v>112</v>
      </c>
      <c r="B48" s="8" t="s">
        <v>1772</v>
      </c>
      <c r="C48" s="9">
        <v>467354</v>
      </c>
      <c r="D48" s="8" t="s">
        <v>2136</v>
      </c>
      <c r="E48" s="10">
        <v>45577</v>
      </c>
    </row>
    <row r="49" spans="1:5" x14ac:dyDescent="0.25">
      <c r="A49" s="8" t="s">
        <v>148</v>
      </c>
      <c r="B49" s="8" t="s">
        <v>1779</v>
      </c>
      <c r="C49" s="9">
        <v>22032</v>
      </c>
      <c r="D49" s="8" t="s">
        <v>2131</v>
      </c>
      <c r="E49" s="10">
        <v>45708</v>
      </c>
    </row>
    <row r="50" spans="1:5" x14ac:dyDescent="0.25">
      <c r="A50" s="8" t="s">
        <v>148</v>
      </c>
      <c r="B50" s="8" t="s">
        <v>1780</v>
      </c>
      <c r="C50" s="9">
        <v>24617</v>
      </c>
      <c r="D50" s="8" t="s">
        <v>2131</v>
      </c>
      <c r="E50" s="10">
        <v>45272</v>
      </c>
    </row>
    <row r="51" spans="1:5" x14ac:dyDescent="0.25">
      <c r="A51" s="8" t="s">
        <v>148</v>
      </c>
      <c r="B51" s="8" t="s">
        <v>1781</v>
      </c>
      <c r="C51" s="9">
        <v>23967</v>
      </c>
      <c r="D51" s="8" t="s">
        <v>2132</v>
      </c>
      <c r="E51" s="10">
        <v>45737</v>
      </c>
    </row>
    <row r="52" spans="1:5" x14ac:dyDescent="0.25">
      <c r="A52" s="8" t="s">
        <v>148</v>
      </c>
      <c r="B52" s="8" t="s">
        <v>1782</v>
      </c>
      <c r="C52" s="9">
        <v>26036</v>
      </c>
      <c r="D52" s="8" t="s">
        <v>2131</v>
      </c>
      <c r="E52" s="10">
        <v>45144</v>
      </c>
    </row>
    <row r="53" spans="1:5" x14ac:dyDescent="0.25">
      <c r="A53" s="8" t="s">
        <v>148</v>
      </c>
      <c r="B53" s="8" t="s">
        <v>1783</v>
      </c>
      <c r="C53" s="9">
        <v>22366</v>
      </c>
      <c r="D53" s="8" t="s">
        <v>2133</v>
      </c>
      <c r="E53" s="10">
        <v>45616</v>
      </c>
    </row>
    <row r="54" spans="1:5" x14ac:dyDescent="0.25">
      <c r="A54" s="8" t="s">
        <v>148</v>
      </c>
      <c r="B54" s="8" t="s">
        <v>1784</v>
      </c>
      <c r="C54" s="9">
        <v>22791</v>
      </c>
      <c r="D54" s="8" t="s">
        <v>2132</v>
      </c>
      <c r="E54" s="10">
        <v>45179</v>
      </c>
    </row>
    <row r="55" spans="1:5" x14ac:dyDescent="0.25">
      <c r="A55" s="8" t="s">
        <v>148</v>
      </c>
      <c r="B55" s="8" t="s">
        <v>1785</v>
      </c>
      <c r="C55" s="9">
        <v>21154</v>
      </c>
      <c r="D55" s="8" t="s">
        <v>2132</v>
      </c>
      <c r="E55" s="10">
        <v>45469</v>
      </c>
    </row>
    <row r="56" spans="1:5" x14ac:dyDescent="0.25">
      <c r="A56" s="8" t="s">
        <v>148</v>
      </c>
      <c r="B56" s="8" t="s">
        <v>1786</v>
      </c>
      <c r="C56" s="9">
        <v>26719</v>
      </c>
      <c r="D56" s="8" t="s">
        <v>2136</v>
      </c>
      <c r="E56" s="10">
        <v>45779</v>
      </c>
    </row>
    <row r="57" spans="1:5" x14ac:dyDescent="0.25">
      <c r="A57" s="8" t="s">
        <v>148</v>
      </c>
      <c r="B57" s="8" t="s">
        <v>1787</v>
      </c>
      <c r="C57" s="9">
        <v>30903</v>
      </c>
      <c r="D57" s="8" t="s">
        <v>2131</v>
      </c>
      <c r="E57" s="10">
        <v>45641</v>
      </c>
    </row>
    <row r="58" spans="1:5" x14ac:dyDescent="0.25">
      <c r="A58" s="8" t="s">
        <v>148</v>
      </c>
      <c r="B58" s="8" t="s">
        <v>1770</v>
      </c>
      <c r="C58" s="9">
        <v>25131</v>
      </c>
      <c r="D58" s="8" t="s">
        <v>2133</v>
      </c>
      <c r="E58" s="10">
        <v>45213</v>
      </c>
    </row>
    <row r="59" spans="1:5" x14ac:dyDescent="0.25">
      <c r="A59" s="8" t="s">
        <v>148</v>
      </c>
      <c r="B59" s="8" t="s">
        <v>1771</v>
      </c>
      <c r="C59" s="9">
        <v>23797</v>
      </c>
      <c r="D59" s="8" t="s">
        <v>2133</v>
      </c>
      <c r="E59" s="10">
        <v>45677</v>
      </c>
    </row>
    <row r="60" spans="1:5" x14ac:dyDescent="0.25">
      <c r="A60" s="8" t="s">
        <v>148</v>
      </c>
      <c r="B60" s="8" t="s">
        <v>1772</v>
      </c>
      <c r="C60" s="9">
        <v>20015</v>
      </c>
      <c r="D60" s="8" t="s">
        <v>2129</v>
      </c>
      <c r="E60" s="10">
        <v>45327</v>
      </c>
    </row>
    <row r="61" spans="1:5" x14ac:dyDescent="0.25">
      <c r="A61" s="8" t="s">
        <v>148</v>
      </c>
      <c r="B61" s="8" t="s">
        <v>1773</v>
      </c>
      <c r="C61" s="9">
        <v>22450</v>
      </c>
      <c r="D61" s="8" t="s">
        <v>2134</v>
      </c>
      <c r="E61" s="10">
        <v>45656</v>
      </c>
    </row>
    <row r="62" spans="1:5" x14ac:dyDescent="0.25">
      <c r="A62" s="8" t="s">
        <v>148</v>
      </c>
      <c r="B62" s="8" t="s">
        <v>1774</v>
      </c>
      <c r="C62" s="9">
        <v>19075</v>
      </c>
      <c r="D62" s="8" t="s">
        <v>2132</v>
      </c>
      <c r="E62" s="10">
        <v>45564</v>
      </c>
    </row>
    <row r="63" spans="1:5" x14ac:dyDescent="0.25">
      <c r="A63" s="8" t="s">
        <v>148</v>
      </c>
      <c r="B63" s="8" t="s">
        <v>1775</v>
      </c>
      <c r="C63" s="9">
        <v>17906</v>
      </c>
      <c r="D63" s="8" t="s">
        <v>2130</v>
      </c>
      <c r="E63" s="10">
        <v>45233</v>
      </c>
    </row>
    <row r="64" spans="1:5" x14ac:dyDescent="0.25">
      <c r="A64" s="8" t="s">
        <v>148</v>
      </c>
      <c r="B64" s="8" t="s">
        <v>1776</v>
      </c>
      <c r="C64" s="9">
        <v>20127</v>
      </c>
      <c r="D64" s="8" t="s">
        <v>2133</v>
      </c>
      <c r="E64" s="10">
        <v>45365</v>
      </c>
    </row>
    <row r="65" spans="1:5" x14ac:dyDescent="0.25">
      <c r="A65" s="8" t="s">
        <v>148</v>
      </c>
      <c r="B65" s="8" t="s">
        <v>1777</v>
      </c>
      <c r="C65" s="9">
        <v>30634</v>
      </c>
      <c r="D65" s="8" t="s">
        <v>2129</v>
      </c>
      <c r="E65" s="10">
        <v>45818</v>
      </c>
    </row>
    <row r="66" spans="1:5" x14ac:dyDescent="0.25">
      <c r="A66" s="8" t="s">
        <v>148</v>
      </c>
      <c r="B66" s="8" t="s">
        <v>2137</v>
      </c>
      <c r="C66" s="9">
        <v>20716</v>
      </c>
      <c r="D66" s="8" t="s">
        <v>2133</v>
      </c>
      <c r="E66" s="10">
        <v>45478</v>
      </c>
    </row>
    <row r="67" spans="1:5" x14ac:dyDescent="0.25">
      <c r="A67" s="8" t="s">
        <v>148</v>
      </c>
      <c r="B67" s="8" t="s">
        <v>2138</v>
      </c>
      <c r="C67" s="9">
        <v>29755</v>
      </c>
      <c r="D67" s="8" t="s">
        <v>2133</v>
      </c>
      <c r="E67" s="10">
        <v>45439</v>
      </c>
    </row>
    <row r="68" spans="1:5" x14ac:dyDescent="0.25">
      <c r="A68" s="8" t="s">
        <v>148</v>
      </c>
      <c r="B68" s="8" t="s">
        <v>2139</v>
      </c>
      <c r="C68" s="9">
        <v>16021</v>
      </c>
      <c r="D68" s="8" t="s">
        <v>2129</v>
      </c>
      <c r="E68" s="10">
        <v>45772</v>
      </c>
    </row>
    <row r="69" spans="1:5" x14ac:dyDescent="0.25">
      <c r="A69" s="8" t="s">
        <v>148</v>
      </c>
      <c r="B69" s="8" t="s">
        <v>2140</v>
      </c>
      <c r="C69" s="9">
        <v>21900</v>
      </c>
      <c r="D69" s="8" t="s">
        <v>2135</v>
      </c>
      <c r="E69" s="10">
        <v>45713</v>
      </c>
    </row>
    <row r="70" spans="1:5" x14ac:dyDescent="0.25">
      <c r="A70" s="8" t="s">
        <v>201</v>
      </c>
      <c r="B70" s="8" t="s">
        <v>1788</v>
      </c>
      <c r="C70" s="9">
        <v>521699</v>
      </c>
      <c r="D70" s="8" t="s">
        <v>2136</v>
      </c>
      <c r="E70" s="10">
        <v>45256</v>
      </c>
    </row>
    <row r="71" spans="1:5" x14ac:dyDescent="0.25">
      <c r="A71" s="8" t="s">
        <v>201</v>
      </c>
      <c r="B71" s="8" t="s">
        <v>1778</v>
      </c>
      <c r="C71" s="9">
        <v>527386</v>
      </c>
      <c r="D71" s="8" t="s">
        <v>2133</v>
      </c>
      <c r="E71" s="10">
        <v>45595</v>
      </c>
    </row>
    <row r="72" spans="1:5" x14ac:dyDescent="0.25">
      <c r="A72" s="8" t="s">
        <v>201</v>
      </c>
      <c r="B72" s="8" t="s">
        <v>1779</v>
      </c>
      <c r="C72" s="9">
        <v>322367</v>
      </c>
      <c r="D72" s="8" t="s">
        <v>2129</v>
      </c>
      <c r="E72" s="10">
        <v>45796</v>
      </c>
    </row>
    <row r="73" spans="1:5" x14ac:dyDescent="0.25">
      <c r="A73" s="8" t="s">
        <v>201</v>
      </c>
      <c r="B73" s="8" t="s">
        <v>1780</v>
      </c>
      <c r="C73" s="9">
        <v>307693</v>
      </c>
      <c r="D73" s="8" t="s">
        <v>2129</v>
      </c>
      <c r="E73" s="10">
        <v>45179</v>
      </c>
    </row>
    <row r="74" spans="1:5" x14ac:dyDescent="0.25">
      <c r="A74" s="8" t="s">
        <v>201</v>
      </c>
      <c r="B74" s="8" t="s">
        <v>1781</v>
      </c>
      <c r="C74" s="9">
        <v>510507</v>
      </c>
      <c r="D74" s="8" t="s">
        <v>2133</v>
      </c>
      <c r="E74" s="10">
        <v>45529</v>
      </c>
    </row>
    <row r="75" spans="1:5" x14ac:dyDescent="0.25">
      <c r="A75" s="8" t="s">
        <v>201</v>
      </c>
      <c r="B75" s="8" t="s">
        <v>1782</v>
      </c>
      <c r="C75" s="9">
        <v>380909</v>
      </c>
      <c r="D75" s="8" t="s">
        <v>2134</v>
      </c>
      <c r="E75" s="10">
        <v>45534</v>
      </c>
    </row>
    <row r="76" spans="1:5" x14ac:dyDescent="0.25">
      <c r="A76" s="8" t="s">
        <v>201</v>
      </c>
      <c r="B76" s="8" t="s">
        <v>1783</v>
      </c>
      <c r="C76" s="9">
        <v>512168</v>
      </c>
      <c r="D76" s="8" t="s">
        <v>2131</v>
      </c>
      <c r="E76" s="10">
        <v>45692</v>
      </c>
    </row>
    <row r="77" spans="1:5" x14ac:dyDescent="0.25">
      <c r="A77" s="8" t="s">
        <v>201</v>
      </c>
      <c r="B77" s="8" t="s">
        <v>1784</v>
      </c>
      <c r="C77" s="9">
        <v>600727</v>
      </c>
      <c r="D77" s="8" t="s">
        <v>2131</v>
      </c>
      <c r="E77" s="10">
        <v>45164</v>
      </c>
    </row>
    <row r="78" spans="1:5" x14ac:dyDescent="0.25">
      <c r="A78" s="8" t="s">
        <v>201</v>
      </c>
      <c r="B78" s="8" t="s">
        <v>1785</v>
      </c>
      <c r="C78" s="9">
        <v>369545</v>
      </c>
      <c r="D78" s="8" t="s">
        <v>2133</v>
      </c>
      <c r="E78" s="10">
        <v>45665</v>
      </c>
    </row>
    <row r="79" spans="1:5" x14ac:dyDescent="0.25">
      <c r="A79" s="8" t="s">
        <v>201</v>
      </c>
      <c r="B79" s="8" t="s">
        <v>1786</v>
      </c>
      <c r="C79" s="9">
        <v>384342</v>
      </c>
      <c r="D79" s="8" t="s">
        <v>2135</v>
      </c>
      <c r="E79" s="10">
        <v>45637</v>
      </c>
    </row>
    <row r="80" spans="1:5" x14ac:dyDescent="0.25">
      <c r="A80" s="8" t="s">
        <v>201</v>
      </c>
      <c r="B80" s="8" t="s">
        <v>1787</v>
      </c>
      <c r="C80" s="9">
        <v>218132</v>
      </c>
      <c r="D80" s="8" t="s">
        <v>2136</v>
      </c>
      <c r="E80" s="10">
        <v>45442</v>
      </c>
    </row>
    <row r="81" spans="1:5" x14ac:dyDescent="0.25">
      <c r="A81" s="8" t="s">
        <v>201</v>
      </c>
      <c r="B81" s="8" t="s">
        <v>1770</v>
      </c>
      <c r="C81" s="9">
        <v>530585</v>
      </c>
      <c r="D81" s="8" t="s">
        <v>2129</v>
      </c>
      <c r="E81" s="10">
        <v>45467</v>
      </c>
    </row>
    <row r="82" spans="1:5" x14ac:dyDescent="0.25">
      <c r="A82" s="8" t="s">
        <v>201</v>
      </c>
      <c r="B82" s="8" t="s">
        <v>1771</v>
      </c>
      <c r="C82" s="9">
        <v>677490</v>
      </c>
      <c r="D82" s="8" t="s">
        <v>2134</v>
      </c>
      <c r="E82" s="10">
        <v>45237</v>
      </c>
    </row>
    <row r="83" spans="1:5" x14ac:dyDescent="0.25">
      <c r="A83" s="8" t="s">
        <v>201</v>
      </c>
      <c r="B83" s="8" t="s">
        <v>1772</v>
      </c>
      <c r="C83" s="9">
        <v>304259</v>
      </c>
      <c r="D83" s="8" t="s">
        <v>2132</v>
      </c>
      <c r="E83" s="10">
        <v>45689</v>
      </c>
    </row>
    <row r="84" spans="1:5" x14ac:dyDescent="0.25">
      <c r="A84" s="8" t="s">
        <v>201</v>
      </c>
      <c r="B84" s="8" t="s">
        <v>1773</v>
      </c>
      <c r="C84" s="9">
        <v>579526</v>
      </c>
      <c r="D84" s="8" t="s">
        <v>2136</v>
      </c>
      <c r="E84" s="10">
        <v>45780</v>
      </c>
    </row>
    <row r="85" spans="1:5" x14ac:dyDescent="0.25">
      <c r="A85" s="8" t="s">
        <v>201</v>
      </c>
      <c r="B85" s="8" t="s">
        <v>1774</v>
      </c>
      <c r="C85" s="9">
        <v>589637</v>
      </c>
      <c r="D85" s="8" t="s">
        <v>2134</v>
      </c>
      <c r="E85" s="10">
        <v>45354</v>
      </c>
    </row>
    <row r="86" spans="1:5" x14ac:dyDescent="0.25">
      <c r="A86" s="8" t="s">
        <v>201</v>
      </c>
      <c r="B86" s="8" t="s">
        <v>1775</v>
      </c>
      <c r="C86" s="9">
        <v>528693</v>
      </c>
      <c r="D86" s="8" t="s">
        <v>2129</v>
      </c>
      <c r="E86" s="10">
        <v>45840</v>
      </c>
    </row>
    <row r="87" spans="1:5" x14ac:dyDescent="0.25">
      <c r="A87" s="8" t="s">
        <v>201</v>
      </c>
      <c r="B87" s="8" t="s">
        <v>1776</v>
      </c>
      <c r="C87" s="9">
        <v>375135</v>
      </c>
      <c r="D87" s="8" t="s">
        <v>2130</v>
      </c>
      <c r="E87" s="10">
        <v>45245</v>
      </c>
    </row>
    <row r="88" spans="1:5" x14ac:dyDescent="0.25">
      <c r="A88" s="8" t="s">
        <v>247</v>
      </c>
      <c r="B88" s="8" t="s">
        <v>2128</v>
      </c>
      <c r="C88" s="9">
        <v>143222</v>
      </c>
      <c r="D88" s="8" t="s">
        <v>2129</v>
      </c>
      <c r="E88" s="10">
        <v>45689</v>
      </c>
    </row>
    <row r="89" spans="1:5" x14ac:dyDescent="0.25">
      <c r="A89" s="8" t="s">
        <v>247</v>
      </c>
      <c r="B89" s="8" t="s">
        <v>1788</v>
      </c>
      <c r="C89" s="9">
        <v>173562</v>
      </c>
      <c r="D89" s="8" t="s">
        <v>2130</v>
      </c>
      <c r="E89" s="10">
        <v>45801</v>
      </c>
    </row>
    <row r="90" spans="1:5" x14ac:dyDescent="0.25">
      <c r="A90" s="8" t="s">
        <v>247</v>
      </c>
      <c r="B90" s="8" t="s">
        <v>1778</v>
      </c>
      <c r="C90" s="9">
        <v>172446</v>
      </c>
      <c r="D90" s="8" t="s">
        <v>2134</v>
      </c>
      <c r="E90" s="10">
        <v>45841</v>
      </c>
    </row>
    <row r="91" spans="1:5" x14ac:dyDescent="0.25">
      <c r="A91" s="8" t="s">
        <v>247</v>
      </c>
      <c r="B91" s="8" t="s">
        <v>1779</v>
      </c>
      <c r="C91" s="9">
        <v>142951</v>
      </c>
      <c r="D91" s="8" t="s">
        <v>2132</v>
      </c>
      <c r="E91" s="10">
        <v>45163</v>
      </c>
    </row>
    <row r="92" spans="1:5" x14ac:dyDescent="0.25">
      <c r="A92" s="8" t="s">
        <v>247</v>
      </c>
      <c r="B92" s="8" t="s">
        <v>1780</v>
      </c>
      <c r="C92" s="9">
        <v>170055</v>
      </c>
      <c r="D92" s="8" t="s">
        <v>2135</v>
      </c>
      <c r="E92" s="10">
        <v>45873</v>
      </c>
    </row>
    <row r="93" spans="1:5" x14ac:dyDescent="0.25">
      <c r="A93" s="8" t="s">
        <v>247</v>
      </c>
      <c r="B93" s="8" t="s">
        <v>1781</v>
      </c>
      <c r="C93" s="9">
        <v>138735</v>
      </c>
      <c r="D93" s="8" t="s">
        <v>2133</v>
      </c>
      <c r="E93" s="10">
        <v>45177</v>
      </c>
    </row>
    <row r="94" spans="1:5" x14ac:dyDescent="0.25">
      <c r="A94" s="8" t="s">
        <v>247</v>
      </c>
      <c r="B94" s="8" t="s">
        <v>1782</v>
      </c>
      <c r="C94" s="9">
        <v>148210</v>
      </c>
      <c r="D94" s="8" t="s">
        <v>2134</v>
      </c>
      <c r="E94" s="10">
        <v>45214</v>
      </c>
    </row>
    <row r="95" spans="1:5" x14ac:dyDescent="0.25">
      <c r="A95" s="8" t="s">
        <v>247</v>
      </c>
      <c r="B95" s="8" t="s">
        <v>1783</v>
      </c>
      <c r="C95" s="9">
        <v>144768</v>
      </c>
      <c r="D95" s="8" t="s">
        <v>2136</v>
      </c>
      <c r="E95" s="10">
        <v>45321</v>
      </c>
    </row>
    <row r="96" spans="1:5" x14ac:dyDescent="0.25">
      <c r="A96" s="8" t="s">
        <v>247</v>
      </c>
      <c r="B96" s="8" t="s">
        <v>1784</v>
      </c>
      <c r="C96" s="9">
        <v>194243</v>
      </c>
      <c r="D96" s="8" t="s">
        <v>2131</v>
      </c>
      <c r="E96" s="10">
        <v>45710</v>
      </c>
    </row>
    <row r="97" spans="1:5" x14ac:dyDescent="0.25">
      <c r="A97" s="8" t="s">
        <v>247</v>
      </c>
      <c r="B97" s="8" t="s">
        <v>1785</v>
      </c>
      <c r="C97" s="9">
        <v>98039</v>
      </c>
      <c r="D97" s="8" t="s">
        <v>2134</v>
      </c>
      <c r="E97" s="10">
        <v>45727</v>
      </c>
    </row>
    <row r="98" spans="1:5" x14ac:dyDescent="0.25">
      <c r="A98" s="8" t="s">
        <v>247</v>
      </c>
      <c r="B98" s="8" t="s">
        <v>1786</v>
      </c>
      <c r="C98" s="9">
        <v>177280</v>
      </c>
      <c r="D98" s="8" t="s">
        <v>2129</v>
      </c>
      <c r="E98" s="10">
        <v>45403</v>
      </c>
    </row>
    <row r="99" spans="1:5" x14ac:dyDescent="0.25">
      <c r="A99" s="8" t="s">
        <v>247</v>
      </c>
      <c r="B99" s="8" t="s">
        <v>1787</v>
      </c>
      <c r="C99" s="9">
        <v>166199</v>
      </c>
      <c r="D99" s="8" t="s">
        <v>2130</v>
      </c>
      <c r="E99" s="10">
        <v>45536</v>
      </c>
    </row>
    <row r="100" spans="1:5" x14ac:dyDescent="0.25">
      <c r="A100" s="8" t="s">
        <v>247</v>
      </c>
      <c r="B100" s="8" t="s">
        <v>1770</v>
      </c>
      <c r="C100" s="9">
        <v>65988</v>
      </c>
      <c r="D100" s="8" t="s">
        <v>2135</v>
      </c>
      <c r="E100" s="10">
        <v>45784</v>
      </c>
    </row>
    <row r="101" spans="1:5" x14ac:dyDescent="0.25">
      <c r="A101" s="8" t="s">
        <v>247</v>
      </c>
      <c r="B101" s="8" t="s">
        <v>1771</v>
      </c>
      <c r="C101" s="9">
        <v>185710</v>
      </c>
      <c r="D101" s="8" t="s">
        <v>2130</v>
      </c>
      <c r="E101" s="10">
        <v>45582</v>
      </c>
    </row>
    <row r="102" spans="1:5" x14ac:dyDescent="0.25">
      <c r="A102" s="8" t="s">
        <v>247</v>
      </c>
      <c r="B102" s="8" t="s">
        <v>1772</v>
      </c>
      <c r="C102" s="9">
        <v>190467</v>
      </c>
      <c r="D102" s="8" t="s">
        <v>2133</v>
      </c>
      <c r="E102" s="10">
        <v>45156</v>
      </c>
    </row>
    <row r="103" spans="1:5" x14ac:dyDescent="0.25">
      <c r="A103" s="8" t="s">
        <v>247</v>
      </c>
      <c r="B103" s="8" t="s">
        <v>1773</v>
      </c>
      <c r="C103" s="9">
        <v>137053</v>
      </c>
      <c r="D103" s="8" t="s">
        <v>2130</v>
      </c>
      <c r="E103" s="10">
        <v>45828</v>
      </c>
    </row>
    <row r="104" spans="1:5" x14ac:dyDescent="0.25">
      <c r="A104" s="8" t="s">
        <v>247</v>
      </c>
      <c r="B104" s="8" t="s">
        <v>1774</v>
      </c>
      <c r="C104" s="9">
        <v>170984</v>
      </c>
      <c r="D104" s="8" t="s">
        <v>2134</v>
      </c>
      <c r="E104" s="10">
        <v>45686</v>
      </c>
    </row>
    <row r="105" spans="1:5" x14ac:dyDescent="0.25">
      <c r="A105" s="8" t="s">
        <v>247</v>
      </c>
      <c r="B105" s="8" t="s">
        <v>1775</v>
      </c>
      <c r="C105" s="9">
        <v>162705</v>
      </c>
      <c r="D105" s="8" t="s">
        <v>2136</v>
      </c>
      <c r="E105" s="10">
        <v>45795</v>
      </c>
    </row>
    <row r="106" spans="1:5" x14ac:dyDescent="0.25">
      <c r="A106" s="8" t="s">
        <v>247</v>
      </c>
      <c r="B106" s="8" t="s">
        <v>1776</v>
      </c>
      <c r="C106" s="9">
        <v>237594</v>
      </c>
      <c r="D106" s="8" t="s">
        <v>2134</v>
      </c>
      <c r="E106" s="10">
        <v>45738</v>
      </c>
    </row>
    <row r="107" spans="1:5" x14ac:dyDescent="0.25">
      <c r="A107" s="8" t="s">
        <v>247</v>
      </c>
      <c r="B107" s="8" t="s">
        <v>1777</v>
      </c>
      <c r="C107" s="9">
        <v>171657</v>
      </c>
      <c r="D107" s="8" t="s">
        <v>2136</v>
      </c>
      <c r="E107" s="10">
        <v>45856</v>
      </c>
    </row>
    <row r="108" spans="1:5" x14ac:dyDescent="0.25">
      <c r="A108" s="8" t="s">
        <v>247</v>
      </c>
      <c r="B108" s="8" t="s">
        <v>2137</v>
      </c>
      <c r="C108" s="9">
        <v>156534</v>
      </c>
      <c r="D108" s="8" t="s">
        <v>2134</v>
      </c>
      <c r="E108" s="10">
        <v>45505</v>
      </c>
    </row>
    <row r="109" spans="1:5" x14ac:dyDescent="0.25">
      <c r="A109" s="8" t="s">
        <v>247</v>
      </c>
      <c r="B109" s="8" t="s">
        <v>2138</v>
      </c>
      <c r="C109" s="9">
        <v>194247</v>
      </c>
      <c r="D109" s="8" t="s">
        <v>2134</v>
      </c>
      <c r="E109" s="10">
        <v>45435</v>
      </c>
    </row>
    <row r="110" spans="1:5" x14ac:dyDescent="0.25">
      <c r="A110" s="8" t="s">
        <v>247</v>
      </c>
      <c r="B110" s="8" t="s">
        <v>2139</v>
      </c>
      <c r="C110" s="9">
        <v>213796</v>
      </c>
      <c r="D110" s="8" t="s">
        <v>2131</v>
      </c>
      <c r="E110" s="10">
        <v>45760</v>
      </c>
    </row>
    <row r="111" spans="1:5" x14ac:dyDescent="0.25">
      <c r="A111" s="8" t="s">
        <v>247</v>
      </c>
      <c r="B111" s="8" t="s">
        <v>2140</v>
      </c>
      <c r="C111" s="9">
        <v>231499</v>
      </c>
      <c r="D111" s="8" t="s">
        <v>2134</v>
      </c>
      <c r="E111" s="10">
        <v>45427</v>
      </c>
    </row>
    <row r="112" spans="1:5" x14ac:dyDescent="0.25">
      <c r="A112" s="8" t="s">
        <v>247</v>
      </c>
      <c r="B112" s="8" t="s">
        <v>2141</v>
      </c>
      <c r="C112" s="9">
        <v>129719</v>
      </c>
      <c r="D112" s="8" t="s">
        <v>2135</v>
      </c>
      <c r="E112" s="10">
        <v>45529</v>
      </c>
    </row>
    <row r="113" spans="1:5" x14ac:dyDescent="0.25">
      <c r="A113" s="8" t="s">
        <v>308</v>
      </c>
      <c r="B113" s="8" t="s">
        <v>1779</v>
      </c>
      <c r="C113" s="9">
        <v>121741</v>
      </c>
      <c r="D113" s="8" t="s">
        <v>2130</v>
      </c>
      <c r="E113" s="10">
        <v>45815</v>
      </c>
    </row>
    <row r="114" spans="1:5" x14ac:dyDescent="0.25">
      <c r="A114" s="8" t="s">
        <v>308</v>
      </c>
      <c r="B114" s="8" t="s">
        <v>1780</v>
      </c>
      <c r="C114" s="9">
        <v>92858</v>
      </c>
      <c r="D114" s="8" t="s">
        <v>2136</v>
      </c>
      <c r="E114" s="10">
        <v>45624</v>
      </c>
    </row>
    <row r="115" spans="1:5" x14ac:dyDescent="0.25">
      <c r="A115" s="8" t="s">
        <v>308</v>
      </c>
      <c r="B115" s="8" t="s">
        <v>1781</v>
      </c>
      <c r="C115" s="9">
        <v>173720</v>
      </c>
      <c r="D115" s="8" t="s">
        <v>2132</v>
      </c>
      <c r="E115" s="10">
        <v>45685</v>
      </c>
    </row>
    <row r="116" spans="1:5" x14ac:dyDescent="0.25">
      <c r="A116" s="8" t="s">
        <v>308</v>
      </c>
      <c r="B116" s="8" t="s">
        <v>1782</v>
      </c>
      <c r="C116" s="9">
        <v>111229</v>
      </c>
      <c r="D116" s="8" t="s">
        <v>2129</v>
      </c>
      <c r="E116" s="10">
        <v>45278</v>
      </c>
    </row>
    <row r="117" spans="1:5" x14ac:dyDescent="0.25">
      <c r="A117" s="8" t="s">
        <v>308</v>
      </c>
      <c r="B117" s="8" t="s">
        <v>1783</v>
      </c>
      <c r="C117" s="9">
        <v>136232</v>
      </c>
      <c r="D117" s="8" t="s">
        <v>2130</v>
      </c>
      <c r="E117" s="10">
        <v>45697</v>
      </c>
    </row>
    <row r="118" spans="1:5" x14ac:dyDescent="0.25">
      <c r="A118" s="8" t="s">
        <v>308</v>
      </c>
      <c r="B118" s="8" t="s">
        <v>1784</v>
      </c>
      <c r="C118" s="9">
        <v>105385</v>
      </c>
      <c r="D118" s="8" t="s">
        <v>2131</v>
      </c>
      <c r="E118" s="10">
        <v>45788</v>
      </c>
    </row>
    <row r="119" spans="1:5" x14ac:dyDescent="0.25">
      <c r="A119" s="8" t="s">
        <v>308</v>
      </c>
      <c r="B119" s="8" t="s">
        <v>1785</v>
      </c>
      <c r="C119" s="9">
        <v>123646</v>
      </c>
      <c r="D119" s="8" t="s">
        <v>2132</v>
      </c>
      <c r="E119" s="10">
        <v>45444</v>
      </c>
    </row>
    <row r="120" spans="1:5" x14ac:dyDescent="0.25">
      <c r="A120" s="8" t="s">
        <v>308</v>
      </c>
      <c r="B120" s="8" t="s">
        <v>1786</v>
      </c>
      <c r="C120" s="9">
        <v>60300</v>
      </c>
      <c r="D120" s="8" t="s">
        <v>2133</v>
      </c>
      <c r="E120" s="10">
        <v>45150</v>
      </c>
    </row>
    <row r="121" spans="1:5" x14ac:dyDescent="0.25">
      <c r="A121" s="8" t="s">
        <v>308</v>
      </c>
      <c r="B121" s="8" t="s">
        <v>1787</v>
      </c>
      <c r="C121" s="9">
        <v>138516</v>
      </c>
      <c r="D121" s="8" t="s">
        <v>2132</v>
      </c>
      <c r="E121" s="10">
        <v>45265</v>
      </c>
    </row>
    <row r="122" spans="1:5" x14ac:dyDescent="0.25">
      <c r="A122" s="8" t="s">
        <v>308</v>
      </c>
      <c r="B122" s="8" t="s">
        <v>1770</v>
      </c>
      <c r="C122" s="9">
        <v>145729</v>
      </c>
      <c r="D122" s="8" t="s">
        <v>2136</v>
      </c>
      <c r="E122" s="10">
        <v>45144</v>
      </c>
    </row>
    <row r="123" spans="1:5" x14ac:dyDescent="0.25">
      <c r="A123" s="8" t="s">
        <v>308</v>
      </c>
      <c r="B123" s="8" t="s">
        <v>1771</v>
      </c>
      <c r="C123" s="9">
        <v>93644</v>
      </c>
      <c r="D123" s="8" t="s">
        <v>2130</v>
      </c>
      <c r="E123" s="10">
        <v>45689</v>
      </c>
    </row>
    <row r="124" spans="1:5" x14ac:dyDescent="0.25">
      <c r="A124" s="8" t="s">
        <v>308</v>
      </c>
      <c r="B124" s="8" t="s">
        <v>1772</v>
      </c>
      <c r="C124" s="9">
        <v>60189</v>
      </c>
      <c r="D124" s="8" t="s">
        <v>2134</v>
      </c>
      <c r="E124" s="10">
        <v>45451</v>
      </c>
    </row>
    <row r="125" spans="1:5" x14ac:dyDescent="0.25">
      <c r="A125" s="8" t="s">
        <v>308</v>
      </c>
      <c r="B125" s="8" t="s">
        <v>1773</v>
      </c>
      <c r="C125" s="9">
        <v>150682</v>
      </c>
      <c r="D125" s="8" t="s">
        <v>2129</v>
      </c>
      <c r="E125" s="10">
        <v>45898</v>
      </c>
    </row>
    <row r="126" spans="1:5" x14ac:dyDescent="0.25">
      <c r="A126" s="8" t="s">
        <v>308</v>
      </c>
      <c r="B126" s="8" t="s">
        <v>1774</v>
      </c>
      <c r="C126" s="9">
        <v>147196</v>
      </c>
      <c r="D126" s="8" t="s">
        <v>2133</v>
      </c>
      <c r="E126" s="10">
        <v>45355</v>
      </c>
    </row>
    <row r="127" spans="1:5" x14ac:dyDescent="0.25">
      <c r="A127" s="8" t="s">
        <v>308</v>
      </c>
      <c r="B127" s="8" t="s">
        <v>1775</v>
      </c>
      <c r="C127" s="9">
        <v>131669</v>
      </c>
      <c r="D127" s="8" t="s">
        <v>2130</v>
      </c>
      <c r="E127" s="10">
        <v>45800</v>
      </c>
    </row>
    <row r="128" spans="1:5" x14ac:dyDescent="0.25">
      <c r="A128" s="8" t="s">
        <v>308</v>
      </c>
      <c r="B128" s="8" t="s">
        <v>1776</v>
      </c>
      <c r="C128" s="9">
        <v>104841</v>
      </c>
      <c r="D128" s="8" t="s">
        <v>2132</v>
      </c>
      <c r="E128" s="10">
        <v>45303</v>
      </c>
    </row>
    <row r="129" spans="1:5" x14ac:dyDescent="0.25">
      <c r="A129" s="8" t="s">
        <v>308</v>
      </c>
      <c r="B129" s="8" t="s">
        <v>1777</v>
      </c>
      <c r="C129" s="9">
        <v>102233</v>
      </c>
      <c r="D129" s="8" t="s">
        <v>2132</v>
      </c>
      <c r="E129" s="10">
        <v>45365</v>
      </c>
    </row>
    <row r="130" spans="1:5" x14ac:dyDescent="0.25">
      <c r="A130" s="8" t="s">
        <v>308</v>
      </c>
      <c r="B130" s="8" t="s">
        <v>2137</v>
      </c>
      <c r="C130" s="9">
        <v>146592</v>
      </c>
      <c r="D130" s="8" t="s">
        <v>2131</v>
      </c>
      <c r="E130" s="10">
        <v>45337</v>
      </c>
    </row>
    <row r="131" spans="1:5" x14ac:dyDescent="0.25">
      <c r="A131" s="8" t="s">
        <v>308</v>
      </c>
      <c r="B131" s="8" t="s">
        <v>2138</v>
      </c>
      <c r="C131" s="9">
        <v>101114</v>
      </c>
      <c r="D131" s="8" t="s">
        <v>2134</v>
      </c>
      <c r="E131" s="10">
        <v>45324</v>
      </c>
    </row>
    <row r="132" spans="1:5" x14ac:dyDescent="0.25">
      <c r="A132" s="8" t="s">
        <v>308</v>
      </c>
      <c r="B132" s="8" t="s">
        <v>2139</v>
      </c>
      <c r="C132" s="9">
        <v>114256</v>
      </c>
      <c r="D132" s="8" t="s">
        <v>2136</v>
      </c>
      <c r="E132" s="10">
        <v>45701</v>
      </c>
    </row>
    <row r="133" spans="1:5" x14ac:dyDescent="0.25">
      <c r="A133" s="8" t="s">
        <v>308</v>
      </c>
      <c r="B133" s="8" t="s">
        <v>2140</v>
      </c>
      <c r="C133" s="9">
        <v>109784</v>
      </c>
      <c r="D133" s="8" t="s">
        <v>2135</v>
      </c>
      <c r="E133" s="10">
        <v>45799</v>
      </c>
    </row>
    <row r="134" spans="1:5" x14ac:dyDescent="0.25">
      <c r="A134" s="8" t="s">
        <v>361</v>
      </c>
      <c r="B134" s="8" t="s">
        <v>2128</v>
      </c>
      <c r="C134" s="9">
        <v>306401</v>
      </c>
      <c r="D134" s="8" t="s">
        <v>2134</v>
      </c>
      <c r="E134" s="10">
        <v>45436</v>
      </c>
    </row>
    <row r="135" spans="1:5" x14ac:dyDescent="0.25">
      <c r="A135" s="8" t="s">
        <v>361</v>
      </c>
      <c r="B135" s="8" t="s">
        <v>1788</v>
      </c>
      <c r="C135" s="9">
        <v>275584</v>
      </c>
      <c r="D135" s="8" t="s">
        <v>2134</v>
      </c>
      <c r="E135" s="10">
        <v>45395</v>
      </c>
    </row>
    <row r="136" spans="1:5" x14ac:dyDescent="0.25">
      <c r="A136" s="8" t="s">
        <v>361</v>
      </c>
      <c r="B136" s="8" t="s">
        <v>1778</v>
      </c>
      <c r="C136" s="9">
        <v>283870</v>
      </c>
      <c r="D136" s="8" t="s">
        <v>2134</v>
      </c>
      <c r="E136" s="10">
        <v>45341</v>
      </c>
    </row>
    <row r="137" spans="1:5" x14ac:dyDescent="0.25">
      <c r="A137" s="8" t="s">
        <v>361</v>
      </c>
      <c r="B137" s="8" t="s">
        <v>1779</v>
      </c>
      <c r="C137" s="9">
        <v>410016</v>
      </c>
      <c r="D137" s="8" t="s">
        <v>2135</v>
      </c>
      <c r="E137" s="10">
        <v>45477</v>
      </c>
    </row>
    <row r="138" spans="1:5" x14ac:dyDescent="0.25">
      <c r="A138" s="8" t="s">
        <v>361</v>
      </c>
      <c r="B138" s="8" t="s">
        <v>1780</v>
      </c>
      <c r="C138" s="9">
        <v>320334</v>
      </c>
      <c r="D138" s="8" t="s">
        <v>2133</v>
      </c>
      <c r="E138" s="10">
        <v>45270</v>
      </c>
    </row>
    <row r="139" spans="1:5" x14ac:dyDescent="0.25">
      <c r="A139" s="8" t="s">
        <v>361</v>
      </c>
      <c r="B139" s="8" t="s">
        <v>1781</v>
      </c>
      <c r="C139" s="9">
        <v>310275</v>
      </c>
      <c r="D139" s="8" t="s">
        <v>2129</v>
      </c>
      <c r="E139" s="10">
        <v>45241</v>
      </c>
    </row>
    <row r="140" spans="1:5" x14ac:dyDescent="0.25">
      <c r="A140" s="8" t="s">
        <v>361</v>
      </c>
      <c r="B140" s="8" t="s">
        <v>1782</v>
      </c>
      <c r="C140" s="9">
        <v>341362</v>
      </c>
      <c r="D140" s="8" t="s">
        <v>2131</v>
      </c>
      <c r="E140" s="10">
        <v>45773</v>
      </c>
    </row>
    <row r="141" spans="1:5" x14ac:dyDescent="0.25">
      <c r="A141" s="8" t="s">
        <v>361</v>
      </c>
      <c r="B141" s="8" t="s">
        <v>1783</v>
      </c>
      <c r="C141" s="9">
        <v>203976</v>
      </c>
      <c r="D141" s="8" t="s">
        <v>2134</v>
      </c>
      <c r="E141" s="10">
        <v>45337</v>
      </c>
    </row>
    <row r="142" spans="1:5" x14ac:dyDescent="0.25">
      <c r="A142" s="8" t="s">
        <v>361</v>
      </c>
      <c r="B142" s="8" t="s">
        <v>1784</v>
      </c>
      <c r="C142" s="9">
        <v>355226</v>
      </c>
      <c r="D142" s="8" t="s">
        <v>2133</v>
      </c>
      <c r="E142" s="10">
        <v>45636</v>
      </c>
    </row>
    <row r="143" spans="1:5" x14ac:dyDescent="0.25">
      <c r="A143" s="8" t="s">
        <v>361</v>
      </c>
      <c r="B143" s="8" t="s">
        <v>1785</v>
      </c>
      <c r="C143" s="9">
        <v>304625</v>
      </c>
      <c r="D143" s="8" t="s">
        <v>2135</v>
      </c>
      <c r="E143" s="10">
        <v>45475</v>
      </c>
    </row>
    <row r="144" spans="1:5" x14ac:dyDescent="0.25">
      <c r="A144" s="8" t="s">
        <v>361</v>
      </c>
      <c r="B144" s="8" t="s">
        <v>1786</v>
      </c>
      <c r="C144" s="9">
        <v>239498</v>
      </c>
      <c r="D144" s="8" t="s">
        <v>2131</v>
      </c>
      <c r="E144" s="10">
        <v>45849</v>
      </c>
    </row>
    <row r="145" spans="1:5" x14ac:dyDescent="0.25">
      <c r="A145" s="8" t="s">
        <v>361</v>
      </c>
      <c r="B145" s="8" t="s">
        <v>1787</v>
      </c>
      <c r="C145" s="9">
        <v>276370</v>
      </c>
      <c r="D145" s="8" t="s">
        <v>2132</v>
      </c>
      <c r="E145" s="10">
        <v>45718</v>
      </c>
    </row>
    <row r="146" spans="1:5" x14ac:dyDescent="0.25">
      <c r="A146" s="8" t="s">
        <v>361</v>
      </c>
      <c r="B146" s="8" t="s">
        <v>1770</v>
      </c>
      <c r="C146" s="9">
        <v>320929</v>
      </c>
      <c r="D146" s="8" t="s">
        <v>2133</v>
      </c>
      <c r="E146" s="10">
        <v>45462</v>
      </c>
    </row>
    <row r="147" spans="1:5" x14ac:dyDescent="0.25">
      <c r="A147" s="8" t="s">
        <v>361</v>
      </c>
      <c r="B147" s="8" t="s">
        <v>1771</v>
      </c>
      <c r="C147" s="9">
        <v>289286</v>
      </c>
      <c r="D147" s="8" t="s">
        <v>2130</v>
      </c>
      <c r="E147" s="10">
        <v>45311</v>
      </c>
    </row>
    <row r="148" spans="1:5" x14ac:dyDescent="0.25">
      <c r="A148" s="8" t="s">
        <v>361</v>
      </c>
      <c r="B148" s="8" t="s">
        <v>1772</v>
      </c>
      <c r="C148" s="9">
        <v>360080</v>
      </c>
      <c r="D148" s="8" t="s">
        <v>2136</v>
      </c>
      <c r="E148" s="10">
        <v>45459</v>
      </c>
    </row>
    <row r="149" spans="1:5" x14ac:dyDescent="0.25">
      <c r="A149" s="8" t="s">
        <v>361</v>
      </c>
      <c r="B149" s="8" t="s">
        <v>1773</v>
      </c>
      <c r="C149" s="9">
        <v>229980</v>
      </c>
      <c r="D149" s="8" t="s">
        <v>2129</v>
      </c>
      <c r="E149" s="10">
        <v>45365</v>
      </c>
    </row>
    <row r="150" spans="1:5" x14ac:dyDescent="0.25">
      <c r="A150" s="8" t="s">
        <v>361</v>
      </c>
      <c r="B150" s="8" t="s">
        <v>1774</v>
      </c>
      <c r="C150" s="9">
        <v>203533</v>
      </c>
      <c r="D150" s="8" t="s">
        <v>2130</v>
      </c>
      <c r="E150" s="10">
        <v>45422</v>
      </c>
    </row>
    <row r="151" spans="1:5" x14ac:dyDescent="0.25">
      <c r="A151" s="8" t="s">
        <v>361</v>
      </c>
      <c r="B151" s="8" t="s">
        <v>1775</v>
      </c>
      <c r="C151" s="9">
        <v>229235</v>
      </c>
      <c r="D151" s="8" t="s">
        <v>2133</v>
      </c>
      <c r="E151" s="10">
        <v>45276</v>
      </c>
    </row>
    <row r="152" spans="1:5" x14ac:dyDescent="0.25">
      <c r="A152" s="8" t="s">
        <v>361</v>
      </c>
      <c r="B152" s="8" t="s">
        <v>1776</v>
      </c>
      <c r="C152" s="9">
        <v>254181</v>
      </c>
      <c r="D152" s="8" t="s">
        <v>2133</v>
      </c>
      <c r="E152" s="10">
        <v>45630</v>
      </c>
    </row>
    <row r="153" spans="1:5" x14ac:dyDescent="0.25">
      <c r="A153" s="8" t="s">
        <v>361</v>
      </c>
      <c r="B153" s="8" t="s">
        <v>1777</v>
      </c>
      <c r="C153" s="9">
        <v>292682</v>
      </c>
      <c r="D153" s="8" t="s">
        <v>2135</v>
      </c>
      <c r="E153" s="10">
        <v>45595</v>
      </c>
    </row>
    <row r="154" spans="1:5" x14ac:dyDescent="0.25">
      <c r="A154" s="8" t="s">
        <v>361</v>
      </c>
      <c r="B154" s="8" t="s">
        <v>2137</v>
      </c>
      <c r="C154" s="9">
        <v>259718</v>
      </c>
      <c r="D154" s="8" t="s">
        <v>2133</v>
      </c>
      <c r="E154" s="10">
        <v>45451</v>
      </c>
    </row>
    <row r="155" spans="1:5" x14ac:dyDescent="0.25">
      <c r="A155" s="8" t="s">
        <v>361</v>
      </c>
      <c r="B155" s="8" t="s">
        <v>2138</v>
      </c>
      <c r="C155" s="9">
        <v>199138</v>
      </c>
      <c r="D155" s="8" t="s">
        <v>2135</v>
      </c>
      <c r="E155" s="10">
        <v>45703</v>
      </c>
    </row>
    <row r="156" spans="1:5" x14ac:dyDescent="0.25">
      <c r="A156" s="8" t="s">
        <v>361</v>
      </c>
      <c r="B156" s="8" t="s">
        <v>2139</v>
      </c>
      <c r="C156" s="9">
        <v>187393</v>
      </c>
      <c r="D156" s="8" t="s">
        <v>2134</v>
      </c>
      <c r="E156" s="10">
        <v>45318</v>
      </c>
    </row>
    <row r="157" spans="1:5" x14ac:dyDescent="0.25">
      <c r="A157" s="8" t="s">
        <v>361</v>
      </c>
      <c r="B157" s="8" t="s">
        <v>2140</v>
      </c>
      <c r="C157" s="9">
        <v>192679</v>
      </c>
      <c r="D157" s="8" t="s">
        <v>2134</v>
      </c>
      <c r="E157" s="10">
        <v>45426</v>
      </c>
    </row>
    <row r="158" spans="1:5" x14ac:dyDescent="0.25">
      <c r="A158" s="8" t="s">
        <v>361</v>
      </c>
      <c r="B158" s="8" t="s">
        <v>2141</v>
      </c>
      <c r="C158" s="9">
        <v>262770</v>
      </c>
      <c r="D158" s="8" t="s">
        <v>2132</v>
      </c>
      <c r="E158" s="10">
        <v>45690</v>
      </c>
    </row>
    <row r="159" spans="1:5" x14ac:dyDescent="0.25">
      <c r="A159" s="8" t="s">
        <v>397</v>
      </c>
      <c r="B159" s="8" t="s">
        <v>1786</v>
      </c>
      <c r="C159" s="9">
        <v>598613</v>
      </c>
      <c r="D159" s="8" t="s">
        <v>2129</v>
      </c>
      <c r="E159" s="10">
        <v>45408</v>
      </c>
    </row>
    <row r="160" spans="1:5" x14ac:dyDescent="0.25">
      <c r="A160" s="8" t="s">
        <v>397</v>
      </c>
      <c r="B160" s="8" t="s">
        <v>1787</v>
      </c>
      <c r="C160" s="9">
        <v>678824</v>
      </c>
      <c r="D160" s="8" t="s">
        <v>2134</v>
      </c>
      <c r="E160" s="10">
        <v>45883</v>
      </c>
    </row>
    <row r="161" spans="1:5" x14ac:dyDescent="0.25">
      <c r="A161" s="8" t="s">
        <v>397</v>
      </c>
      <c r="B161" s="8" t="s">
        <v>1770</v>
      </c>
      <c r="C161" s="9">
        <v>1000069</v>
      </c>
      <c r="D161" s="8" t="s">
        <v>2134</v>
      </c>
      <c r="E161" s="10">
        <v>45158</v>
      </c>
    </row>
    <row r="162" spans="1:5" x14ac:dyDescent="0.25">
      <c r="A162" s="8" t="s">
        <v>397</v>
      </c>
      <c r="B162" s="8" t="s">
        <v>1771</v>
      </c>
      <c r="C162" s="9">
        <v>531303</v>
      </c>
      <c r="D162" s="8" t="s">
        <v>2136</v>
      </c>
      <c r="E162" s="10">
        <v>45734</v>
      </c>
    </row>
    <row r="163" spans="1:5" x14ac:dyDescent="0.25">
      <c r="A163" s="8" t="s">
        <v>397</v>
      </c>
      <c r="B163" s="8" t="s">
        <v>1772</v>
      </c>
      <c r="C163" s="9">
        <v>807112</v>
      </c>
      <c r="D163" s="8" t="s">
        <v>2130</v>
      </c>
      <c r="E163" s="10">
        <v>45743</v>
      </c>
    </row>
    <row r="164" spans="1:5" x14ac:dyDescent="0.25">
      <c r="A164" s="8" t="s">
        <v>397</v>
      </c>
      <c r="B164" s="8" t="s">
        <v>1773</v>
      </c>
      <c r="C164" s="9">
        <v>528464</v>
      </c>
      <c r="D164" s="8" t="s">
        <v>2129</v>
      </c>
      <c r="E164" s="10">
        <v>45176</v>
      </c>
    </row>
    <row r="165" spans="1:5" x14ac:dyDescent="0.25">
      <c r="A165" s="8" t="s">
        <v>397</v>
      </c>
      <c r="B165" s="8" t="s">
        <v>1774</v>
      </c>
      <c r="C165" s="9">
        <v>500281</v>
      </c>
      <c r="D165" s="8" t="s">
        <v>2131</v>
      </c>
      <c r="E165" s="10">
        <v>45695</v>
      </c>
    </row>
    <row r="166" spans="1:5" x14ac:dyDescent="0.25">
      <c r="A166" s="8" t="s">
        <v>397</v>
      </c>
      <c r="B166" s="8" t="s">
        <v>1775</v>
      </c>
      <c r="C166" s="9">
        <v>820570</v>
      </c>
      <c r="D166" s="8" t="s">
        <v>2135</v>
      </c>
      <c r="E166" s="10">
        <v>45808</v>
      </c>
    </row>
    <row r="167" spans="1:5" x14ac:dyDescent="0.25">
      <c r="A167" s="8" t="s">
        <v>418</v>
      </c>
      <c r="B167" s="8" t="s">
        <v>1783</v>
      </c>
      <c r="C167" s="9">
        <v>990731</v>
      </c>
      <c r="D167" s="8" t="s">
        <v>2132</v>
      </c>
      <c r="E167" s="10">
        <v>45513</v>
      </c>
    </row>
    <row r="168" spans="1:5" x14ac:dyDescent="0.25">
      <c r="A168" s="8" t="s">
        <v>418</v>
      </c>
      <c r="B168" s="8" t="s">
        <v>1784</v>
      </c>
      <c r="C168" s="9">
        <v>1014911</v>
      </c>
      <c r="D168" s="8" t="s">
        <v>2130</v>
      </c>
      <c r="E168" s="10">
        <v>45367</v>
      </c>
    </row>
    <row r="169" spans="1:5" x14ac:dyDescent="0.25">
      <c r="A169" s="8" t="s">
        <v>418</v>
      </c>
      <c r="B169" s="8" t="s">
        <v>1785</v>
      </c>
      <c r="C169" s="9">
        <v>1083136</v>
      </c>
      <c r="D169" s="8" t="s">
        <v>2131</v>
      </c>
      <c r="E169" s="10">
        <v>45276</v>
      </c>
    </row>
    <row r="170" spans="1:5" x14ac:dyDescent="0.25">
      <c r="A170" s="8" t="s">
        <v>418</v>
      </c>
      <c r="B170" s="8" t="s">
        <v>1786</v>
      </c>
      <c r="C170" s="9">
        <v>810126</v>
      </c>
      <c r="D170" s="8" t="s">
        <v>2135</v>
      </c>
      <c r="E170" s="10">
        <v>45652</v>
      </c>
    </row>
    <row r="171" spans="1:5" x14ac:dyDescent="0.25">
      <c r="A171" s="8" t="s">
        <v>418</v>
      </c>
      <c r="B171" s="8" t="s">
        <v>1787</v>
      </c>
      <c r="C171" s="9">
        <v>905968</v>
      </c>
      <c r="D171" s="8" t="s">
        <v>2134</v>
      </c>
      <c r="E171" s="10">
        <v>45545</v>
      </c>
    </row>
    <row r="172" spans="1:5" x14ac:dyDescent="0.25">
      <c r="A172" s="8" t="s">
        <v>418</v>
      </c>
      <c r="B172" s="8" t="s">
        <v>1770</v>
      </c>
      <c r="C172" s="9">
        <v>766030</v>
      </c>
      <c r="D172" s="8" t="s">
        <v>2133</v>
      </c>
      <c r="E172" s="10">
        <v>45653</v>
      </c>
    </row>
    <row r="173" spans="1:5" x14ac:dyDescent="0.25">
      <c r="A173" s="8" t="s">
        <v>418</v>
      </c>
      <c r="B173" s="8" t="s">
        <v>1771</v>
      </c>
      <c r="C173" s="9">
        <v>1121701</v>
      </c>
      <c r="D173" s="8" t="s">
        <v>2136</v>
      </c>
      <c r="E173" s="10">
        <v>45817</v>
      </c>
    </row>
    <row r="174" spans="1:5" x14ac:dyDescent="0.25">
      <c r="A174" s="8" t="s">
        <v>418</v>
      </c>
      <c r="B174" s="8" t="s">
        <v>1772</v>
      </c>
      <c r="C174" s="9">
        <v>654566</v>
      </c>
      <c r="D174" s="8" t="s">
        <v>2129</v>
      </c>
      <c r="E174" s="10">
        <v>45767</v>
      </c>
    </row>
    <row r="175" spans="1:5" x14ac:dyDescent="0.25">
      <c r="A175" s="8" t="s">
        <v>418</v>
      </c>
      <c r="B175" s="8" t="s">
        <v>1773</v>
      </c>
      <c r="C175" s="9">
        <v>953830</v>
      </c>
      <c r="D175" s="8" t="s">
        <v>2132</v>
      </c>
      <c r="E175" s="10">
        <v>45665</v>
      </c>
    </row>
    <row r="176" spans="1:5" x14ac:dyDescent="0.25">
      <c r="A176" s="8" t="s">
        <v>441</v>
      </c>
      <c r="B176" s="8" t="s">
        <v>2128</v>
      </c>
      <c r="C176" s="9">
        <v>79618</v>
      </c>
      <c r="D176" s="8" t="s">
        <v>2132</v>
      </c>
      <c r="E176" s="10">
        <v>45595</v>
      </c>
    </row>
    <row r="177" spans="1:5" x14ac:dyDescent="0.25">
      <c r="A177" s="8" t="s">
        <v>441</v>
      </c>
      <c r="B177" s="8" t="s">
        <v>1788</v>
      </c>
      <c r="C177" s="9">
        <v>111501</v>
      </c>
      <c r="D177" s="8" t="s">
        <v>2132</v>
      </c>
      <c r="E177" s="10">
        <v>45322</v>
      </c>
    </row>
    <row r="178" spans="1:5" x14ac:dyDescent="0.25">
      <c r="A178" s="8" t="s">
        <v>441</v>
      </c>
      <c r="B178" s="8" t="s">
        <v>1778</v>
      </c>
      <c r="C178" s="9">
        <v>64935</v>
      </c>
      <c r="D178" s="8" t="s">
        <v>2132</v>
      </c>
      <c r="E178" s="10">
        <v>45892</v>
      </c>
    </row>
    <row r="179" spans="1:5" x14ac:dyDescent="0.25">
      <c r="A179" s="8" t="s">
        <v>441</v>
      </c>
      <c r="B179" s="8" t="s">
        <v>1779</v>
      </c>
      <c r="C179" s="9">
        <v>114664</v>
      </c>
      <c r="D179" s="8" t="s">
        <v>2135</v>
      </c>
      <c r="E179" s="10">
        <v>45506</v>
      </c>
    </row>
    <row r="180" spans="1:5" x14ac:dyDescent="0.25">
      <c r="A180" s="8" t="s">
        <v>441</v>
      </c>
      <c r="B180" s="8" t="s">
        <v>1780</v>
      </c>
      <c r="C180" s="9">
        <v>162073</v>
      </c>
      <c r="D180" s="8" t="s">
        <v>2136</v>
      </c>
      <c r="E180" s="10">
        <v>45363</v>
      </c>
    </row>
    <row r="181" spans="1:5" x14ac:dyDescent="0.25">
      <c r="A181" s="8" t="s">
        <v>441</v>
      </c>
      <c r="B181" s="8" t="s">
        <v>1781</v>
      </c>
      <c r="C181" s="9">
        <v>93361</v>
      </c>
      <c r="D181" s="8" t="s">
        <v>2135</v>
      </c>
      <c r="E181" s="10">
        <v>45376</v>
      </c>
    </row>
    <row r="182" spans="1:5" x14ac:dyDescent="0.25">
      <c r="A182" s="8" t="s">
        <v>441</v>
      </c>
      <c r="B182" s="8" t="s">
        <v>1782</v>
      </c>
      <c r="C182" s="9">
        <v>101942</v>
      </c>
      <c r="D182" s="8" t="s">
        <v>2134</v>
      </c>
      <c r="E182" s="10">
        <v>45409</v>
      </c>
    </row>
    <row r="183" spans="1:5" x14ac:dyDescent="0.25">
      <c r="A183" s="8" t="s">
        <v>441</v>
      </c>
      <c r="B183" s="8" t="s">
        <v>1783</v>
      </c>
      <c r="C183" s="9">
        <v>132030</v>
      </c>
      <c r="D183" s="8" t="s">
        <v>2133</v>
      </c>
      <c r="E183" s="10">
        <v>45378</v>
      </c>
    </row>
    <row r="184" spans="1:5" x14ac:dyDescent="0.25">
      <c r="A184" s="8" t="s">
        <v>441</v>
      </c>
      <c r="B184" s="8" t="s">
        <v>1784</v>
      </c>
      <c r="C184" s="9">
        <v>109727</v>
      </c>
      <c r="D184" s="8" t="s">
        <v>2136</v>
      </c>
      <c r="E184" s="10">
        <v>45823</v>
      </c>
    </row>
    <row r="185" spans="1:5" x14ac:dyDescent="0.25">
      <c r="A185" s="8" t="s">
        <v>441</v>
      </c>
      <c r="B185" s="8" t="s">
        <v>1785</v>
      </c>
      <c r="C185" s="9">
        <v>141672</v>
      </c>
      <c r="D185" s="8" t="s">
        <v>2129</v>
      </c>
      <c r="E185" s="10">
        <v>45669</v>
      </c>
    </row>
    <row r="186" spans="1:5" x14ac:dyDescent="0.25">
      <c r="A186" s="8" t="s">
        <v>441</v>
      </c>
      <c r="B186" s="8" t="s">
        <v>1786</v>
      </c>
      <c r="C186" s="9">
        <v>119194</v>
      </c>
      <c r="D186" s="8" t="s">
        <v>2133</v>
      </c>
      <c r="E186" s="10">
        <v>45536</v>
      </c>
    </row>
    <row r="187" spans="1:5" x14ac:dyDescent="0.25">
      <c r="A187" s="8" t="s">
        <v>441</v>
      </c>
      <c r="B187" s="8" t="s">
        <v>1787</v>
      </c>
      <c r="C187" s="9">
        <v>132269</v>
      </c>
      <c r="D187" s="8" t="s">
        <v>2135</v>
      </c>
      <c r="E187" s="10">
        <v>45604</v>
      </c>
    </row>
    <row r="188" spans="1:5" x14ac:dyDescent="0.25">
      <c r="A188" s="8" t="s">
        <v>441</v>
      </c>
      <c r="B188" s="8" t="s">
        <v>1770</v>
      </c>
      <c r="C188" s="9">
        <v>54863</v>
      </c>
      <c r="D188" s="8" t="s">
        <v>2136</v>
      </c>
      <c r="E188" s="10">
        <v>45179</v>
      </c>
    </row>
    <row r="189" spans="1:5" x14ac:dyDescent="0.25">
      <c r="A189" s="8" t="s">
        <v>441</v>
      </c>
      <c r="B189" s="8" t="s">
        <v>1771</v>
      </c>
      <c r="C189" s="9">
        <v>111011</v>
      </c>
      <c r="D189" s="8" t="s">
        <v>2133</v>
      </c>
      <c r="E189" s="10">
        <v>45244</v>
      </c>
    </row>
    <row r="190" spans="1:5" x14ac:dyDescent="0.25">
      <c r="A190" s="8" t="s">
        <v>441</v>
      </c>
      <c r="B190" s="8" t="s">
        <v>1772</v>
      </c>
      <c r="C190" s="9">
        <v>78462</v>
      </c>
      <c r="D190" s="8" t="s">
        <v>2131</v>
      </c>
      <c r="E190" s="10">
        <v>45898</v>
      </c>
    </row>
    <row r="191" spans="1:5" x14ac:dyDescent="0.25">
      <c r="A191" s="8" t="s">
        <v>441</v>
      </c>
      <c r="B191" s="8" t="s">
        <v>1773</v>
      </c>
      <c r="C191" s="9">
        <v>97802</v>
      </c>
      <c r="D191" s="8" t="s">
        <v>2131</v>
      </c>
      <c r="E191" s="10">
        <v>45731</v>
      </c>
    </row>
    <row r="192" spans="1:5" x14ac:dyDescent="0.25">
      <c r="A192" s="8" t="s">
        <v>441</v>
      </c>
      <c r="B192" s="8" t="s">
        <v>1774</v>
      </c>
      <c r="C192" s="9">
        <v>120238</v>
      </c>
      <c r="D192" s="8" t="s">
        <v>2132</v>
      </c>
      <c r="E192" s="10">
        <v>45524</v>
      </c>
    </row>
    <row r="193" spans="1:5" x14ac:dyDescent="0.25">
      <c r="A193" s="8" t="s">
        <v>441</v>
      </c>
      <c r="B193" s="8" t="s">
        <v>1775</v>
      </c>
      <c r="C193" s="9">
        <v>102287</v>
      </c>
      <c r="D193" s="8" t="s">
        <v>2130</v>
      </c>
      <c r="E193" s="10">
        <v>45513</v>
      </c>
    </row>
    <row r="194" spans="1:5" x14ac:dyDescent="0.25">
      <c r="A194" s="8" t="s">
        <v>441</v>
      </c>
      <c r="B194" s="8" t="s">
        <v>1776</v>
      </c>
      <c r="C194" s="9">
        <v>87242</v>
      </c>
      <c r="D194" s="8" t="s">
        <v>2134</v>
      </c>
      <c r="E194" s="10">
        <v>45668</v>
      </c>
    </row>
    <row r="195" spans="1:5" x14ac:dyDescent="0.25">
      <c r="A195" s="8" t="s">
        <v>441</v>
      </c>
      <c r="B195" s="8" t="s">
        <v>1777</v>
      </c>
      <c r="C195" s="9">
        <v>142541</v>
      </c>
      <c r="D195" s="8" t="s">
        <v>2131</v>
      </c>
      <c r="E195" s="10">
        <v>45524</v>
      </c>
    </row>
    <row r="196" spans="1:5" x14ac:dyDescent="0.25">
      <c r="A196" s="8" t="s">
        <v>441</v>
      </c>
      <c r="B196" s="8" t="s">
        <v>2137</v>
      </c>
      <c r="C196" s="9">
        <v>135842</v>
      </c>
      <c r="D196" s="8" t="s">
        <v>2129</v>
      </c>
      <c r="E196" s="10">
        <v>45667</v>
      </c>
    </row>
    <row r="197" spans="1:5" x14ac:dyDescent="0.25">
      <c r="A197" s="8" t="s">
        <v>441</v>
      </c>
      <c r="B197" s="8" t="s">
        <v>2138</v>
      </c>
      <c r="C197" s="9">
        <v>71298</v>
      </c>
      <c r="D197" s="8" t="s">
        <v>2130</v>
      </c>
      <c r="E197" s="10">
        <v>45500</v>
      </c>
    </row>
    <row r="198" spans="1:5" x14ac:dyDescent="0.25">
      <c r="A198" s="8" t="s">
        <v>441</v>
      </c>
      <c r="B198" s="8" t="s">
        <v>2139</v>
      </c>
      <c r="C198" s="9">
        <v>129202</v>
      </c>
      <c r="D198" s="8" t="s">
        <v>2133</v>
      </c>
      <c r="E198" s="10">
        <v>45637</v>
      </c>
    </row>
    <row r="199" spans="1:5" x14ac:dyDescent="0.25">
      <c r="A199" s="8" t="s">
        <v>441</v>
      </c>
      <c r="B199" s="8" t="s">
        <v>2140</v>
      </c>
      <c r="C199" s="9">
        <v>113134</v>
      </c>
      <c r="D199" s="8" t="s">
        <v>2135</v>
      </c>
      <c r="E199" s="10">
        <v>45757</v>
      </c>
    </row>
    <row r="200" spans="1:5" x14ac:dyDescent="0.25">
      <c r="A200" s="8" t="s">
        <v>441</v>
      </c>
      <c r="B200" s="8" t="s">
        <v>2141</v>
      </c>
      <c r="C200" s="9">
        <v>114915</v>
      </c>
      <c r="D200" s="8" t="s">
        <v>2136</v>
      </c>
      <c r="E200" s="10">
        <v>45652</v>
      </c>
    </row>
    <row r="201" spans="1:5" x14ac:dyDescent="0.25">
      <c r="A201" s="8" t="s">
        <v>502</v>
      </c>
      <c r="B201" s="8" t="s">
        <v>1780</v>
      </c>
      <c r="C201" s="9">
        <v>563994</v>
      </c>
      <c r="D201" s="8" t="s">
        <v>2132</v>
      </c>
      <c r="E201" s="10">
        <v>45589</v>
      </c>
    </row>
    <row r="202" spans="1:5" x14ac:dyDescent="0.25">
      <c r="A202" s="8" t="s">
        <v>502</v>
      </c>
      <c r="B202" s="8" t="s">
        <v>1781</v>
      </c>
      <c r="C202" s="9">
        <v>421801</v>
      </c>
      <c r="D202" s="8" t="s">
        <v>2132</v>
      </c>
      <c r="E202" s="10">
        <v>45374</v>
      </c>
    </row>
    <row r="203" spans="1:5" x14ac:dyDescent="0.25">
      <c r="A203" s="8" t="s">
        <v>502</v>
      </c>
      <c r="B203" s="8" t="s">
        <v>1782</v>
      </c>
      <c r="C203" s="9">
        <v>478581</v>
      </c>
      <c r="D203" s="8" t="s">
        <v>2134</v>
      </c>
      <c r="E203" s="10">
        <v>45665</v>
      </c>
    </row>
    <row r="204" spans="1:5" x14ac:dyDescent="0.25">
      <c r="A204" s="8" t="s">
        <v>502</v>
      </c>
      <c r="B204" s="8" t="s">
        <v>1783</v>
      </c>
      <c r="C204" s="9">
        <v>427805</v>
      </c>
      <c r="D204" s="8" t="s">
        <v>2131</v>
      </c>
      <c r="E204" s="10">
        <v>45355</v>
      </c>
    </row>
    <row r="205" spans="1:5" x14ac:dyDescent="0.25">
      <c r="A205" s="8" t="s">
        <v>502</v>
      </c>
      <c r="B205" s="8" t="s">
        <v>1784</v>
      </c>
      <c r="C205" s="9">
        <v>428362</v>
      </c>
      <c r="D205" s="8" t="s">
        <v>2132</v>
      </c>
      <c r="E205" s="10">
        <v>45330</v>
      </c>
    </row>
    <row r="206" spans="1:5" x14ac:dyDescent="0.25">
      <c r="A206" s="8" t="s">
        <v>502</v>
      </c>
      <c r="B206" s="8" t="s">
        <v>1785</v>
      </c>
      <c r="C206" s="9">
        <v>312137</v>
      </c>
      <c r="D206" s="8" t="s">
        <v>2132</v>
      </c>
      <c r="E206" s="10">
        <v>45509</v>
      </c>
    </row>
    <row r="207" spans="1:5" x14ac:dyDescent="0.25">
      <c r="A207" s="8" t="s">
        <v>502</v>
      </c>
      <c r="B207" s="8" t="s">
        <v>1786</v>
      </c>
      <c r="C207" s="9">
        <v>655194</v>
      </c>
      <c r="D207" s="8" t="s">
        <v>2134</v>
      </c>
      <c r="E207" s="10">
        <v>45815</v>
      </c>
    </row>
    <row r="208" spans="1:5" x14ac:dyDescent="0.25">
      <c r="A208" s="8" t="s">
        <v>502</v>
      </c>
      <c r="B208" s="8" t="s">
        <v>1787</v>
      </c>
      <c r="C208" s="9">
        <v>93846</v>
      </c>
      <c r="D208" s="8" t="s">
        <v>2129</v>
      </c>
      <c r="E208" s="10">
        <v>45563</v>
      </c>
    </row>
    <row r="209" spans="1:5" x14ac:dyDescent="0.25">
      <c r="A209" s="8" t="s">
        <v>502</v>
      </c>
      <c r="B209" s="8" t="s">
        <v>1770</v>
      </c>
      <c r="C209" s="9">
        <v>332417</v>
      </c>
      <c r="D209" s="8" t="s">
        <v>2133</v>
      </c>
      <c r="E209" s="10">
        <v>45876</v>
      </c>
    </row>
    <row r="210" spans="1:5" x14ac:dyDescent="0.25">
      <c r="A210" s="8" t="s">
        <v>502</v>
      </c>
      <c r="B210" s="8" t="s">
        <v>1771</v>
      </c>
      <c r="C210" s="9">
        <v>356458</v>
      </c>
      <c r="D210" s="8" t="s">
        <v>2134</v>
      </c>
      <c r="E210" s="10">
        <v>45632</v>
      </c>
    </row>
    <row r="211" spans="1:5" x14ac:dyDescent="0.25">
      <c r="A211" s="8" t="s">
        <v>502</v>
      </c>
      <c r="B211" s="8" t="s">
        <v>1772</v>
      </c>
      <c r="C211" s="9">
        <v>498297</v>
      </c>
      <c r="D211" s="8" t="s">
        <v>2135</v>
      </c>
      <c r="E211" s="10">
        <v>45629</v>
      </c>
    </row>
    <row r="212" spans="1:5" x14ac:dyDescent="0.25">
      <c r="A212" s="8" t="s">
        <v>530</v>
      </c>
      <c r="B212" s="8" t="s">
        <v>2128</v>
      </c>
      <c r="C212" s="9">
        <v>119641</v>
      </c>
      <c r="D212" s="8" t="s">
        <v>2129</v>
      </c>
      <c r="E212" s="10">
        <v>45743</v>
      </c>
    </row>
    <row r="213" spans="1:5" x14ac:dyDescent="0.25">
      <c r="A213" s="8" t="s">
        <v>530</v>
      </c>
      <c r="B213" s="8" t="s">
        <v>1788</v>
      </c>
      <c r="C213" s="9">
        <v>176730</v>
      </c>
      <c r="D213" s="8" t="s">
        <v>2132</v>
      </c>
      <c r="E213" s="10">
        <v>45801</v>
      </c>
    </row>
    <row r="214" spans="1:5" x14ac:dyDescent="0.25">
      <c r="A214" s="8" t="s">
        <v>530</v>
      </c>
      <c r="B214" s="8" t="s">
        <v>1778</v>
      </c>
      <c r="C214" s="9">
        <v>221207</v>
      </c>
      <c r="D214" s="8" t="s">
        <v>2130</v>
      </c>
      <c r="E214" s="10">
        <v>45161</v>
      </c>
    </row>
    <row r="215" spans="1:5" x14ac:dyDescent="0.25">
      <c r="A215" s="8" t="s">
        <v>530</v>
      </c>
      <c r="B215" s="8" t="s">
        <v>1779</v>
      </c>
      <c r="C215" s="9">
        <v>128565</v>
      </c>
      <c r="D215" s="8" t="s">
        <v>2129</v>
      </c>
      <c r="E215" s="10">
        <v>45183</v>
      </c>
    </row>
    <row r="216" spans="1:5" x14ac:dyDescent="0.25">
      <c r="A216" s="8" t="s">
        <v>530</v>
      </c>
      <c r="B216" s="8" t="s">
        <v>1780</v>
      </c>
      <c r="C216" s="9">
        <v>178515</v>
      </c>
      <c r="D216" s="8" t="s">
        <v>2132</v>
      </c>
      <c r="E216" s="10">
        <v>45726</v>
      </c>
    </row>
    <row r="217" spans="1:5" x14ac:dyDescent="0.25">
      <c r="A217" s="8" t="s">
        <v>530</v>
      </c>
      <c r="B217" s="8" t="s">
        <v>1781</v>
      </c>
      <c r="C217" s="9">
        <v>177078</v>
      </c>
      <c r="D217" s="8" t="s">
        <v>2132</v>
      </c>
      <c r="E217" s="10">
        <v>45276</v>
      </c>
    </row>
    <row r="218" spans="1:5" x14ac:dyDescent="0.25">
      <c r="A218" s="8" t="s">
        <v>530</v>
      </c>
      <c r="B218" s="8" t="s">
        <v>1782</v>
      </c>
      <c r="C218" s="9">
        <v>157210</v>
      </c>
      <c r="D218" s="8" t="s">
        <v>2136</v>
      </c>
      <c r="E218" s="10">
        <v>45725</v>
      </c>
    </row>
    <row r="219" spans="1:5" x14ac:dyDescent="0.25">
      <c r="A219" s="8" t="s">
        <v>530</v>
      </c>
      <c r="B219" s="8" t="s">
        <v>1783</v>
      </c>
      <c r="C219" s="9">
        <v>186542</v>
      </c>
      <c r="D219" s="8" t="s">
        <v>2132</v>
      </c>
      <c r="E219" s="10">
        <v>45196</v>
      </c>
    </row>
    <row r="220" spans="1:5" x14ac:dyDescent="0.25">
      <c r="A220" s="8" t="s">
        <v>530</v>
      </c>
      <c r="B220" s="8" t="s">
        <v>1784</v>
      </c>
      <c r="C220" s="9">
        <v>165180</v>
      </c>
      <c r="D220" s="8" t="s">
        <v>2132</v>
      </c>
      <c r="E220" s="10">
        <v>45403</v>
      </c>
    </row>
    <row r="221" spans="1:5" x14ac:dyDescent="0.25">
      <c r="A221" s="8" t="s">
        <v>530</v>
      </c>
      <c r="B221" s="8" t="s">
        <v>1785</v>
      </c>
      <c r="C221" s="9">
        <v>229559</v>
      </c>
      <c r="D221" s="8" t="s">
        <v>2132</v>
      </c>
      <c r="E221" s="10">
        <v>45668</v>
      </c>
    </row>
    <row r="222" spans="1:5" x14ac:dyDescent="0.25">
      <c r="A222" s="8" t="s">
        <v>530</v>
      </c>
      <c r="B222" s="8" t="s">
        <v>1786</v>
      </c>
      <c r="C222" s="9">
        <v>209307</v>
      </c>
      <c r="D222" s="8" t="s">
        <v>2130</v>
      </c>
      <c r="E222" s="10">
        <v>45752</v>
      </c>
    </row>
    <row r="223" spans="1:5" x14ac:dyDescent="0.25">
      <c r="A223" s="8" t="s">
        <v>530</v>
      </c>
      <c r="B223" s="8" t="s">
        <v>1787</v>
      </c>
      <c r="C223" s="9">
        <v>176325</v>
      </c>
      <c r="D223" s="8" t="s">
        <v>2136</v>
      </c>
      <c r="E223" s="10">
        <v>45875</v>
      </c>
    </row>
    <row r="224" spans="1:5" x14ac:dyDescent="0.25">
      <c r="A224" s="8" t="s">
        <v>530</v>
      </c>
      <c r="B224" s="8" t="s">
        <v>1770</v>
      </c>
      <c r="C224" s="9">
        <v>187889</v>
      </c>
      <c r="D224" s="8" t="s">
        <v>2131</v>
      </c>
      <c r="E224" s="10">
        <v>45226</v>
      </c>
    </row>
    <row r="225" spans="1:5" x14ac:dyDescent="0.25">
      <c r="A225" s="8" t="s">
        <v>530</v>
      </c>
      <c r="B225" s="8" t="s">
        <v>1771</v>
      </c>
      <c r="C225" s="9">
        <v>166865</v>
      </c>
      <c r="D225" s="8" t="s">
        <v>2129</v>
      </c>
      <c r="E225" s="10">
        <v>45598</v>
      </c>
    </row>
    <row r="226" spans="1:5" x14ac:dyDescent="0.25">
      <c r="A226" s="8" t="s">
        <v>530</v>
      </c>
      <c r="B226" s="8" t="s">
        <v>1772</v>
      </c>
      <c r="C226" s="9">
        <v>246617</v>
      </c>
      <c r="D226" s="8" t="s">
        <v>2135</v>
      </c>
      <c r="E226" s="10">
        <v>45632</v>
      </c>
    </row>
    <row r="227" spans="1:5" x14ac:dyDescent="0.25">
      <c r="A227" s="8" t="s">
        <v>530</v>
      </c>
      <c r="B227" s="8" t="s">
        <v>1773</v>
      </c>
      <c r="C227" s="9">
        <v>205742</v>
      </c>
      <c r="D227" s="8" t="s">
        <v>2132</v>
      </c>
      <c r="E227" s="10">
        <v>45363</v>
      </c>
    </row>
    <row r="228" spans="1:5" x14ac:dyDescent="0.25">
      <c r="A228" s="8" t="s">
        <v>530</v>
      </c>
      <c r="B228" s="8" t="s">
        <v>1774</v>
      </c>
      <c r="C228" s="9">
        <v>178376</v>
      </c>
      <c r="D228" s="8" t="s">
        <v>2130</v>
      </c>
      <c r="E228" s="10">
        <v>45754</v>
      </c>
    </row>
    <row r="229" spans="1:5" x14ac:dyDescent="0.25">
      <c r="A229" s="8" t="s">
        <v>530</v>
      </c>
      <c r="B229" s="8" t="s">
        <v>1775</v>
      </c>
      <c r="C229" s="9">
        <v>205110</v>
      </c>
      <c r="D229" s="8" t="s">
        <v>2132</v>
      </c>
      <c r="E229" s="10">
        <v>45735</v>
      </c>
    </row>
    <row r="230" spans="1:5" x14ac:dyDescent="0.25">
      <c r="A230" s="8" t="s">
        <v>530</v>
      </c>
      <c r="B230" s="8" t="s">
        <v>1776</v>
      </c>
      <c r="C230" s="9">
        <v>272126</v>
      </c>
      <c r="D230" s="8" t="s">
        <v>2132</v>
      </c>
      <c r="E230" s="10">
        <v>45777</v>
      </c>
    </row>
    <row r="231" spans="1:5" x14ac:dyDescent="0.25">
      <c r="A231" s="8" t="s">
        <v>530</v>
      </c>
      <c r="B231" s="8" t="s">
        <v>1777</v>
      </c>
      <c r="C231" s="9">
        <v>153168</v>
      </c>
      <c r="D231" s="8" t="s">
        <v>2131</v>
      </c>
      <c r="E231" s="10">
        <v>45310</v>
      </c>
    </row>
    <row r="232" spans="1:5" x14ac:dyDescent="0.25">
      <c r="A232" s="8" t="s">
        <v>530</v>
      </c>
      <c r="B232" s="8" t="s">
        <v>2137</v>
      </c>
      <c r="C232" s="9">
        <v>225720</v>
      </c>
      <c r="D232" s="8" t="s">
        <v>2133</v>
      </c>
      <c r="E232" s="10">
        <v>45603</v>
      </c>
    </row>
    <row r="233" spans="1:5" x14ac:dyDescent="0.25">
      <c r="A233" s="8" t="s">
        <v>530</v>
      </c>
      <c r="B233" s="8" t="s">
        <v>2138</v>
      </c>
      <c r="C233" s="9">
        <v>203986</v>
      </c>
      <c r="D233" s="8" t="s">
        <v>2134</v>
      </c>
      <c r="E233" s="10">
        <v>45374</v>
      </c>
    </row>
    <row r="234" spans="1:5" x14ac:dyDescent="0.25">
      <c r="A234" s="8" t="s">
        <v>530</v>
      </c>
      <c r="B234" s="8" t="s">
        <v>2139</v>
      </c>
      <c r="C234" s="9">
        <v>174856</v>
      </c>
      <c r="D234" s="8" t="s">
        <v>2130</v>
      </c>
      <c r="E234" s="10">
        <v>45533</v>
      </c>
    </row>
    <row r="235" spans="1:5" x14ac:dyDescent="0.25">
      <c r="A235" s="8" t="s">
        <v>530</v>
      </c>
      <c r="B235" s="8" t="s">
        <v>2140</v>
      </c>
      <c r="C235" s="9">
        <v>151127</v>
      </c>
      <c r="D235" s="8" t="s">
        <v>2132</v>
      </c>
      <c r="E235" s="10">
        <v>45250</v>
      </c>
    </row>
    <row r="236" spans="1:5" x14ac:dyDescent="0.25">
      <c r="A236" s="8" t="s">
        <v>530</v>
      </c>
      <c r="B236" s="8" t="s">
        <v>2141</v>
      </c>
      <c r="C236" s="9">
        <v>224547</v>
      </c>
      <c r="D236" s="8" t="s">
        <v>2136</v>
      </c>
      <c r="E236" s="10">
        <v>45346</v>
      </c>
    </row>
    <row r="237" spans="1:5" x14ac:dyDescent="0.25">
      <c r="A237" s="8" t="s">
        <v>591</v>
      </c>
      <c r="B237" s="8" t="s">
        <v>1788</v>
      </c>
      <c r="C237" s="9">
        <v>467494</v>
      </c>
      <c r="D237" s="8" t="s">
        <v>2130</v>
      </c>
      <c r="E237" s="10">
        <v>45292</v>
      </c>
    </row>
    <row r="238" spans="1:5" x14ac:dyDescent="0.25">
      <c r="A238" s="8" t="s">
        <v>591</v>
      </c>
      <c r="B238" s="8" t="s">
        <v>1778</v>
      </c>
      <c r="C238" s="9">
        <v>593118</v>
      </c>
      <c r="D238" s="8" t="s">
        <v>2134</v>
      </c>
      <c r="E238" s="10">
        <v>45320</v>
      </c>
    </row>
    <row r="239" spans="1:5" x14ac:dyDescent="0.25">
      <c r="A239" s="8" t="s">
        <v>591</v>
      </c>
      <c r="B239" s="8" t="s">
        <v>1779</v>
      </c>
      <c r="C239" s="9">
        <v>563065</v>
      </c>
      <c r="D239" s="8" t="s">
        <v>2135</v>
      </c>
      <c r="E239" s="10">
        <v>45768</v>
      </c>
    </row>
    <row r="240" spans="1:5" x14ac:dyDescent="0.25">
      <c r="A240" s="8" t="s">
        <v>591</v>
      </c>
      <c r="B240" s="8" t="s">
        <v>1780</v>
      </c>
      <c r="C240" s="9">
        <v>468546</v>
      </c>
      <c r="D240" s="8" t="s">
        <v>2136</v>
      </c>
      <c r="E240" s="10">
        <v>45683</v>
      </c>
    </row>
    <row r="241" spans="1:5" x14ac:dyDescent="0.25">
      <c r="A241" s="8" t="s">
        <v>591</v>
      </c>
      <c r="B241" s="8" t="s">
        <v>1781</v>
      </c>
      <c r="C241" s="9">
        <v>357146</v>
      </c>
      <c r="D241" s="8" t="s">
        <v>2134</v>
      </c>
      <c r="E241" s="10">
        <v>45234</v>
      </c>
    </row>
    <row r="242" spans="1:5" x14ac:dyDescent="0.25">
      <c r="A242" s="8" t="s">
        <v>591</v>
      </c>
      <c r="B242" s="8" t="s">
        <v>1782</v>
      </c>
      <c r="C242" s="9">
        <v>659635</v>
      </c>
      <c r="D242" s="8" t="s">
        <v>2135</v>
      </c>
      <c r="E242" s="10">
        <v>45814</v>
      </c>
    </row>
    <row r="243" spans="1:5" x14ac:dyDescent="0.25">
      <c r="A243" s="8" t="s">
        <v>591</v>
      </c>
      <c r="B243" s="8" t="s">
        <v>1783</v>
      </c>
      <c r="C243" s="9">
        <v>368338</v>
      </c>
      <c r="D243" s="8" t="s">
        <v>2132</v>
      </c>
      <c r="E243" s="10">
        <v>45756</v>
      </c>
    </row>
    <row r="244" spans="1:5" x14ac:dyDescent="0.25">
      <c r="A244" s="8" t="s">
        <v>591</v>
      </c>
      <c r="B244" s="8" t="s">
        <v>1784</v>
      </c>
      <c r="C244" s="9">
        <v>526303</v>
      </c>
      <c r="D244" s="8" t="s">
        <v>2136</v>
      </c>
      <c r="E244" s="10">
        <v>45833</v>
      </c>
    </row>
    <row r="245" spans="1:5" x14ac:dyDescent="0.25">
      <c r="A245" s="8" t="s">
        <v>591</v>
      </c>
      <c r="B245" s="8" t="s">
        <v>1785</v>
      </c>
      <c r="C245" s="9">
        <v>242775</v>
      </c>
      <c r="D245" s="8" t="s">
        <v>2130</v>
      </c>
      <c r="E245" s="10">
        <v>45673</v>
      </c>
    </row>
    <row r="246" spans="1:5" x14ac:dyDescent="0.25">
      <c r="A246" s="8" t="s">
        <v>591</v>
      </c>
      <c r="B246" s="8" t="s">
        <v>1786</v>
      </c>
      <c r="C246" s="9">
        <v>606940</v>
      </c>
      <c r="D246" s="8" t="s">
        <v>2130</v>
      </c>
      <c r="E246" s="10">
        <v>45518</v>
      </c>
    </row>
    <row r="247" spans="1:5" x14ac:dyDescent="0.25">
      <c r="A247" s="8" t="s">
        <v>591</v>
      </c>
      <c r="B247" s="8" t="s">
        <v>1787</v>
      </c>
      <c r="C247" s="9">
        <v>214213</v>
      </c>
      <c r="D247" s="8" t="s">
        <v>2136</v>
      </c>
      <c r="E247" s="10">
        <v>45853</v>
      </c>
    </row>
    <row r="248" spans="1:5" x14ac:dyDescent="0.25">
      <c r="A248" s="8" t="s">
        <v>591</v>
      </c>
      <c r="B248" s="8" t="s">
        <v>1770</v>
      </c>
      <c r="C248" s="9">
        <v>401651</v>
      </c>
      <c r="D248" s="8" t="s">
        <v>2130</v>
      </c>
      <c r="E248" s="10">
        <v>45373</v>
      </c>
    </row>
    <row r="249" spans="1:5" x14ac:dyDescent="0.25">
      <c r="A249" s="8" t="s">
        <v>591</v>
      </c>
      <c r="B249" s="8" t="s">
        <v>1771</v>
      </c>
      <c r="C249" s="9">
        <v>320087</v>
      </c>
      <c r="D249" s="8" t="s">
        <v>2135</v>
      </c>
      <c r="E249" s="10">
        <v>45529</v>
      </c>
    </row>
    <row r="250" spans="1:5" x14ac:dyDescent="0.25">
      <c r="A250" s="8" t="s">
        <v>591</v>
      </c>
      <c r="B250" s="8" t="s">
        <v>1772</v>
      </c>
      <c r="C250" s="9">
        <v>587857</v>
      </c>
      <c r="D250" s="8" t="s">
        <v>2133</v>
      </c>
      <c r="E250" s="10">
        <v>45742</v>
      </c>
    </row>
    <row r="251" spans="1:5" x14ac:dyDescent="0.25">
      <c r="A251" s="8" t="s">
        <v>591</v>
      </c>
      <c r="B251" s="8" t="s">
        <v>1773</v>
      </c>
      <c r="C251" s="9">
        <v>354950</v>
      </c>
      <c r="D251" s="8" t="s">
        <v>2134</v>
      </c>
      <c r="E251" s="10">
        <v>45574</v>
      </c>
    </row>
    <row r="252" spans="1:5" x14ac:dyDescent="0.25">
      <c r="A252" s="8" t="s">
        <v>591</v>
      </c>
      <c r="B252" s="8" t="s">
        <v>1774</v>
      </c>
      <c r="C252" s="9">
        <v>493426</v>
      </c>
      <c r="D252" s="8" t="s">
        <v>2132</v>
      </c>
      <c r="E252" s="10">
        <v>45399</v>
      </c>
    </row>
    <row r="253" spans="1:5" x14ac:dyDescent="0.25">
      <c r="A253" s="8" t="s">
        <v>591</v>
      </c>
      <c r="B253" s="8" t="s">
        <v>1775</v>
      </c>
      <c r="C253" s="9">
        <v>464898</v>
      </c>
      <c r="D253" s="8" t="s">
        <v>2135</v>
      </c>
      <c r="E253" s="10">
        <v>45377</v>
      </c>
    </row>
    <row r="254" spans="1:5" x14ac:dyDescent="0.25">
      <c r="A254" s="8" t="s">
        <v>591</v>
      </c>
      <c r="B254" s="8" t="s">
        <v>1776</v>
      </c>
      <c r="C254" s="9">
        <v>278370</v>
      </c>
      <c r="D254" s="8" t="s">
        <v>2134</v>
      </c>
      <c r="E254" s="10">
        <v>45429</v>
      </c>
    </row>
    <row r="255" spans="1:5" x14ac:dyDescent="0.25">
      <c r="A255" s="8" t="s">
        <v>637</v>
      </c>
      <c r="B255" s="8" t="s">
        <v>1788</v>
      </c>
      <c r="C255" s="9">
        <v>97119</v>
      </c>
      <c r="D255" s="8" t="s">
        <v>2130</v>
      </c>
      <c r="E255" s="10">
        <v>45402</v>
      </c>
    </row>
    <row r="256" spans="1:5" x14ac:dyDescent="0.25">
      <c r="A256" s="8" t="s">
        <v>637</v>
      </c>
      <c r="B256" s="8" t="s">
        <v>1778</v>
      </c>
      <c r="C256" s="9">
        <v>76939</v>
      </c>
      <c r="D256" s="8" t="s">
        <v>2129</v>
      </c>
      <c r="E256" s="10">
        <v>45144</v>
      </c>
    </row>
    <row r="257" spans="1:5" x14ac:dyDescent="0.25">
      <c r="A257" s="8" t="s">
        <v>637</v>
      </c>
      <c r="B257" s="8" t="s">
        <v>1779</v>
      </c>
      <c r="C257" s="9">
        <v>106364</v>
      </c>
      <c r="D257" s="8" t="s">
        <v>2136</v>
      </c>
      <c r="E257" s="10">
        <v>45730</v>
      </c>
    </row>
    <row r="258" spans="1:5" x14ac:dyDescent="0.25">
      <c r="A258" s="8" t="s">
        <v>637</v>
      </c>
      <c r="B258" s="8" t="s">
        <v>1780</v>
      </c>
      <c r="C258" s="9">
        <v>89096</v>
      </c>
      <c r="D258" s="8" t="s">
        <v>2134</v>
      </c>
      <c r="E258" s="10">
        <v>45671</v>
      </c>
    </row>
    <row r="259" spans="1:5" x14ac:dyDescent="0.25">
      <c r="A259" s="8" t="s">
        <v>637</v>
      </c>
      <c r="B259" s="8" t="s">
        <v>1781</v>
      </c>
      <c r="C259" s="9">
        <v>62570</v>
      </c>
      <c r="D259" s="8" t="s">
        <v>2136</v>
      </c>
      <c r="E259" s="10">
        <v>45523</v>
      </c>
    </row>
    <row r="260" spans="1:5" x14ac:dyDescent="0.25">
      <c r="A260" s="8" t="s">
        <v>637</v>
      </c>
      <c r="B260" s="8" t="s">
        <v>1782</v>
      </c>
      <c r="C260" s="9">
        <v>73364</v>
      </c>
      <c r="D260" s="8" t="s">
        <v>2129</v>
      </c>
      <c r="E260" s="10">
        <v>45843</v>
      </c>
    </row>
    <row r="261" spans="1:5" x14ac:dyDescent="0.25">
      <c r="A261" s="8" t="s">
        <v>637</v>
      </c>
      <c r="B261" s="8" t="s">
        <v>1783</v>
      </c>
      <c r="C261" s="9">
        <v>72813</v>
      </c>
      <c r="D261" s="8" t="s">
        <v>2133</v>
      </c>
      <c r="E261" s="10">
        <v>45557</v>
      </c>
    </row>
    <row r="262" spans="1:5" x14ac:dyDescent="0.25">
      <c r="A262" s="8" t="s">
        <v>637</v>
      </c>
      <c r="B262" s="8" t="s">
        <v>1784</v>
      </c>
      <c r="C262" s="9">
        <v>92273</v>
      </c>
      <c r="D262" s="8" t="s">
        <v>2133</v>
      </c>
      <c r="E262" s="10">
        <v>45248</v>
      </c>
    </row>
    <row r="263" spans="1:5" x14ac:dyDescent="0.25">
      <c r="A263" s="8" t="s">
        <v>637</v>
      </c>
      <c r="B263" s="8" t="s">
        <v>1785</v>
      </c>
      <c r="C263" s="9">
        <v>91639</v>
      </c>
      <c r="D263" s="8" t="s">
        <v>2132</v>
      </c>
      <c r="E263" s="10">
        <v>45575</v>
      </c>
    </row>
    <row r="264" spans="1:5" x14ac:dyDescent="0.25">
      <c r="A264" s="8" t="s">
        <v>660</v>
      </c>
      <c r="B264" s="8" t="s">
        <v>2128</v>
      </c>
      <c r="C264" s="9">
        <v>83669</v>
      </c>
      <c r="D264" s="8" t="s">
        <v>2131</v>
      </c>
      <c r="E264" s="10">
        <v>45406</v>
      </c>
    </row>
    <row r="265" spans="1:5" x14ac:dyDescent="0.25">
      <c r="A265" s="8" t="s">
        <v>660</v>
      </c>
      <c r="B265" s="8" t="s">
        <v>1788</v>
      </c>
      <c r="C265" s="9">
        <v>124421</v>
      </c>
      <c r="D265" s="8" t="s">
        <v>2130</v>
      </c>
      <c r="E265" s="10">
        <v>45717</v>
      </c>
    </row>
    <row r="266" spans="1:5" x14ac:dyDescent="0.25">
      <c r="A266" s="8" t="s">
        <v>660</v>
      </c>
      <c r="B266" s="8" t="s">
        <v>1778</v>
      </c>
      <c r="C266" s="9">
        <v>110826</v>
      </c>
      <c r="D266" s="8" t="s">
        <v>2133</v>
      </c>
      <c r="E266" s="10">
        <v>45765</v>
      </c>
    </row>
    <row r="267" spans="1:5" x14ac:dyDescent="0.25">
      <c r="A267" s="8" t="s">
        <v>660</v>
      </c>
      <c r="B267" s="8" t="s">
        <v>1779</v>
      </c>
      <c r="C267" s="9">
        <v>117435</v>
      </c>
      <c r="D267" s="8" t="s">
        <v>2131</v>
      </c>
      <c r="E267" s="10">
        <v>45835</v>
      </c>
    </row>
    <row r="268" spans="1:5" x14ac:dyDescent="0.25">
      <c r="A268" s="8" t="s">
        <v>660</v>
      </c>
      <c r="B268" s="8" t="s">
        <v>1780</v>
      </c>
      <c r="C268" s="9">
        <v>113623</v>
      </c>
      <c r="D268" s="8" t="s">
        <v>2130</v>
      </c>
      <c r="E268" s="10">
        <v>45347</v>
      </c>
    </row>
    <row r="269" spans="1:5" x14ac:dyDescent="0.25">
      <c r="A269" s="8" t="s">
        <v>660</v>
      </c>
      <c r="B269" s="8" t="s">
        <v>1781</v>
      </c>
      <c r="C269" s="9">
        <v>121450</v>
      </c>
      <c r="D269" s="8" t="s">
        <v>2130</v>
      </c>
      <c r="E269" s="10">
        <v>45704</v>
      </c>
    </row>
    <row r="270" spans="1:5" x14ac:dyDescent="0.25">
      <c r="A270" s="8" t="s">
        <v>660</v>
      </c>
      <c r="B270" s="8" t="s">
        <v>1782</v>
      </c>
      <c r="C270" s="9">
        <v>77139</v>
      </c>
      <c r="D270" s="8" t="s">
        <v>2135</v>
      </c>
      <c r="E270" s="10">
        <v>45322</v>
      </c>
    </row>
    <row r="271" spans="1:5" x14ac:dyDescent="0.25">
      <c r="A271" s="8" t="s">
        <v>660</v>
      </c>
      <c r="B271" s="8" t="s">
        <v>1783</v>
      </c>
      <c r="C271" s="9">
        <v>105380</v>
      </c>
      <c r="D271" s="8" t="s">
        <v>2133</v>
      </c>
      <c r="E271" s="10">
        <v>45711</v>
      </c>
    </row>
    <row r="272" spans="1:5" x14ac:dyDescent="0.25">
      <c r="A272" s="8" t="s">
        <v>660</v>
      </c>
      <c r="B272" s="8" t="s">
        <v>1784</v>
      </c>
      <c r="C272" s="9">
        <v>125936</v>
      </c>
      <c r="D272" s="8" t="s">
        <v>2135</v>
      </c>
      <c r="E272" s="10">
        <v>45398</v>
      </c>
    </row>
    <row r="273" spans="1:5" x14ac:dyDescent="0.25">
      <c r="A273" s="8" t="s">
        <v>660</v>
      </c>
      <c r="B273" s="8" t="s">
        <v>1785</v>
      </c>
      <c r="C273" s="9">
        <v>128660</v>
      </c>
      <c r="D273" s="8" t="s">
        <v>2131</v>
      </c>
      <c r="E273" s="10">
        <v>45730</v>
      </c>
    </row>
    <row r="274" spans="1:5" x14ac:dyDescent="0.25">
      <c r="A274" s="8" t="s">
        <v>660</v>
      </c>
      <c r="B274" s="8" t="s">
        <v>1786</v>
      </c>
      <c r="C274" s="9">
        <v>128621</v>
      </c>
      <c r="D274" s="8" t="s">
        <v>2133</v>
      </c>
      <c r="E274" s="10">
        <v>45861</v>
      </c>
    </row>
    <row r="275" spans="1:5" x14ac:dyDescent="0.25">
      <c r="A275" s="8" t="s">
        <v>660</v>
      </c>
      <c r="B275" s="8" t="s">
        <v>1787</v>
      </c>
      <c r="C275" s="9">
        <v>78319</v>
      </c>
      <c r="D275" s="8" t="s">
        <v>2130</v>
      </c>
      <c r="E275" s="10">
        <v>45892</v>
      </c>
    </row>
    <row r="276" spans="1:5" x14ac:dyDescent="0.25">
      <c r="A276" s="8" t="s">
        <v>660</v>
      </c>
      <c r="B276" s="8" t="s">
        <v>1770</v>
      </c>
      <c r="C276" s="9">
        <v>152868</v>
      </c>
      <c r="D276" s="8" t="s">
        <v>2132</v>
      </c>
      <c r="E276" s="10">
        <v>45814</v>
      </c>
    </row>
    <row r="277" spans="1:5" x14ac:dyDescent="0.25">
      <c r="A277" s="8" t="s">
        <v>660</v>
      </c>
      <c r="B277" s="8" t="s">
        <v>1771</v>
      </c>
      <c r="C277" s="9">
        <v>144992</v>
      </c>
      <c r="D277" s="8" t="s">
        <v>2134</v>
      </c>
      <c r="E277" s="10">
        <v>45374</v>
      </c>
    </row>
    <row r="278" spans="1:5" x14ac:dyDescent="0.25">
      <c r="A278" s="8" t="s">
        <v>660</v>
      </c>
      <c r="B278" s="8" t="s">
        <v>1772</v>
      </c>
      <c r="C278" s="9">
        <v>78832</v>
      </c>
      <c r="D278" s="8" t="s">
        <v>2135</v>
      </c>
      <c r="E278" s="10">
        <v>45855</v>
      </c>
    </row>
    <row r="279" spans="1:5" x14ac:dyDescent="0.25">
      <c r="A279" s="8" t="s">
        <v>660</v>
      </c>
      <c r="B279" s="8" t="s">
        <v>1773</v>
      </c>
      <c r="C279" s="9">
        <v>93079</v>
      </c>
      <c r="D279" s="8" t="s">
        <v>2132</v>
      </c>
      <c r="E279" s="10">
        <v>45241</v>
      </c>
    </row>
    <row r="280" spans="1:5" x14ac:dyDescent="0.25">
      <c r="A280" s="8" t="s">
        <v>660</v>
      </c>
      <c r="B280" s="8" t="s">
        <v>1774</v>
      </c>
      <c r="C280" s="9">
        <v>117831</v>
      </c>
      <c r="D280" s="8" t="s">
        <v>2129</v>
      </c>
      <c r="E280" s="10">
        <v>45659</v>
      </c>
    </row>
    <row r="281" spans="1:5" x14ac:dyDescent="0.25">
      <c r="A281" s="8" t="s">
        <v>660</v>
      </c>
      <c r="B281" s="8" t="s">
        <v>1775</v>
      </c>
      <c r="C281" s="9">
        <v>82455</v>
      </c>
      <c r="D281" s="8" t="s">
        <v>2130</v>
      </c>
      <c r="E281" s="10">
        <v>45485</v>
      </c>
    </row>
    <row r="282" spans="1:5" x14ac:dyDescent="0.25">
      <c r="A282" s="8" t="s">
        <v>660</v>
      </c>
      <c r="B282" s="8" t="s">
        <v>1776</v>
      </c>
      <c r="C282" s="9">
        <v>115230</v>
      </c>
      <c r="D282" s="8" t="s">
        <v>2136</v>
      </c>
      <c r="E282" s="10">
        <v>45303</v>
      </c>
    </row>
    <row r="283" spans="1:5" x14ac:dyDescent="0.25">
      <c r="A283" s="8" t="s">
        <v>660</v>
      </c>
      <c r="B283" s="8" t="s">
        <v>1777</v>
      </c>
      <c r="C283" s="9">
        <v>105925</v>
      </c>
      <c r="D283" s="8" t="s">
        <v>2130</v>
      </c>
      <c r="E283" s="10">
        <v>45790</v>
      </c>
    </row>
    <row r="284" spans="1:5" x14ac:dyDescent="0.25">
      <c r="A284" s="8" t="s">
        <v>660</v>
      </c>
      <c r="B284" s="8" t="s">
        <v>2137</v>
      </c>
      <c r="C284" s="9">
        <v>133010</v>
      </c>
      <c r="D284" s="8" t="s">
        <v>2136</v>
      </c>
      <c r="E284" s="10">
        <v>45232</v>
      </c>
    </row>
    <row r="285" spans="1:5" x14ac:dyDescent="0.25">
      <c r="A285" s="8" t="s">
        <v>660</v>
      </c>
      <c r="B285" s="8" t="s">
        <v>2138</v>
      </c>
      <c r="C285" s="9">
        <v>111407</v>
      </c>
      <c r="D285" s="8" t="s">
        <v>2132</v>
      </c>
      <c r="E285" s="10">
        <v>45621</v>
      </c>
    </row>
    <row r="286" spans="1:5" x14ac:dyDescent="0.25">
      <c r="A286" s="8" t="s">
        <v>660</v>
      </c>
      <c r="B286" s="8" t="s">
        <v>2139</v>
      </c>
      <c r="C286" s="9">
        <v>49532</v>
      </c>
      <c r="D286" s="8" t="s">
        <v>2130</v>
      </c>
      <c r="E286" s="10">
        <v>45229</v>
      </c>
    </row>
    <row r="287" spans="1:5" x14ac:dyDescent="0.25">
      <c r="A287" s="8" t="s">
        <v>660</v>
      </c>
      <c r="B287" s="8" t="s">
        <v>2140</v>
      </c>
      <c r="C287" s="9">
        <v>122295</v>
      </c>
      <c r="D287" s="8" t="s">
        <v>2134</v>
      </c>
      <c r="E287" s="10">
        <v>45408</v>
      </c>
    </row>
    <row r="288" spans="1:5" x14ac:dyDescent="0.25">
      <c r="A288" s="8" t="s">
        <v>660</v>
      </c>
      <c r="B288" s="8" t="s">
        <v>2141</v>
      </c>
      <c r="C288" s="9">
        <v>131525</v>
      </c>
      <c r="D288" s="8" t="s">
        <v>2129</v>
      </c>
      <c r="E288" s="10">
        <v>45518</v>
      </c>
    </row>
    <row r="289" spans="1:5" x14ac:dyDescent="0.25">
      <c r="A289" s="8" t="s">
        <v>686</v>
      </c>
      <c r="B289" s="8" t="s">
        <v>1779</v>
      </c>
      <c r="C289" s="9">
        <v>83307</v>
      </c>
      <c r="D289" s="8" t="s">
        <v>2134</v>
      </c>
      <c r="E289" s="10">
        <v>45762</v>
      </c>
    </row>
    <row r="290" spans="1:5" x14ac:dyDescent="0.25">
      <c r="A290" s="8" t="s">
        <v>686</v>
      </c>
      <c r="B290" s="8" t="s">
        <v>1780</v>
      </c>
      <c r="C290" s="9">
        <v>87771</v>
      </c>
      <c r="D290" s="8" t="s">
        <v>2136</v>
      </c>
      <c r="E290" s="10">
        <v>45880</v>
      </c>
    </row>
    <row r="291" spans="1:5" x14ac:dyDescent="0.25">
      <c r="A291" s="8" t="s">
        <v>686</v>
      </c>
      <c r="B291" s="8" t="s">
        <v>1781</v>
      </c>
      <c r="C291" s="9">
        <v>87838</v>
      </c>
      <c r="D291" s="8" t="s">
        <v>2130</v>
      </c>
      <c r="E291" s="10">
        <v>45549</v>
      </c>
    </row>
    <row r="292" spans="1:5" x14ac:dyDescent="0.25">
      <c r="A292" s="8" t="s">
        <v>686</v>
      </c>
      <c r="B292" s="8" t="s">
        <v>1782</v>
      </c>
      <c r="C292" s="9">
        <v>72256</v>
      </c>
      <c r="D292" s="8" t="s">
        <v>2131</v>
      </c>
      <c r="E292" s="10">
        <v>45867</v>
      </c>
    </row>
    <row r="293" spans="1:5" x14ac:dyDescent="0.25">
      <c r="A293" s="8" t="s">
        <v>686</v>
      </c>
      <c r="B293" s="8" t="s">
        <v>1783</v>
      </c>
      <c r="C293" s="9">
        <v>136897</v>
      </c>
      <c r="D293" s="8" t="s">
        <v>2136</v>
      </c>
      <c r="E293" s="10">
        <v>45318</v>
      </c>
    </row>
    <row r="294" spans="1:5" x14ac:dyDescent="0.25">
      <c r="A294" s="8" t="s">
        <v>686</v>
      </c>
      <c r="B294" s="8" t="s">
        <v>1784</v>
      </c>
      <c r="C294" s="9">
        <v>68085</v>
      </c>
      <c r="D294" s="8" t="s">
        <v>2135</v>
      </c>
      <c r="E294" s="10">
        <v>45588</v>
      </c>
    </row>
    <row r="295" spans="1:5" x14ac:dyDescent="0.25">
      <c r="A295" s="8" t="s">
        <v>686</v>
      </c>
      <c r="B295" s="8" t="s">
        <v>1785</v>
      </c>
      <c r="C295" s="9">
        <v>104277</v>
      </c>
      <c r="D295" s="8" t="s">
        <v>2136</v>
      </c>
      <c r="E295" s="10">
        <v>45345</v>
      </c>
    </row>
    <row r="296" spans="1:5" x14ac:dyDescent="0.25">
      <c r="A296" s="8" t="s">
        <v>686</v>
      </c>
      <c r="B296" s="8" t="s">
        <v>1786</v>
      </c>
      <c r="C296" s="9">
        <v>104180</v>
      </c>
      <c r="D296" s="8" t="s">
        <v>2131</v>
      </c>
      <c r="E296" s="10">
        <v>45338</v>
      </c>
    </row>
    <row r="297" spans="1:5" x14ac:dyDescent="0.25">
      <c r="A297" s="8" t="s">
        <v>686</v>
      </c>
      <c r="B297" s="8" t="s">
        <v>1787</v>
      </c>
      <c r="C297" s="9">
        <v>74953</v>
      </c>
      <c r="D297" s="8" t="s">
        <v>2136</v>
      </c>
      <c r="E297" s="10">
        <v>45752</v>
      </c>
    </row>
    <row r="298" spans="1:5" x14ac:dyDescent="0.25">
      <c r="A298" s="8" t="s">
        <v>686</v>
      </c>
      <c r="B298" s="8" t="s">
        <v>1770</v>
      </c>
      <c r="C298" s="9">
        <v>64827</v>
      </c>
      <c r="D298" s="8" t="s">
        <v>2129</v>
      </c>
      <c r="E298" s="10">
        <v>45768</v>
      </c>
    </row>
    <row r="299" spans="1:5" x14ac:dyDescent="0.25">
      <c r="A299" s="8" t="s">
        <v>686</v>
      </c>
      <c r="B299" s="8" t="s">
        <v>1771</v>
      </c>
      <c r="C299" s="9">
        <v>82388</v>
      </c>
      <c r="D299" s="8" t="s">
        <v>2132</v>
      </c>
      <c r="E299" s="10">
        <v>45829</v>
      </c>
    </row>
    <row r="300" spans="1:5" x14ac:dyDescent="0.25">
      <c r="A300" s="8" t="s">
        <v>686</v>
      </c>
      <c r="B300" s="8" t="s">
        <v>1772</v>
      </c>
      <c r="C300" s="9">
        <v>99397</v>
      </c>
      <c r="D300" s="8" t="s">
        <v>2136</v>
      </c>
      <c r="E300" s="10">
        <v>45507</v>
      </c>
    </row>
    <row r="301" spans="1:5" x14ac:dyDescent="0.25">
      <c r="A301" s="8" t="s">
        <v>686</v>
      </c>
      <c r="B301" s="8" t="s">
        <v>1773</v>
      </c>
      <c r="C301" s="9">
        <v>91133</v>
      </c>
      <c r="D301" s="8" t="s">
        <v>2129</v>
      </c>
      <c r="E301" s="10">
        <v>45809</v>
      </c>
    </row>
    <row r="302" spans="1:5" x14ac:dyDescent="0.25">
      <c r="A302" s="8" t="s">
        <v>686</v>
      </c>
      <c r="B302" s="8" t="s">
        <v>1774</v>
      </c>
      <c r="C302" s="9">
        <v>123066</v>
      </c>
      <c r="D302" s="8" t="s">
        <v>2136</v>
      </c>
      <c r="E302" s="10">
        <v>45300</v>
      </c>
    </row>
    <row r="303" spans="1:5" x14ac:dyDescent="0.25">
      <c r="A303" s="8" t="s">
        <v>686</v>
      </c>
      <c r="B303" s="8" t="s">
        <v>1775</v>
      </c>
      <c r="C303" s="9">
        <v>72207</v>
      </c>
      <c r="D303" s="8" t="s">
        <v>2134</v>
      </c>
      <c r="E303" s="10">
        <v>45421</v>
      </c>
    </row>
    <row r="304" spans="1:5" x14ac:dyDescent="0.25">
      <c r="A304" s="8" t="s">
        <v>686</v>
      </c>
      <c r="B304" s="8" t="s">
        <v>1776</v>
      </c>
      <c r="C304" s="9">
        <v>72720</v>
      </c>
      <c r="D304" s="8" t="s">
        <v>2130</v>
      </c>
      <c r="E304" s="10">
        <v>45500</v>
      </c>
    </row>
    <row r="305" spans="1:5" x14ac:dyDescent="0.25">
      <c r="A305" s="8" t="s">
        <v>686</v>
      </c>
      <c r="B305" s="8" t="s">
        <v>1777</v>
      </c>
      <c r="C305" s="9">
        <v>103298</v>
      </c>
      <c r="D305" s="8" t="s">
        <v>2130</v>
      </c>
      <c r="E305" s="10">
        <v>45554</v>
      </c>
    </row>
    <row r="306" spans="1:5" x14ac:dyDescent="0.25">
      <c r="A306" s="8" t="s">
        <v>686</v>
      </c>
      <c r="B306" s="8" t="s">
        <v>2137</v>
      </c>
      <c r="C306" s="9">
        <v>49339</v>
      </c>
      <c r="D306" s="8" t="s">
        <v>2129</v>
      </c>
      <c r="E306" s="10">
        <v>45669</v>
      </c>
    </row>
    <row r="307" spans="1:5" x14ac:dyDescent="0.25">
      <c r="A307" s="8" t="s">
        <v>686</v>
      </c>
      <c r="B307" s="8" t="s">
        <v>2138</v>
      </c>
      <c r="C307" s="9">
        <v>72726</v>
      </c>
      <c r="D307" s="8" t="s">
        <v>2136</v>
      </c>
      <c r="E307" s="10">
        <v>45893</v>
      </c>
    </row>
    <row r="308" spans="1:5" x14ac:dyDescent="0.25">
      <c r="A308" s="8" t="s">
        <v>734</v>
      </c>
      <c r="B308" s="8" t="s">
        <v>1788</v>
      </c>
      <c r="C308" s="9">
        <v>89518</v>
      </c>
      <c r="D308" s="8" t="s">
        <v>2134</v>
      </c>
      <c r="E308" s="10">
        <v>45231</v>
      </c>
    </row>
    <row r="309" spans="1:5" x14ac:dyDescent="0.25">
      <c r="A309" s="8" t="s">
        <v>734</v>
      </c>
      <c r="B309" s="8" t="s">
        <v>1778</v>
      </c>
      <c r="C309" s="9">
        <v>92210</v>
      </c>
      <c r="D309" s="8" t="s">
        <v>2131</v>
      </c>
      <c r="E309" s="10">
        <v>45882</v>
      </c>
    </row>
    <row r="310" spans="1:5" x14ac:dyDescent="0.25">
      <c r="A310" s="8" t="s">
        <v>734</v>
      </c>
      <c r="B310" s="8" t="s">
        <v>1779</v>
      </c>
      <c r="C310" s="9">
        <v>80794</v>
      </c>
      <c r="D310" s="8" t="s">
        <v>2133</v>
      </c>
      <c r="E310" s="10">
        <v>45494</v>
      </c>
    </row>
    <row r="311" spans="1:5" x14ac:dyDescent="0.25">
      <c r="A311" s="8" t="s">
        <v>734</v>
      </c>
      <c r="B311" s="8" t="s">
        <v>1780</v>
      </c>
      <c r="C311" s="9">
        <v>50337</v>
      </c>
      <c r="D311" s="8" t="s">
        <v>2131</v>
      </c>
      <c r="E311" s="10">
        <v>45370</v>
      </c>
    </row>
    <row r="312" spans="1:5" x14ac:dyDescent="0.25">
      <c r="A312" s="8" t="s">
        <v>734</v>
      </c>
      <c r="B312" s="8" t="s">
        <v>1781</v>
      </c>
      <c r="C312" s="9">
        <v>125268</v>
      </c>
      <c r="D312" s="8" t="s">
        <v>2129</v>
      </c>
      <c r="E312" s="10">
        <v>45604</v>
      </c>
    </row>
    <row r="313" spans="1:5" x14ac:dyDescent="0.25">
      <c r="A313" s="8" t="s">
        <v>734</v>
      </c>
      <c r="B313" s="8" t="s">
        <v>1782</v>
      </c>
      <c r="C313" s="9">
        <v>124048</v>
      </c>
      <c r="D313" s="8" t="s">
        <v>2130</v>
      </c>
      <c r="E313" s="10">
        <v>45727</v>
      </c>
    </row>
    <row r="314" spans="1:5" x14ac:dyDescent="0.25">
      <c r="A314" s="8" t="s">
        <v>734</v>
      </c>
      <c r="B314" s="8" t="s">
        <v>1783</v>
      </c>
      <c r="C314" s="9">
        <v>54031</v>
      </c>
      <c r="D314" s="8" t="s">
        <v>2136</v>
      </c>
      <c r="E314" s="10">
        <v>45406</v>
      </c>
    </row>
    <row r="315" spans="1:5" x14ac:dyDescent="0.25">
      <c r="A315" s="8" t="s">
        <v>734</v>
      </c>
      <c r="B315" s="8" t="s">
        <v>1784</v>
      </c>
      <c r="C315" s="9">
        <v>108128</v>
      </c>
      <c r="D315" s="8" t="s">
        <v>2132</v>
      </c>
      <c r="E315" s="10">
        <v>45555</v>
      </c>
    </row>
    <row r="316" spans="1:5" x14ac:dyDescent="0.25">
      <c r="A316" s="8" t="s">
        <v>734</v>
      </c>
      <c r="B316" s="8" t="s">
        <v>1785</v>
      </c>
      <c r="C316" s="9">
        <v>89414</v>
      </c>
      <c r="D316" s="8" t="s">
        <v>2134</v>
      </c>
      <c r="E316" s="10">
        <v>45711</v>
      </c>
    </row>
    <row r="317" spans="1:5" x14ac:dyDescent="0.25">
      <c r="A317" s="8" t="s">
        <v>734</v>
      </c>
      <c r="B317" s="8" t="s">
        <v>1786</v>
      </c>
      <c r="C317" s="9">
        <v>105482</v>
      </c>
      <c r="D317" s="8" t="s">
        <v>2134</v>
      </c>
      <c r="E317" s="10">
        <v>45654</v>
      </c>
    </row>
    <row r="318" spans="1:5" x14ac:dyDescent="0.25">
      <c r="A318" s="8" t="s">
        <v>734</v>
      </c>
      <c r="B318" s="8" t="s">
        <v>1787</v>
      </c>
      <c r="C318" s="9">
        <v>99031</v>
      </c>
      <c r="D318" s="8" t="s">
        <v>2131</v>
      </c>
      <c r="E318" s="10">
        <v>45487</v>
      </c>
    </row>
    <row r="319" spans="1:5" x14ac:dyDescent="0.25">
      <c r="A319" s="8" t="s">
        <v>734</v>
      </c>
      <c r="B319" s="8" t="s">
        <v>1770</v>
      </c>
      <c r="C319" s="9">
        <v>58826</v>
      </c>
      <c r="D319" s="8" t="s">
        <v>2134</v>
      </c>
      <c r="E319" s="10">
        <v>45664</v>
      </c>
    </row>
    <row r="320" spans="1:5" x14ac:dyDescent="0.25">
      <c r="A320" s="8" t="s">
        <v>734</v>
      </c>
      <c r="B320" s="8" t="s">
        <v>1771</v>
      </c>
      <c r="C320" s="9">
        <v>111094</v>
      </c>
      <c r="D320" s="8" t="s">
        <v>2131</v>
      </c>
      <c r="E320" s="10">
        <v>45689</v>
      </c>
    </row>
    <row r="321" spans="1:5" x14ac:dyDescent="0.25">
      <c r="A321" s="8" t="s">
        <v>734</v>
      </c>
      <c r="B321" s="8" t="s">
        <v>1772</v>
      </c>
      <c r="C321" s="9">
        <v>79769</v>
      </c>
      <c r="D321" s="8" t="s">
        <v>2131</v>
      </c>
      <c r="E321" s="10">
        <v>45849</v>
      </c>
    </row>
    <row r="322" spans="1:5" x14ac:dyDescent="0.25">
      <c r="A322" s="8" t="s">
        <v>734</v>
      </c>
      <c r="B322" s="8" t="s">
        <v>1773</v>
      </c>
      <c r="C322" s="9">
        <v>32472</v>
      </c>
      <c r="D322" s="8" t="s">
        <v>2135</v>
      </c>
      <c r="E322" s="10">
        <v>45525</v>
      </c>
    </row>
    <row r="323" spans="1:5" x14ac:dyDescent="0.25">
      <c r="A323" s="8" t="s">
        <v>734</v>
      </c>
      <c r="B323" s="8" t="s">
        <v>1774</v>
      </c>
      <c r="C323" s="9">
        <v>97148</v>
      </c>
      <c r="D323" s="8" t="s">
        <v>2135</v>
      </c>
      <c r="E323" s="10">
        <v>45388</v>
      </c>
    </row>
    <row r="324" spans="1:5" x14ac:dyDescent="0.25">
      <c r="A324" s="8" t="s">
        <v>734</v>
      </c>
      <c r="B324" s="8" t="s">
        <v>1775</v>
      </c>
      <c r="C324" s="9">
        <v>56375</v>
      </c>
      <c r="D324" s="8" t="s">
        <v>2133</v>
      </c>
      <c r="E324" s="10">
        <v>45608</v>
      </c>
    </row>
    <row r="325" spans="1:5" x14ac:dyDescent="0.25">
      <c r="A325" s="8" t="s">
        <v>734</v>
      </c>
      <c r="B325" s="8" t="s">
        <v>1776</v>
      </c>
      <c r="C325" s="9">
        <v>119023</v>
      </c>
      <c r="D325" s="8" t="s">
        <v>2135</v>
      </c>
      <c r="E325" s="10">
        <v>45739</v>
      </c>
    </row>
    <row r="326" spans="1:5" x14ac:dyDescent="0.25">
      <c r="A326" s="8" t="s">
        <v>734</v>
      </c>
      <c r="B326" s="8" t="s">
        <v>1777</v>
      </c>
      <c r="C326" s="9">
        <v>85807</v>
      </c>
      <c r="D326" s="8" t="s">
        <v>2136</v>
      </c>
      <c r="E326" s="10">
        <v>45632</v>
      </c>
    </row>
    <row r="327" spans="1:5" x14ac:dyDescent="0.25">
      <c r="A327" s="8" t="s">
        <v>734</v>
      </c>
      <c r="B327" s="8" t="s">
        <v>2137</v>
      </c>
      <c r="C327" s="9">
        <v>94365</v>
      </c>
      <c r="D327" s="8" t="s">
        <v>2134</v>
      </c>
      <c r="E327" s="10">
        <v>45403</v>
      </c>
    </row>
    <row r="328" spans="1:5" x14ac:dyDescent="0.25">
      <c r="A328" s="8" t="s">
        <v>734</v>
      </c>
      <c r="B328" s="8" t="s">
        <v>2138</v>
      </c>
      <c r="C328" s="9">
        <v>104562</v>
      </c>
      <c r="D328" s="8" t="s">
        <v>2134</v>
      </c>
      <c r="E328" s="10">
        <v>45530</v>
      </c>
    </row>
    <row r="329" spans="1:5" x14ac:dyDescent="0.25">
      <c r="A329" s="8" t="s">
        <v>734</v>
      </c>
      <c r="B329" s="8" t="s">
        <v>2139</v>
      </c>
      <c r="C329" s="9">
        <v>94967</v>
      </c>
      <c r="D329" s="8" t="s">
        <v>2129</v>
      </c>
      <c r="E329" s="10">
        <v>45832</v>
      </c>
    </row>
    <row r="330" spans="1:5" x14ac:dyDescent="0.25">
      <c r="A330" s="8" t="s">
        <v>734</v>
      </c>
      <c r="B330" s="8" t="s">
        <v>2140</v>
      </c>
      <c r="C330" s="9">
        <v>78866</v>
      </c>
      <c r="D330" s="8" t="s">
        <v>2129</v>
      </c>
      <c r="E330" s="10">
        <v>45462</v>
      </c>
    </row>
    <row r="331" spans="1:5" x14ac:dyDescent="0.25">
      <c r="A331" s="8" t="s">
        <v>734</v>
      </c>
      <c r="B331" s="8" t="s">
        <v>2141</v>
      </c>
      <c r="C331" s="9">
        <v>118672</v>
      </c>
      <c r="D331" s="8" t="s">
        <v>2130</v>
      </c>
      <c r="E331" s="10">
        <v>45500</v>
      </c>
    </row>
    <row r="332" spans="1:5" x14ac:dyDescent="0.25">
      <c r="A332" s="8" t="s">
        <v>795</v>
      </c>
      <c r="B332" s="8" t="s">
        <v>2128</v>
      </c>
      <c r="C332" s="9">
        <v>153078</v>
      </c>
      <c r="D332" s="8" t="s">
        <v>2136</v>
      </c>
      <c r="E332" s="10">
        <v>45856</v>
      </c>
    </row>
    <row r="333" spans="1:5" x14ac:dyDescent="0.25">
      <c r="A333" s="8" t="s">
        <v>795</v>
      </c>
      <c r="B333" s="8" t="s">
        <v>1788</v>
      </c>
      <c r="C333" s="9">
        <v>113126</v>
      </c>
      <c r="D333" s="8" t="s">
        <v>2131</v>
      </c>
      <c r="E333" s="10">
        <v>45393</v>
      </c>
    </row>
    <row r="334" spans="1:5" x14ac:dyDescent="0.25">
      <c r="A334" s="8" t="s">
        <v>795</v>
      </c>
      <c r="B334" s="8" t="s">
        <v>1778</v>
      </c>
      <c r="C334" s="9">
        <v>171304</v>
      </c>
      <c r="D334" s="8" t="s">
        <v>2131</v>
      </c>
      <c r="E334" s="10">
        <v>45234</v>
      </c>
    </row>
    <row r="335" spans="1:5" x14ac:dyDescent="0.25">
      <c r="A335" s="8" t="s">
        <v>795</v>
      </c>
      <c r="B335" s="8" t="s">
        <v>1779</v>
      </c>
      <c r="C335" s="9">
        <v>154181</v>
      </c>
      <c r="D335" s="8" t="s">
        <v>2130</v>
      </c>
      <c r="E335" s="10">
        <v>45828</v>
      </c>
    </row>
    <row r="336" spans="1:5" x14ac:dyDescent="0.25">
      <c r="A336" s="8" t="s">
        <v>795</v>
      </c>
      <c r="B336" s="8" t="s">
        <v>1780</v>
      </c>
      <c r="C336" s="9">
        <v>156445</v>
      </c>
      <c r="D336" s="8" t="s">
        <v>2133</v>
      </c>
      <c r="E336" s="10">
        <v>45216</v>
      </c>
    </row>
    <row r="337" spans="1:5" x14ac:dyDescent="0.25">
      <c r="A337" s="8" t="s">
        <v>795</v>
      </c>
      <c r="B337" s="8" t="s">
        <v>1781</v>
      </c>
      <c r="C337" s="9">
        <v>162295</v>
      </c>
      <c r="D337" s="8" t="s">
        <v>2132</v>
      </c>
      <c r="E337" s="10">
        <v>45626</v>
      </c>
    </row>
    <row r="338" spans="1:5" x14ac:dyDescent="0.25">
      <c r="A338" s="8" t="s">
        <v>795</v>
      </c>
      <c r="B338" s="8" t="s">
        <v>1782</v>
      </c>
      <c r="C338" s="9">
        <v>159550</v>
      </c>
      <c r="D338" s="8" t="s">
        <v>2133</v>
      </c>
      <c r="E338" s="10">
        <v>45501</v>
      </c>
    </row>
    <row r="339" spans="1:5" x14ac:dyDescent="0.25">
      <c r="A339" s="8" t="s">
        <v>795</v>
      </c>
      <c r="B339" s="8" t="s">
        <v>1783</v>
      </c>
      <c r="C339" s="9">
        <v>214681</v>
      </c>
      <c r="D339" s="8" t="s">
        <v>2129</v>
      </c>
      <c r="E339" s="10">
        <v>45726</v>
      </c>
    </row>
    <row r="340" spans="1:5" x14ac:dyDescent="0.25">
      <c r="A340" s="8" t="s">
        <v>795</v>
      </c>
      <c r="B340" s="8" t="s">
        <v>1784</v>
      </c>
      <c r="C340" s="9">
        <v>125837</v>
      </c>
      <c r="D340" s="8" t="s">
        <v>2131</v>
      </c>
      <c r="E340" s="10">
        <v>45326</v>
      </c>
    </row>
    <row r="341" spans="1:5" x14ac:dyDescent="0.25">
      <c r="A341" s="8" t="s">
        <v>795</v>
      </c>
      <c r="B341" s="8" t="s">
        <v>1785</v>
      </c>
      <c r="C341" s="9">
        <v>75495</v>
      </c>
      <c r="D341" s="8" t="s">
        <v>2129</v>
      </c>
      <c r="E341" s="10">
        <v>45649</v>
      </c>
    </row>
    <row r="342" spans="1:5" x14ac:dyDescent="0.25">
      <c r="A342" s="8" t="s">
        <v>795</v>
      </c>
      <c r="B342" s="8" t="s">
        <v>1786</v>
      </c>
      <c r="C342" s="9">
        <v>157371</v>
      </c>
      <c r="D342" s="8" t="s">
        <v>2129</v>
      </c>
      <c r="E342" s="10">
        <v>45379</v>
      </c>
    </row>
    <row r="343" spans="1:5" x14ac:dyDescent="0.25">
      <c r="A343" s="8" t="s">
        <v>795</v>
      </c>
      <c r="B343" s="8" t="s">
        <v>1787</v>
      </c>
      <c r="C343" s="9">
        <v>190070</v>
      </c>
      <c r="D343" s="8" t="s">
        <v>2129</v>
      </c>
      <c r="E343" s="10">
        <v>45410</v>
      </c>
    </row>
    <row r="344" spans="1:5" x14ac:dyDescent="0.25">
      <c r="A344" s="8" t="s">
        <v>795</v>
      </c>
      <c r="B344" s="8" t="s">
        <v>1770</v>
      </c>
      <c r="C344" s="9">
        <v>95817</v>
      </c>
      <c r="D344" s="8" t="s">
        <v>2129</v>
      </c>
      <c r="E344" s="10">
        <v>45373</v>
      </c>
    </row>
    <row r="345" spans="1:5" x14ac:dyDescent="0.25">
      <c r="A345" s="8" t="s">
        <v>795</v>
      </c>
      <c r="B345" s="8" t="s">
        <v>1771</v>
      </c>
      <c r="C345" s="9">
        <v>171688</v>
      </c>
      <c r="D345" s="8" t="s">
        <v>2129</v>
      </c>
      <c r="E345" s="10">
        <v>45394</v>
      </c>
    </row>
    <row r="346" spans="1:5" x14ac:dyDescent="0.25">
      <c r="A346" s="8" t="s">
        <v>795</v>
      </c>
      <c r="B346" s="8" t="s">
        <v>1772</v>
      </c>
      <c r="C346" s="9">
        <v>102015</v>
      </c>
      <c r="D346" s="8" t="s">
        <v>2133</v>
      </c>
      <c r="E346" s="10">
        <v>45298</v>
      </c>
    </row>
    <row r="347" spans="1:5" x14ac:dyDescent="0.25">
      <c r="A347" s="8" t="s">
        <v>795</v>
      </c>
      <c r="B347" s="8" t="s">
        <v>1773</v>
      </c>
      <c r="C347" s="9">
        <v>190539</v>
      </c>
      <c r="D347" s="8" t="s">
        <v>2134</v>
      </c>
      <c r="E347" s="10">
        <v>45261</v>
      </c>
    </row>
    <row r="348" spans="1:5" x14ac:dyDescent="0.25">
      <c r="A348" s="8" t="s">
        <v>795</v>
      </c>
      <c r="B348" s="8" t="s">
        <v>1774</v>
      </c>
      <c r="C348" s="9">
        <v>157772</v>
      </c>
      <c r="D348" s="8" t="s">
        <v>2134</v>
      </c>
      <c r="E348" s="10">
        <v>45831</v>
      </c>
    </row>
    <row r="349" spans="1:5" x14ac:dyDescent="0.25">
      <c r="A349" s="8" t="s">
        <v>795</v>
      </c>
      <c r="B349" s="8" t="s">
        <v>1775</v>
      </c>
      <c r="C349" s="9">
        <v>122737</v>
      </c>
      <c r="D349" s="8" t="s">
        <v>2135</v>
      </c>
      <c r="E349" s="10">
        <v>45767</v>
      </c>
    </row>
    <row r="350" spans="1:5" x14ac:dyDescent="0.25">
      <c r="A350" s="8" t="s">
        <v>795</v>
      </c>
      <c r="B350" s="8" t="s">
        <v>1776</v>
      </c>
      <c r="C350" s="9">
        <v>94270</v>
      </c>
      <c r="D350" s="8" t="s">
        <v>2136</v>
      </c>
      <c r="E350" s="10">
        <v>45693</v>
      </c>
    </row>
    <row r="351" spans="1:5" x14ac:dyDescent="0.25">
      <c r="A351" s="8" t="s">
        <v>795</v>
      </c>
      <c r="B351" s="8" t="s">
        <v>1777</v>
      </c>
      <c r="C351" s="9">
        <v>243145</v>
      </c>
      <c r="D351" s="8" t="s">
        <v>2136</v>
      </c>
      <c r="E351" s="10">
        <v>45632</v>
      </c>
    </row>
    <row r="352" spans="1:5" x14ac:dyDescent="0.25">
      <c r="A352" s="8" t="s">
        <v>795</v>
      </c>
      <c r="B352" s="8" t="s">
        <v>2137</v>
      </c>
      <c r="C352" s="9">
        <v>248030</v>
      </c>
      <c r="D352" s="8" t="s">
        <v>2133</v>
      </c>
      <c r="E352" s="10">
        <v>45774</v>
      </c>
    </row>
    <row r="353" spans="1:5" x14ac:dyDescent="0.25">
      <c r="A353" s="8" t="s">
        <v>795</v>
      </c>
      <c r="B353" s="8" t="s">
        <v>2138</v>
      </c>
      <c r="C353" s="9">
        <v>114901</v>
      </c>
      <c r="D353" s="8" t="s">
        <v>2133</v>
      </c>
      <c r="E353" s="10">
        <v>45643</v>
      </c>
    </row>
    <row r="354" spans="1:5" x14ac:dyDescent="0.25">
      <c r="A354" s="8" t="s">
        <v>795</v>
      </c>
      <c r="B354" s="8" t="s">
        <v>2139</v>
      </c>
      <c r="C354" s="9">
        <v>113974</v>
      </c>
      <c r="D354" s="8" t="s">
        <v>2131</v>
      </c>
      <c r="E354" s="10">
        <v>45641</v>
      </c>
    </row>
    <row r="355" spans="1:5" x14ac:dyDescent="0.25">
      <c r="A355" s="8" t="s">
        <v>795</v>
      </c>
      <c r="B355" s="8" t="s">
        <v>2140</v>
      </c>
      <c r="C355" s="9">
        <v>160459</v>
      </c>
      <c r="D355" s="8" t="s">
        <v>2132</v>
      </c>
      <c r="E355" s="10">
        <v>45662</v>
      </c>
    </row>
    <row r="356" spans="1:5" x14ac:dyDescent="0.25">
      <c r="A356" s="8" t="s">
        <v>795</v>
      </c>
      <c r="B356" s="8" t="s">
        <v>2141</v>
      </c>
      <c r="C356" s="9">
        <v>142179</v>
      </c>
      <c r="D356" s="8" t="s">
        <v>2131</v>
      </c>
      <c r="E356" s="10">
        <v>45546</v>
      </c>
    </row>
    <row r="357" spans="1:5" x14ac:dyDescent="0.25">
      <c r="A357" s="8" t="s">
        <v>813</v>
      </c>
      <c r="B357" s="8" t="s">
        <v>1783</v>
      </c>
      <c r="C357" s="9">
        <v>174753</v>
      </c>
      <c r="D357" s="8" t="s">
        <v>2129</v>
      </c>
      <c r="E357" s="10">
        <v>45729</v>
      </c>
    </row>
    <row r="358" spans="1:5" x14ac:dyDescent="0.25">
      <c r="A358" s="8" t="s">
        <v>813</v>
      </c>
      <c r="B358" s="8" t="s">
        <v>1784</v>
      </c>
      <c r="C358" s="9">
        <v>203760</v>
      </c>
      <c r="D358" s="8" t="s">
        <v>2132</v>
      </c>
      <c r="E358" s="10">
        <v>45194</v>
      </c>
    </row>
    <row r="359" spans="1:5" x14ac:dyDescent="0.25">
      <c r="A359" s="8" t="s">
        <v>813</v>
      </c>
      <c r="B359" s="8" t="s">
        <v>1785</v>
      </c>
      <c r="C359" s="9">
        <v>281483</v>
      </c>
      <c r="D359" s="8" t="s">
        <v>2130</v>
      </c>
      <c r="E359" s="10">
        <v>45628</v>
      </c>
    </row>
    <row r="360" spans="1:5" x14ac:dyDescent="0.25">
      <c r="A360" s="8" t="s">
        <v>813</v>
      </c>
      <c r="B360" s="8" t="s">
        <v>1786</v>
      </c>
      <c r="C360" s="9">
        <v>255054</v>
      </c>
      <c r="D360" s="8" t="s">
        <v>2136</v>
      </c>
      <c r="E360" s="10">
        <v>45653</v>
      </c>
    </row>
    <row r="361" spans="1:5" x14ac:dyDescent="0.25">
      <c r="A361" s="8" t="s">
        <v>813</v>
      </c>
      <c r="B361" s="8" t="s">
        <v>1787</v>
      </c>
      <c r="C361" s="9">
        <v>175030</v>
      </c>
      <c r="D361" s="8" t="s">
        <v>2133</v>
      </c>
      <c r="E361" s="10">
        <v>45542</v>
      </c>
    </row>
    <row r="362" spans="1:5" x14ac:dyDescent="0.25">
      <c r="A362" s="8" t="s">
        <v>813</v>
      </c>
      <c r="B362" s="8" t="s">
        <v>1770</v>
      </c>
      <c r="C362" s="9">
        <v>224612</v>
      </c>
      <c r="D362" s="8" t="s">
        <v>2132</v>
      </c>
      <c r="E362" s="10">
        <v>45607</v>
      </c>
    </row>
    <row r="363" spans="1:5" x14ac:dyDescent="0.25">
      <c r="A363" s="8" t="s">
        <v>813</v>
      </c>
      <c r="B363" s="8" t="s">
        <v>1771</v>
      </c>
      <c r="C363" s="9">
        <v>102407</v>
      </c>
      <c r="D363" s="8" t="s">
        <v>2134</v>
      </c>
      <c r="E363" s="10">
        <v>45854</v>
      </c>
    </row>
    <row r="364" spans="1:5" x14ac:dyDescent="0.25">
      <c r="A364" s="8" t="s">
        <v>813</v>
      </c>
      <c r="B364" s="8" t="s">
        <v>1772</v>
      </c>
      <c r="C364" s="9">
        <v>196728</v>
      </c>
      <c r="D364" s="8" t="s">
        <v>2135</v>
      </c>
      <c r="E364" s="10">
        <v>45462</v>
      </c>
    </row>
    <row r="365" spans="1:5" x14ac:dyDescent="0.25">
      <c r="A365" s="8" t="s">
        <v>813</v>
      </c>
      <c r="B365" s="8" t="s">
        <v>1773</v>
      </c>
      <c r="C365" s="9">
        <v>179007</v>
      </c>
      <c r="D365" s="8" t="s">
        <v>2136</v>
      </c>
      <c r="E365" s="10">
        <v>45151</v>
      </c>
    </row>
    <row r="366" spans="1:5" x14ac:dyDescent="0.25">
      <c r="A366" s="8" t="s">
        <v>813</v>
      </c>
      <c r="B366" s="8" t="s">
        <v>1774</v>
      </c>
      <c r="C366" s="9">
        <v>236091</v>
      </c>
      <c r="D366" s="8" t="s">
        <v>2129</v>
      </c>
      <c r="E366" s="10">
        <v>45527</v>
      </c>
    </row>
    <row r="367" spans="1:5" x14ac:dyDescent="0.25">
      <c r="A367" s="8" t="s">
        <v>813</v>
      </c>
      <c r="B367" s="8" t="s">
        <v>1775</v>
      </c>
      <c r="C367" s="9">
        <v>219846</v>
      </c>
      <c r="D367" s="8" t="s">
        <v>2134</v>
      </c>
      <c r="E367" s="10">
        <v>45472</v>
      </c>
    </row>
    <row r="368" spans="1:5" x14ac:dyDescent="0.25">
      <c r="A368" s="8" t="s">
        <v>813</v>
      </c>
      <c r="B368" s="8" t="s">
        <v>1776</v>
      </c>
      <c r="C368" s="9">
        <v>204956</v>
      </c>
      <c r="D368" s="8" t="s">
        <v>2133</v>
      </c>
      <c r="E368" s="10">
        <v>45766</v>
      </c>
    </row>
    <row r="369" spans="1:5" x14ac:dyDescent="0.25">
      <c r="A369" s="8" t="s">
        <v>813</v>
      </c>
      <c r="B369" s="8" t="s">
        <v>1777</v>
      </c>
      <c r="C369" s="9">
        <v>212156</v>
      </c>
      <c r="D369" s="8" t="s">
        <v>2131</v>
      </c>
      <c r="E369" s="10">
        <v>45330</v>
      </c>
    </row>
    <row r="370" spans="1:5" x14ac:dyDescent="0.25">
      <c r="A370" s="8" t="s">
        <v>813</v>
      </c>
      <c r="B370" s="8" t="s">
        <v>2137</v>
      </c>
      <c r="C370" s="9">
        <v>169642</v>
      </c>
      <c r="D370" s="8" t="s">
        <v>2131</v>
      </c>
      <c r="E370" s="10">
        <v>45381</v>
      </c>
    </row>
    <row r="371" spans="1:5" x14ac:dyDescent="0.25">
      <c r="A371" s="8" t="s">
        <v>813</v>
      </c>
      <c r="B371" s="8" t="s">
        <v>2138</v>
      </c>
      <c r="C371" s="9">
        <v>236291</v>
      </c>
      <c r="D371" s="8" t="s">
        <v>2131</v>
      </c>
      <c r="E371" s="10">
        <v>45621</v>
      </c>
    </row>
    <row r="372" spans="1:5" x14ac:dyDescent="0.25">
      <c r="A372" s="8" t="s">
        <v>813</v>
      </c>
      <c r="B372" s="8" t="s">
        <v>2139</v>
      </c>
      <c r="C372" s="9">
        <v>212151</v>
      </c>
      <c r="D372" s="8" t="s">
        <v>2133</v>
      </c>
      <c r="E372" s="10">
        <v>45513</v>
      </c>
    </row>
    <row r="373" spans="1:5" x14ac:dyDescent="0.25">
      <c r="A373" s="8" t="s">
        <v>839</v>
      </c>
      <c r="B373" s="8" t="s">
        <v>1784</v>
      </c>
      <c r="C373" s="9">
        <v>441076</v>
      </c>
      <c r="D373" s="8" t="s">
        <v>2132</v>
      </c>
      <c r="E373" s="10">
        <v>45649</v>
      </c>
    </row>
    <row r="374" spans="1:5" x14ac:dyDescent="0.25">
      <c r="A374" s="8" t="s">
        <v>839</v>
      </c>
      <c r="B374" s="8" t="s">
        <v>1785</v>
      </c>
      <c r="C374" s="9">
        <v>471071</v>
      </c>
      <c r="D374" s="8" t="s">
        <v>2130</v>
      </c>
      <c r="E374" s="10">
        <v>45354</v>
      </c>
    </row>
    <row r="375" spans="1:5" x14ac:dyDescent="0.25">
      <c r="A375" s="8" t="s">
        <v>839</v>
      </c>
      <c r="B375" s="8" t="s">
        <v>1786</v>
      </c>
      <c r="C375" s="9">
        <v>556735</v>
      </c>
      <c r="D375" s="8" t="s">
        <v>2130</v>
      </c>
      <c r="E375" s="10">
        <v>45856</v>
      </c>
    </row>
    <row r="376" spans="1:5" x14ac:dyDescent="0.25">
      <c r="A376" s="8" t="s">
        <v>839</v>
      </c>
      <c r="B376" s="8" t="s">
        <v>1787</v>
      </c>
      <c r="C376" s="9">
        <v>567607</v>
      </c>
      <c r="D376" s="8" t="s">
        <v>2133</v>
      </c>
      <c r="E376" s="10">
        <v>45512</v>
      </c>
    </row>
    <row r="377" spans="1:5" x14ac:dyDescent="0.25">
      <c r="A377" s="8" t="s">
        <v>839</v>
      </c>
      <c r="B377" s="8" t="s">
        <v>1770</v>
      </c>
      <c r="C377" s="9">
        <v>420389</v>
      </c>
      <c r="D377" s="8" t="s">
        <v>2130</v>
      </c>
      <c r="E377" s="10">
        <v>45425</v>
      </c>
    </row>
    <row r="378" spans="1:5" x14ac:dyDescent="0.25">
      <c r="A378" s="8" t="s">
        <v>839</v>
      </c>
      <c r="B378" s="8" t="s">
        <v>1771</v>
      </c>
      <c r="C378" s="9">
        <v>357007</v>
      </c>
      <c r="D378" s="8" t="s">
        <v>2135</v>
      </c>
      <c r="E378" s="10">
        <v>45323</v>
      </c>
    </row>
    <row r="379" spans="1:5" x14ac:dyDescent="0.25">
      <c r="A379" s="8" t="s">
        <v>839</v>
      </c>
      <c r="B379" s="8" t="s">
        <v>1772</v>
      </c>
      <c r="C379" s="9">
        <v>407355</v>
      </c>
      <c r="D379" s="8" t="s">
        <v>2132</v>
      </c>
      <c r="E379" s="10">
        <v>45728</v>
      </c>
    </row>
    <row r="380" spans="1:5" x14ac:dyDescent="0.25">
      <c r="A380" s="8" t="s">
        <v>857</v>
      </c>
      <c r="B380" s="8" t="s">
        <v>2128</v>
      </c>
      <c r="C380" s="9">
        <v>243414</v>
      </c>
      <c r="D380" s="8" t="s">
        <v>2129</v>
      </c>
      <c r="E380" s="10">
        <v>45241</v>
      </c>
    </row>
    <row r="381" spans="1:5" x14ac:dyDescent="0.25">
      <c r="A381" s="8" t="s">
        <v>857</v>
      </c>
      <c r="B381" s="8" t="s">
        <v>1788</v>
      </c>
      <c r="C381" s="9">
        <v>279114</v>
      </c>
      <c r="D381" s="8" t="s">
        <v>2131</v>
      </c>
      <c r="E381" s="10">
        <v>45380</v>
      </c>
    </row>
    <row r="382" spans="1:5" x14ac:dyDescent="0.25">
      <c r="A382" s="8" t="s">
        <v>857</v>
      </c>
      <c r="B382" s="8" t="s">
        <v>1778</v>
      </c>
      <c r="C382" s="9">
        <v>351828</v>
      </c>
      <c r="D382" s="8" t="s">
        <v>2130</v>
      </c>
      <c r="E382" s="10">
        <v>45529</v>
      </c>
    </row>
    <row r="383" spans="1:5" x14ac:dyDescent="0.25">
      <c r="A383" s="8" t="s">
        <v>857</v>
      </c>
      <c r="B383" s="8" t="s">
        <v>1779</v>
      </c>
      <c r="C383" s="9">
        <v>238919</v>
      </c>
      <c r="D383" s="8" t="s">
        <v>2129</v>
      </c>
      <c r="E383" s="10">
        <v>45288</v>
      </c>
    </row>
    <row r="384" spans="1:5" x14ac:dyDescent="0.25">
      <c r="A384" s="8" t="s">
        <v>857</v>
      </c>
      <c r="B384" s="8" t="s">
        <v>1780</v>
      </c>
      <c r="C384" s="9">
        <v>297037</v>
      </c>
      <c r="D384" s="8" t="s">
        <v>2132</v>
      </c>
      <c r="E384" s="10">
        <v>45623</v>
      </c>
    </row>
    <row r="385" spans="1:5" x14ac:dyDescent="0.25">
      <c r="A385" s="8" t="s">
        <v>857</v>
      </c>
      <c r="B385" s="8" t="s">
        <v>1781</v>
      </c>
      <c r="C385" s="9">
        <v>258300</v>
      </c>
      <c r="D385" s="8" t="s">
        <v>2136</v>
      </c>
      <c r="E385" s="10">
        <v>45319</v>
      </c>
    </row>
    <row r="386" spans="1:5" x14ac:dyDescent="0.25">
      <c r="A386" s="8" t="s">
        <v>857</v>
      </c>
      <c r="B386" s="8" t="s">
        <v>1782</v>
      </c>
      <c r="C386" s="9">
        <v>272065</v>
      </c>
      <c r="D386" s="8" t="s">
        <v>2130</v>
      </c>
      <c r="E386" s="10">
        <v>45650</v>
      </c>
    </row>
    <row r="387" spans="1:5" x14ac:dyDescent="0.25">
      <c r="A387" s="8" t="s">
        <v>857</v>
      </c>
      <c r="B387" s="8" t="s">
        <v>1783</v>
      </c>
      <c r="C387" s="9">
        <v>291279</v>
      </c>
      <c r="D387" s="8" t="s">
        <v>2132</v>
      </c>
      <c r="E387" s="10">
        <v>45784</v>
      </c>
    </row>
    <row r="388" spans="1:5" x14ac:dyDescent="0.25">
      <c r="A388" s="8" t="s">
        <v>857</v>
      </c>
      <c r="B388" s="8" t="s">
        <v>1784</v>
      </c>
      <c r="C388" s="9">
        <v>352110</v>
      </c>
      <c r="D388" s="8" t="s">
        <v>2133</v>
      </c>
      <c r="E388" s="10">
        <v>45637</v>
      </c>
    </row>
    <row r="389" spans="1:5" x14ac:dyDescent="0.25">
      <c r="A389" s="8" t="s">
        <v>857</v>
      </c>
      <c r="B389" s="8" t="s">
        <v>1785</v>
      </c>
      <c r="C389" s="9">
        <v>287514</v>
      </c>
      <c r="D389" s="8" t="s">
        <v>2131</v>
      </c>
      <c r="E389" s="10">
        <v>45395</v>
      </c>
    </row>
    <row r="390" spans="1:5" x14ac:dyDescent="0.25">
      <c r="A390" s="8" t="s">
        <v>857</v>
      </c>
      <c r="B390" s="8" t="s">
        <v>1786</v>
      </c>
      <c r="C390" s="9">
        <v>96017</v>
      </c>
      <c r="D390" s="8" t="s">
        <v>2136</v>
      </c>
      <c r="E390" s="10">
        <v>45546</v>
      </c>
    </row>
    <row r="391" spans="1:5" x14ac:dyDescent="0.25">
      <c r="A391" s="8" t="s">
        <v>857</v>
      </c>
      <c r="B391" s="8" t="s">
        <v>1787</v>
      </c>
      <c r="C391" s="9">
        <v>257292</v>
      </c>
      <c r="D391" s="8" t="s">
        <v>2134</v>
      </c>
      <c r="E391" s="10">
        <v>45846</v>
      </c>
    </row>
    <row r="392" spans="1:5" x14ac:dyDescent="0.25">
      <c r="A392" s="8" t="s">
        <v>857</v>
      </c>
      <c r="B392" s="8" t="s">
        <v>1770</v>
      </c>
      <c r="C392" s="9">
        <v>376988</v>
      </c>
      <c r="D392" s="8" t="s">
        <v>2132</v>
      </c>
      <c r="E392" s="10">
        <v>45200</v>
      </c>
    </row>
    <row r="393" spans="1:5" x14ac:dyDescent="0.25">
      <c r="A393" s="8" t="s">
        <v>857</v>
      </c>
      <c r="B393" s="8" t="s">
        <v>1771</v>
      </c>
      <c r="C393" s="9">
        <v>348082</v>
      </c>
      <c r="D393" s="8" t="s">
        <v>2129</v>
      </c>
      <c r="E393" s="10">
        <v>45399</v>
      </c>
    </row>
    <row r="394" spans="1:5" x14ac:dyDescent="0.25">
      <c r="A394" s="8" t="s">
        <v>857</v>
      </c>
      <c r="B394" s="8" t="s">
        <v>1772</v>
      </c>
      <c r="C394" s="9">
        <v>324291</v>
      </c>
      <c r="D394" s="8" t="s">
        <v>2135</v>
      </c>
      <c r="E394" s="10">
        <v>45783</v>
      </c>
    </row>
    <row r="395" spans="1:5" x14ac:dyDescent="0.25">
      <c r="A395" s="8" t="s">
        <v>857</v>
      </c>
      <c r="B395" s="8" t="s">
        <v>1773</v>
      </c>
      <c r="C395" s="9">
        <v>350604</v>
      </c>
      <c r="D395" s="8" t="s">
        <v>2134</v>
      </c>
      <c r="E395" s="10">
        <v>45599</v>
      </c>
    </row>
    <row r="396" spans="1:5" x14ac:dyDescent="0.25">
      <c r="A396" s="8" t="s">
        <v>857</v>
      </c>
      <c r="B396" s="8" t="s">
        <v>1774</v>
      </c>
      <c r="C396" s="9">
        <v>326551</v>
      </c>
      <c r="D396" s="8" t="s">
        <v>2133</v>
      </c>
      <c r="E396" s="10">
        <v>45405</v>
      </c>
    </row>
    <row r="397" spans="1:5" x14ac:dyDescent="0.25">
      <c r="A397" s="8" t="s">
        <v>857</v>
      </c>
      <c r="B397" s="8" t="s">
        <v>1775</v>
      </c>
      <c r="C397" s="9">
        <v>349291</v>
      </c>
      <c r="D397" s="8" t="s">
        <v>2133</v>
      </c>
      <c r="E397" s="10">
        <v>45507</v>
      </c>
    </row>
    <row r="398" spans="1:5" x14ac:dyDescent="0.25">
      <c r="A398" s="8" t="s">
        <v>857</v>
      </c>
      <c r="B398" s="8" t="s">
        <v>1776</v>
      </c>
      <c r="C398" s="9">
        <v>195124</v>
      </c>
      <c r="D398" s="8" t="s">
        <v>2131</v>
      </c>
      <c r="E398" s="10">
        <v>45491</v>
      </c>
    </row>
    <row r="399" spans="1:5" x14ac:dyDescent="0.25">
      <c r="A399" s="8" t="s">
        <v>857</v>
      </c>
      <c r="B399" s="8" t="s">
        <v>1777</v>
      </c>
      <c r="C399" s="9">
        <v>266719</v>
      </c>
      <c r="D399" s="8" t="s">
        <v>2136</v>
      </c>
      <c r="E399" s="10">
        <v>45560</v>
      </c>
    </row>
    <row r="400" spans="1:5" x14ac:dyDescent="0.25">
      <c r="A400" s="8" t="s">
        <v>857</v>
      </c>
      <c r="B400" s="8" t="s">
        <v>2137</v>
      </c>
      <c r="C400" s="9">
        <v>280759</v>
      </c>
      <c r="D400" s="8" t="s">
        <v>2134</v>
      </c>
      <c r="E400" s="10">
        <v>45498</v>
      </c>
    </row>
    <row r="401" spans="1:5" x14ac:dyDescent="0.25">
      <c r="A401" s="8" t="s">
        <v>857</v>
      </c>
      <c r="B401" s="8" t="s">
        <v>2138</v>
      </c>
      <c r="C401" s="9">
        <v>274429</v>
      </c>
      <c r="D401" s="8" t="s">
        <v>2129</v>
      </c>
      <c r="E401" s="10">
        <v>45729</v>
      </c>
    </row>
    <row r="402" spans="1:5" x14ac:dyDescent="0.25">
      <c r="A402" s="8" t="s">
        <v>857</v>
      </c>
      <c r="B402" s="8" t="s">
        <v>2139</v>
      </c>
      <c r="C402" s="9">
        <v>231708</v>
      </c>
      <c r="D402" s="8" t="s">
        <v>2132</v>
      </c>
      <c r="E402" s="10">
        <v>45430</v>
      </c>
    </row>
    <row r="403" spans="1:5" x14ac:dyDescent="0.25">
      <c r="A403" s="8" t="s">
        <v>857</v>
      </c>
      <c r="B403" s="8" t="s">
        <v>2140</v>
      </c>
      <c r="C403" s="9">
        <v>280676</v>
      </c>
      <c r="D403" s="8" t="s">
        <v>2133</v>
      </c>
      <c r="E403" s="10">
        <v>45471</v>
      </c>
    </row>
    <row r="404" spans="1:5" x14ac:dyDescent="0.25">
      <c r="A404" s="8" t="s">
        <v>857</v>
      </c>
      <c r="B404" s="8" t="s">
        <v>2141</v>
      </c>
      <c r="C404" s="9">
        <v>155677</v>
      </c>
      <c r="D404" s="8" t="s">
        <v>2135</v>
      </c>
      <c r="E404" s="10">
        <v>45893</v>
      </c>
    </row>
    <row r="405" spans="1:5" x14ac:dyDescent="0.25">
      <c r="A405" s="8" t="s">
        <v>918</v>
      </c>
      <c r="B405" s="8" t="s">
        <v>1782</v>
      </c>
      <c r="C405" s="9">
        <v>460601</v>
      </c>
      <c r="D405" s="8" t="s">
        <v>2135</v>
      </c>
      <c r="E405" s="10">
        <v>45219</v>
      </c>
    </row>
    <row r="406" spans="1:5" x14ac:dyDescent="0.25">
      <c r="A406" s="8" t="s">
        <v>918</v>
      </c>
      <c r="B406" s="8" t="s">
        <v>1783</v>
      </c>
      <c r="C406" s="9">
        <v>344038</v>
      </c>
      <c r="D406" s="8" t="s">
        <v>2130</v>
      </c>
      <c r="E406" s="10">
        <v>45767</v>
      </c>
    </row>
    <row r="407" spans="1:5" x14ac:dyDescent="0.25">
      <c r="A407" s="8" t="s">
        <v>918</v>
      </c>
      <c r="B407" s="8" t="s">
        <v>1784</v>
      </c>
      <c r="C407" s="9">
        <v>188656</v>
      </c>
      <c r="D407" s="8" t="s">
        <v>2131</v>
      </c>
      <c r="E407" s="10">
        <v>45613</v>
      </c>
    </row>
    <row r="408" spans="1:5" x14ac:dyDescent="0.25">
      <c r="A408" s="8" t="s">
        <v>918</v>
      </c>
      <c r="B408" s="8" t="s">
        <v>1785</v>
      </c>
      <c r="C408" s="9">
        <v>415437</v>
      </c>
      <c r="D408" s="8" t="s">
        <v>2132</v>
      </c>
      <c r="E408" s="10">
        <v>45310</v>
      </c>
    </row>
    <row r="409" spans="1:5" x14ac:dyDescent="0.25">
      <c r="A409" s="8" t="s">
        <v>918</v>
      </c>
      <c r="B409" s="8" t="s">
        <v>1786</v>
      </c>
      <c r="C409" s="9">
        <v>573854</v>
      </c>
      <c r="D409" s="8" t="s">
        <v>2133</v>
      </c>
      <c r="E409" s="10">
        <v>45570</v>
      </c>
    </row>
    <row r="410" spans="1:5" x14ac:dyDescent="0.25">
      <c r="A410" s="8" t="s">
        <v>918</v>
      </c>
      <c r="B410" s="8" t="s">
        <v>1787</v>
      </c>
      <c r="C410" s="9">
        <v>217118</v>
      </c>
      <c r="D410" s="8" t="s">
        <v>2130</v>
      </c>
      <c r="E410" s="10">
        <v>45212</v>
      </c>
    </row>
    <row r="411" spans="1:5" x14ac:dyDescent="0.25">
      <c r="A411" s="8" t="s">
        <v>918</v>
      </c>
      <c r="B411" s="8" t="s">
        <v>1770</v>
      </c>
      <c r="C411" s="9">
        <v>388590</v>
      </c>
      <c r="D411" s="8" t="s">
        <v>2134</v>
      </c>
      <c r="E411" s="10">
        <v>45304</v>
      </c>
    </row>
    <row r="412" spans="1:5" x14ac:dyDescent="0.25">
      <c r="A412" s="8" t="s">
        <v>918</v>
      </c>
      <c r="B412" s="8" t="s">
        <v>1771</v>
      </c>
      <c r="C412" s="9">
        <v>245950</v>
      </c>
      <c r="D412" s="8" t="s">
        <v>2133</v>
      </c>
      <c r="E412" s="10">
        <v>45372</v>
      </c>
    </row>
    <row r="413" spans="1:5" x14ac:dyDescent="0.25">
      <c r="A413" s="8" t="s">
        <v>918</v>
      </c>
      <c r="B413" s="8" t="s">
        <v>1772</v>
      </c>
      <c r="C413" s="9">
        <v>440317</v>
      </c>
      <c r="D413" s="8" t="s">
        <v>2133</v>
      </c>
      <c r="E413" s="10">
        <v>45463</v>
      </c>
    </row>
    <row r="414" spans="1:5" x14ac:dyDescent="0.25">
      <c r="A414" s="8" t="s">
        <v>918</v>
      </c>
      <c r="B414" s="8" t="s">
        <v>1773</v>
      </c>
      <c r="C414" s="9">
        <v>503823</v>
      </c>
      <c r="D414" s="8" t="s">
        <v>2131</v>
      </c>
      <c r="E414" s="10">
        <v>45866</v>
      </c>
    </row>
    <row r="415" spans="1:5" x14ac:dyDescent="0.25">
      <c r="A415" s="8" t="s">
        <v>918</v>
      </c>
      <c r="B415" s="8" t="s">
        <v>1774</v>
      </c>
      <c r="C415" s="9">
        <v>330027</v>
      </c>
      <c r="D415" s="8" t="s">
        <v>2131</v>
      </c>
      <c r="E415" s="10">
        <v>45758</v>
      </c>
    </row>
    <row r="416" spans="1:5" x14ac:dyDescent="0.25">
      <c r="A416" s="8" t="s">
        <v>918</v>
      </c>
      <c r="B416" s="8" t="s">
        <v>1775</v>
      </c>
      <c r="C416" s="9">
        <v>369914</v>
      </c>
      <c r="D416" s="8" t="s">
        <v>2130</v>
      </c>
      <c r="E416" s="10">
        <v>45416</v>
      </c>
    </row>
    <row r="417" spans="1:5" x14ac:dyDescent="0.25">
      <c r="A417" s="8" t="s">
        <v>918</v>
      </c>
      <c r="B417" s="8" t="s">
        <v>1776</v>
      </c>
      <c r="C417" s="9">
        <v>398350</v>
      </c>
      <c r="D417" s="8" t="s">
        <v>2135</v>
      </c>
      <c r="E417" s="10">
        <v>45510</v>
      </c>
    </row>
    <row r="418" spans="1:5" x14ac:dyDescent="0.25">
      <c r="A418" s="8" t="s">
        <v>918</v>
      </c>
      <c r="B418" s="8" t="s">
        <v>1777</v>
      </c>
      <c r="C418" s="9">
        <v>541924</v>
      </c>
      <c r="D418" s="8" t="s">
        <v>2135</v>
      </c>
      <c r="E418" s="10">
        <v>45562</v>
      </c>
    </row>
    <row r="419" spans="1:5" x14ac:dyDescent="0.25">
      <c r="A419" s="8" t="s">
        <v>918</v>
      </c>
      <c r="B419" s="8" t="s">
        <v>2137</v>
      </c>
      <c r="C419" s="9">
        <v>269113</v>
      </c>
      <c r="D419" s="8" t="s">
        <v>2132</v>
      </c>
      <c r="E419" s="10">
        <v>45327</v>
      </c>
    </row>
    <row r="420" spans="1:5" x14ac:dyDescent="0.25">
      <c r="A420" s="8" t="s">
        <v>918</v>
      </c>
      <c r="B420" s="8" t="s">
        <v>2138</v>
      </c>
      <c r="C420" s="9">
        <v>366784</v>
      </c>
      <c r="D420" s="8" t="s">
        <v>2136</v>
      </c>
      <c r="E420" s="10">
        <v>45267</v>
      </c>
    </row>
    <row r="421" spans="1:5" x14ac:dyDescent="0.25">
      <c r="A421" s="8" t="s">
        <v>918</v>
      </c>
      <c r="B421" s="8" t="s">
        <v>2139</v>
      </c>
      <c r="C421" s="9">
        <v>576191</v>
      </c>
      <c r="D421" s="8" t="s">
        <v>2129</v>
      </c>
      <c r="E421" s="10">
        <v>45816</v>
      </c>
    </row>
    <row r="422" spans="1:5" x14ac:dyDescent="0.25">
      <c r="A422" s="8" t="s">
        <v>918</v>
      </c>
      <c r="B422" s="8" t="s">
        <v>2140</v>
      </c>
      <c r="C422" s="9">
        <v>338497</v>
      </c>
      <c r="D422" s="8" t="s">
        <v>2131</v>
      </c>
      <c r="E422" s="10">
        <v>45900</v>
      </c>
    </row>
    <row r="423" spans="1:5" x14ac:dyDescent="0.25">
      <c r="A423" s="8" t="s">
        <v>964</v>
      </c>
      <c r="B423" s="8" t="s">
        <v>2128</v>
      </c>
      <c r="C423" s="9">
        <v>23662</v>
      </c>
      <c r="D423" s="8" t="s">
        <v>2134</v>
      </c>
      <c r="E423" s="10">
        <v>45354</v>
      </c>
    </row>
    <row r="424" spans="1:5" x14ac:dyDescent="0.25">
      <c r="A424" s="8" t="s">
        <v>964</v>
      </c>
      <c r="B424" s="8" t="s">
        <v>1788</v>
      </c>
      <c r="C424" s="9">
        <v>27433</v>
      </c>
      <c r="D424" s="8" t="s">
        <v>2132</v>
      </c>
      <c r="E424" s="10">
        <v>45545</v>
      </c>
    </row>
    <row r="425" spans="1:5" x14ac:dyDescent="0.25">
      <c r="A425" s="8" t="s">
        <v>964</v>
      </c>
      <c r="B425" s="8" t="s">
        <v>1778</v>
      </c>
      <c r="C425" s="9">
        <v>41524</v>
      </c>
      <c r="D425" s="8" t="s">
        <v>2134</v>
      </c>
      <c r="E425" s="10">
        <v>45236</v>
      </c>
    </row>
    <row r="426" spans="1:5" x14ac:dyDescent="0.25">
      <c r="A426" s="8" t="s">
        <v>964</v>
      </c>
      <c r="B426" s="8" t="s">
        <v>1779</v>
      </c>
      <c r="C426" s="9">
        <v>18918</v>
      </c>
      <c r="D426" s="8" t="s">
        <v>2134</v>
      </c>
      <c r="E426" s="10">
        <v>45623</v>
      </c>
    </row>
    <row r="427" spans="1:5" x14ac:dyDescent="0.25">
      <c r="A427" s="8" t="s">
        <v>964</v>
      </c>
      <c r="B427" s="8" t="s">
        <v>1780</v>
      </c>
      <c r="C427" s="9">
        <v>31208</v>
      </c>
      <c r="D427" s="8" t="s">
        <v>2136</v>
      </c>
      <c r="E427" s="10">
        <v>45165</v>
      </c>
    </row>
    <row r="428" spans="1:5" x14ac:dyDescent="0.25">
      <c r="A428" s="8" t="s">
        <v>964</v>
      </c>
      <c r="B428" s="8" t="s">
        <v>1781</v>
      </c>
      <c r="C428" s="9">
        <v>18456</v>
      </c>
      <c r="D428" s="8" t="s">
        <v>2130</v>
      </c>
      <c r="E428" s="10">
        <v>45675</v>
      </c>
    </row>
    <row r="429" spans="1:5" x14ac:dyDescent="0.25">
      <c r="A429" s="8" t="s">
        <v>964</v>
      </c>
      <c r="B429" s="8" t="s">
        <v>1782</v>
      </c>
      <c r="C429" s="9">
        <v>19639</v>
      </c>
      <c r="D429" s="8" t="s">
        <v>2134</v>
      </c>
      <c r="E429" s="10">
        <v>45245</v>
      </c>
    </row>
    <row r="430" spans="1:5" x14ac:dyDescent="0.25">
      <c r="A430" s="8" t="s">
        <v>964</v>
      </c>
      <c r="B430" s="8" t="s">
        <v>1783</v>
      </c>
      <c r="C430" s="9">
        <v>22881</v>
      </c>
      <c r="D430" s="8" t="s">
        <v>2131</v>
      </c>
      <c r="E430" s="10">
        <v>45771</v>
      </c>
    </row>
    <row r="431" spans="1:5" x14ac:dyDescent="0.25">
      <c r="A431" s="8" t="s">
        <v>964</v>
      </c>
      <c r="B431" s="8" t="s">
        <v>1784</v>
      </c>
      <c r="C431" s="9">
        <v>29302</v>
      </c>
      <c r="D431" s="8" t="s">
        <v>2132</v>
      </c>
      <c r="E431" s="10">
        <v>45225</v>
      </c>
    </row>
    <row r="432" spans="1:5" x14ac:dyDescent="0.25">
      <c r="A432" s="8" t="s">
        <v>964</v>
      </c>
      <c r="B432" s="8" t="s">
        <v>1785</v>
      </c>
      <c r="C432" s="9">
        <v>22643</v>
      </c>
      <c r="D432" s="8" t="s">
        <v>2130</v>
      </c>
      <c r="E432" s="10">
        <v>45455</v>
      </c>
    </row>
    <row r="433" spans="1:5" x14ac:dyDescent="0.25">
      <c r="A433" s="8" t="s">
        <v>964</v>
      </c>
      <c r="B433" s="8" t="s">
        <v>1786</v>
      </c>
      <c r="C433" s="9">
        <v>27123</v>
      </c>
      <c r="D433" s="8" t="s">
        <v>2129</v>
      </c>
      <c r="E433" s="10">
        <v>45392</v>
      </c>
    </row>
    <row r="434" spans="1:5" x14ac:dyDescent="0.25">
      <c r="A434" s="8" t="s">
        <v>964</v>
      </c>
      <c r="B434" s="8" t="s">
        <v>1787</v>
      </c>
      <c r="C434" s="9">
        <v>21542</v>
      </c>
      <c r="D434" s="8" t="s">
        <v>2131</v>
      </c>
      <c r="E434" s="10">
        <v>45592</v>
      </c>
    </row>
    <row r="435" spans="1:5" x14ac:dyDescent="0.25">
      <c r="A435" s="8" t="s">
        <v>964</v>
      </c>
      <c r="B435" s="8" t="s">
        <v>1770</v>
      </c>
      <c r="C435" s="9">
        <v>26786</v>
      </c>
      <c r="D435" s="8" t="s">
        <v>2132</v>
      </c>
      <c r="E435" s="10">
        <v>45273</v>
      </c>
    </row>
    <row r="436" spans="1:5" x14ac:dyDescent="0.25">
      <c r="A436" s="8" t="s">
        <v>964</v>
      </c>
      <c r="B436" s="8" t="s">
        <v>1771</v>
      </c>
      <c r="C436" s="9">
        <v>17734</v>
      </c>
      <c r="D436" s="8" t="s">
        <v>2132</v>
      </c>
      <c r="E436" s="10">
        <v>45168</v>
      </c>
    </row>
    <row r="437" spans="1:5" x14ac:dyDescent="0.25">
      <c r="A437" s="8" t="s">
        <v>964</v>
      </c>
      <c r="B437" s="8" t="s">
        <v>1772</v>
      </c>
      <c r="C437" s="9">
        <v>17898</v>
      </c>
      <c r="D437" s="8" t="s">
        <v>2136</v>
      </c>
      <c r="E437" s="10">
        <v>45818</v>
      </c>
    </row>
    <row r="438" spans="1:5" x14ac:dyDescent="0.25">
      <c r="A438" s="8" t="s">
        <v>964</v>
      </c>
      <c r="B438" s="8" t="s">
        <v>1773</v>
      </c>
      <c r="C438" s="9">
        <v>22881</v>
      </c>
      <c r="D438" s="8" t="s">
        <v>2133</v>
      </c>
      <c r="E438" s="10">
        <v>45472</v>
      </c>
    </row>
    <row r="439" spans="1:5" x14ac:dyDescent="0.25">
      <c r="A439" s="8" t="s">
        <v>964</v>
      </c>
      <c r="B439" s="8" t="s">
        <v>1774</v>
      </c>
      <c r="C439" s="9">
        <v>30261</v>
      </c>
      <c r="D439" s="8" t="s">
        <v>2135</v>
      </c>
      <c r="E439" s="10">
        <v>45617</v>
      </c>
    </row>
    <row r="440" spans="1:5" x14ac:dyDescent="0.25">
      <c r="A440" s="8" t="s">
        <v>964</v>
      </c>
      <c r="B440" s="8" t="s">
        <v>1775</v>
      </c>
      <c r="C440" s="9">
        <v>27523</v>
      </c>
      <c r="D440" s="8" t="s">
        <v>2131</v>
      </c>
      <c r="E440" s="10">
        <v>45700</v>
      </c>
    </row>
    <row r="441" spans="1:5" x14ac:dyDescent="0.25">
      <c r="A441" s="8" t="s">
        <v>964</v>
      </c>
      <c r="B441" s="8" t="s">
        <v>1776</v>
      </c>
      <c r="C441" s="9">
        <v>21169</v>
      </c>
      <c r="D441" s="8" t="s">
        <v>2135</v>
      </c>
      <c r="E441" s="10">
        <v>45277</v>
      </c>
    </row>
    <row r="442" spans="1:5" x14ac:dyDescent="0.25">
      <c r="A442" s="8" t="s">
        <v>964</v>
      </c>
      <c r="B442" s="8" t="s">
        <v>1777</v>
      </c>
      <c r="C442" s="9">
        <v>18825</v>
      </c>
      <c r="D442" s="8" t="s">
        <v>2132</v>
      </c>
      <c r="E442" s="10">
        <v>45744</v>
      </c>
    </row>
    <row r="443" spans="1:5" x14ac:dyDescent="0.25">
      <c r="A443" s="8" t="s">
        <v>964</v>
      </c>
      <c r="B443" s="8" t="s">
        <v>2137</v>
      </c>
      <c r="C443" s="9">
        <v>33036</v>
      </c>
      <c r="D443" s="8" t="s">
        <v>2135</v>
      </c>
      <c r="E443" s="10">
        <v>45785</v>
      </c>
    </row>
    <row r="444" spans="1:5" x14ac:dyDescent="0.25">
      <c r="A444" s="8" t="s">
        <v>964</v>
      </c>
      <c r="B444" s="8" t="s">
        <v>2138</v>
      </c>
      <c r="C444" s="9">
        <v>35198</v>
      </c>
      <c r="D444" s="8" t="s">
        <v>2130</v>
      </c>
      <c r="E444" s="10">
        <v>45675</v>
      </c>
    </row>
    <row r="445" spans="1:5" x14ac:dyDescent="0.25">
      <c r="A445" s="8" t="s">
        <v>964</v>
      </c>
      <c r="B445" s="8" t="s">
        <v>2139</v>
      </c>
      <c r="C445" s="9">
        <v>29583</v>
      </c>
      <c r="D445" s="8" t="s">
        <v>2131</v>
      </c>
      <c r="E445" s="10">
        <v>45494</v>
      </c>
    </row>
    <row r="446" spans="1:5" x14ac:dyDescent="0.25">
      <c r="A446" s="8" t="s">
        <v>964</v>
      </c>
      <c r="B446" s="8" t="s">
        <v>2140</v>
      </c>
      <c r="C446" s="9">
        <v>28584</v>
      </c>
      <c r="D446" s="8" t="s">
        <v>2135</v>
      </c>
      <c r="E446" s="10">
        <v>45691</v>
      </c>
    </row>
    <row r="447" spans="1:5" x14ac:dyDescent="0.25">
      <c r="A447" s="8" t="s">
        <v>964</v>
      </c>
      <c r="B447" s="8" t="s">
        <v>2141</v>
      </c>
      <c r="C447" s="9">
        <v>12221</v>
      </c>
      <c r="D447" s="8" t="s">
        <v>2129</v>
      </c>
      <c r="E447" s="10">
        <v>45230</v>
      </c>
    </row>
    <row r="448" spans="1:5" x14ac:dyDescent="0.25">
      <c r="A448" s="8" t="s">
        <v>1025</v>
      </c>
      <c r="B448" s="8" t="s">
        <v>1773</v>
      </c>
      <c r="C448" s="9">
        <v>201024</v>
      </c>
      <c r="D448" s="8" t="s">
        <v>2135</v>
      </c>
      <c r="E448" s="10">
        <v>45454</v>
      </c>
    </row>
    <row r="449" spans="1:5" x14ac:dyDescent="0.25">
      <c r="A449" s="8" t="s">
        <v>1025</v>
      </c>
      <c r="B449" s="8" t="s">
        <v>1774</v>
      </c>
      <c r="C449" s="9">
        <v>244556</v>
      </c>
      <c r="D449" s="8" t="s">
        <v>2133</v>
      </c>
      <c r="E449" s="10">
        <v>45561</v>
      </c>
    </row>
    <row r="450" spans="1:5" x14ac:dyDescent="0.25">
      <c r="A450" s="8" t="s">
        <v>1025</v>
      </c>
      <c r="B450" s="8" t="s">
        <v>1775</v>
      </c>
      <c r="C450" s="9">
        <v>221967</v>
      </c>
      <c r="D450" s="8" t="s">
        <v>2131</v>
      </c>
      <c r="E450" s="10">
        <v>45298</v>
      </c>
    </row>
    <row r="451" spans="1:5" x14ac:dyDescent="0.25">
      <c r="A451" s="8" t="s">
        <v>1025</v>
      </c>
      <c r="B451" s="8" t="s">
        <v>1776</v>
      </c>
      <c r="C451" s="9">
        <v>219597</v>
      </c>
      <c r="D451" s="8" t="s">
        <v>2131</v>
      </c>
      <c r="E451" s="10">
        <v>45149</v>
      </c>
    </row>
    <row r="452" spans="1:5" x14ac:dyDescent="0.25">
      <c r="A452" s="8" t="s">
        <v>1025</v>
      </c>
      <c r="B452" s="8" t="s">
        <v>1777</v>
      </c>
      <c r="C452" s="9">
        <v>102606</v>
      </c>
      <c r="D452" s="8" t="s">
        <v>2136</v>
      </c>
      <c r="E452" s="10">
        <v>45674</v>
      </c>
    </row>
    <row r="453" spans="1:5" x14ac:dyDescent="0.25">
      <c r="A453" s="8" t="s">
        <v>1025</v>
      </c>
      <c r="B453" s="8" t="s">
        <v>2137</v>
      </c>
      <c r="C453" s="9">
        <v>144223</v>
      </c>
      <c r="D453" s="8" t="s">
        <v>2132</v>
      </c>
      <c r="E453" s="10">
        <v>45491</v>
      </c>
    </row>
    <row r="454" spans="1:5" x14ac:dyDescent="0.25">
      <c r="A454" s="8" t="s">
        <v>1025</v>
      </c>
      <c r="B454" s="8" t="s">
        <v>2138</v>
      </c>
      <c r="C454" s="9">
        <v>168707</v>
      </c>
      <c r="D454" s="8" t="s">
        <v>2131</v>
      </c>
      <c r="E454" s="10">
        <v>45619</v>
      </c>
    </row>
    <row r="455" spans="1:5" x14ac:dyDescent="0.25">
      <c r="A455" s="8" t="s">
        <v>1025</v>
      </c>
      <c r="B455" s="8" t="s">
        <v>2139</v>
      </c>
      <c r="C455" s="9">
        <v>143903</v>
      </c>
      <c r="D455" s="8" t="s">
        <v>2136</v>
      </c>
      <c r="E455" s="10">
        <v>45843</v>
      </c>
    </row>
    <row r="456" spans="1:5" x14ac:dyDescent="0.25">
      <c r="A456" s="8" t="s">
        <v>1025</v>
      </c>
      <c r="B456" s="8" t="s">
        <v>2140</v>
      </c>
      <c r="C456" s="9">
        <v>124287</v>
      </c>
      <c r="D456" s="8" t="s">
        <v>2135</v>
      </c>
      <c r="E456" s="10">
        <v>45627</v>
      </c>
    </row>
    <row r="457" spans="1:5" x14ac:dyDescent="0.25">
      <c r="A457" s="8" t="s">
        <v>1025</v>
      </c>
      <c r="B457" s="8" t="s">
        <v>2141</v>
      </c>
      <c r="C457" s="9">
        <v>193386</v>
      </c>
      <c r="D457" s="8" t="s">
        <v>2131</v>
      </c>
      <c r="E457" s="10">
        <v>45148</v>
      </c>
    </row>
    <row r="458" spans="1:5" x14ac:dyDescent="0.25">
      <c r="A458" s="8" t="s">
        <v>1051</v>
      </c>
      <c r="B458" s="8" t="s">
        <v>2128</v>
      </c>
      <c r="C458" s="9">
        <v>482010</v>
      </c>
      <c r="D458" s="8" t="s">
        <v>2130</v>
      </c>
      <c r="E458" s="10">
        <v>45438</v>
      </c>
    </row>
    <row r="459" spans="1:5" x14ac:dyDescent="0.25">
      <c r="A459" s="8" t="s">
        <v>1051</v>
      </c>
      <c r="B459" s="8" t="s">
        <v>1788</v>
      </c>
      <c r="C459" s="9">
        <v>251156</v>
      </c>
      <c r="D459" s="8" t="s">
        <v>2129</v>
      </c>
      <c r="E459" s="10">
        <v>45146</v>
      </c>
    </row>
    <row r="460" spans="1:5" x14ac:dyDescent="0.25">
      <c r="A460" s="8" t="s">
        <v>1051</v>
      </c>
      <c r="B460" s="8" t="s">
        <v>1778</v>
      </c>
      <c r="C460" s="9">
        <v>485982</v>
      </c>
      <c r="D460" s="8" t="s">
        <v>2133</v>
      </c>
      <c r="E460" s="10">
        <v>45332</v>
      </c>
    </row>
    <row r="461" spans="1:5" x14ac:dyDescent="0.25">
      <c r="A461" s="8" t="s">
        <v>1051</v>
      </c>
      <c r="B461" s="8" t="s">
        <v>1779</v>
      </c>
      <c r="C461" s="9">
        <v>407395</v>
      </c>
      <c r="D461" s="8" t="s">
        <v>2130</v>
      </c>
      <c r="E461" s="10">
        <v>45713</v>
      </c>
    </row>
    <row r="462" spans="1:5" x14ac:dyDescent="0.25">
      <c r="A462" s="8" t="s">
        <v>1051</v>
      </c>
      <c r="B462" s="8" t="s">
        <v>1780</v>
      </c>
      <c r="C462" s="9">
        <v>542425</v>
      </c>
      <c r="D462" s="8" t="s">
        <v>2130</v>
      </c>
      <c r="E462" s="10">
        <v>45543</v>
      </c>
    </row>
    <row r="463" spans="1:5" x14ac:dyDescent="0.25">
      <c r="A463" s="8" t="s">
        <v>1051</v>
      </c>
      <c r="B463" s="8" t="s">
        <v>1781</v>
      </c>
      <c r="C463" s="9">
        <v>462532</v>
      </c>
      <c r="D463" s="8" t="s">
        <v>2129</v>
      </c>
      <c r="E463" s="10">
        <v>45306</v>
      </c>
    </row>
    <row r="464" spans="1:5" x14ac:dyDescent="0.25">
      <c r="A464" s="8" t="s">
        <v>1051</v>
      </c>
      <c r="B464" s="8" t="s">
        <v>1782</v>
      </c>
      <c r="C464" s="9">
        <v>398389</v>
      </c>
      <c r="D464" s="8" t="s">
        <v>2130</v>
      </c>
      <c r="E464" s="10">
        <v>45526</v>
      </c>
    </row>
    <row r="465" spans="1:5" x14ac:dyDescent="0.25">
      <c r="A465" s="8" t="s">
        <v>1051</v>
      </c>
      <c r="B465" s="8" t="s">
        <v>1783</v>
      </c>
      <c r="C465" s="9">
        <v>399145</v>
      </c>
      <c r="D465" s="8" t="s">
        <v>2129</v>
      </c>
      <c r="E465" s="10">
        <v>45408</v>
      </c>
    </row>
    <row r="466" spans="1:5" x14ac:dyDescent="0.25">
      <c r="A466" s="8" t="s">
        <v>1051</v>
      </c>
      <c r="B466" s="8" t="s">
        <v>1784</v>
      </c>
      <c r="C466" s="9">
        <v>386064</v>
      </c>
      <c r="D466" s="8" t="s">
        <v>2134</v>
      </c>
      <c r="E466" s="10">
        <v>45571</v>
      </c>
    </row>
    <row r="467" spans="1:5" x14ac:dyDescent="0.25">
      <c r="A467" s="8" t="s">
        <v>1051</v>
      </c>
      <c r="B467" s="8" t="s">
        <v>1785</v>
      </c>
      <c r="C467" s="9">
        <v>561288</v>
      </c>
      <c r="D467" s="8" t="s">
        <v>2129</v>
      </c>
      <c r="E467" s="10">
        <v>45668</v>
      </c>
    </row>
    <row r="468" spans="1:5" x14ac:dyDescent="0.25">
      <c r="A468" s="8" t="s">
        <v>1051</v>
      </c>
      <c r="B468" s="8" t="s">
        <v>1786</v>
      </c>
      <c r="C468" s="9">
        <v>444901</v>
      </c>
      <c r="D468" s="8" t="s">
        <v>2131</v>
      </c>
      <c r="E468" s="10">
        <v>45430</v>
      </c>
    </row>
    <row r="469" spans="1:5" x14ac:dyDescent="0.25">
      <c r="A469" s="8" t="s">
        <v>1051</v>
      </c>
      <c r="B469" s="8" t="s">
        <v>1787</v>
      </c>
      <c r="C469" s="9">
        <v>350361</v>
      </c>
      <c r="D469" s="8" t="s">
        <v>2131</v>
      </c>
      <c r="E469" s="10">
        <v>45561</v>
      </c>
    </row>
    <row r="470" spans="1:5" x14ac:dyDescent="0.25">
      <c r="A470" s="8" t="s">
        <v>1051</v>
      </c>
      <c r="B470" s="8" t="s">
        <v>1770</v>
      </c>
      <c r="C470" s="9">
        <v>440774</v>
      </c>
      <c r="D470" s="8" t="s">
        <v>2129</v>
      </c>
      <c r="E470" s="10">
        <v>45209</v>
      </c>
    </row>
    <row r="471" spans="1:5" x14ac:dyDescent="0.25">
      <c r="A471" s="8" t="s">
        <v>1051</v>
      </c>
      <c r="B471" s="8" t="s">
        <v>1771</v>
      </c>
      <c r="C471" s="9">
        <v>430820</v>
      </c>
      <c r="D471" s="8" t="s">
        <v>2132</v>
      </c>
      <c r="E471" s="10">
        <v>45278</v>
      </c>
    </row>
    <row r="472" spans="1:5" x14ac:dyDescent="0.25">
      <c r="A472" s="8" t="s">
        <v>1087</v>
      </c>
      <c r="B472" s="8" t="s">
        <v>1774</v>
      </c>
      <c r="C472" s="9">
        <v>291471</v>
      </c>
      <c r="D472" s="8" t="s">
        <v>2131</v>
      </c>
      <c r="E472" s="10">
        <v>45252</v>
      </c>
    </row>
    <row r="473" spans="1:5" x14ac:dyDescent="0.25">
      <c r="A473" s="8" t="s">
        <v>1087</v>
      </c>
      <c r="B473" s="8" t="s">
        <v>1775</v>
      </c>
      <c r="C473" s="9">
        <v>259096</v>
      </c>
      <c r="D473" s="8" t="s">
        <v>2135</v>
      </c>
      <c r="E473" s="10">
        <v>45771</v>
      </c>
    </row>
    <row r="474" spans="1:5" x14ac:dyDescent="0.25">
      <c r="A474" s="8" t="s">
        <v>1087</v>
      </c>
      <c r="B474" s="8" t="s">
        <v>1776</v>
      </c>
      <c r="C474" s="9">
        <v>422229</v>
      </c>
      <c r="D474" s="8" t="s">
        <v>2135</v>
      </c>
      <c r="E474" s="10">
        <v>45417</v>
      </c>
    </row>
    <row r="475" spans="1:5" x14ac:dyDescent="0.25">
      <c r="A475" s="8" t="s">
        <v>1087</v>
      </c>
      <c r="B475" s="8" t="s">
        <v>1777</v>
      </c>
      <c r="C475" s="9">
        <v>304542</v>
      </c>
      <c r="D475" s="8" t="s">
        <v>2135</v>
      </c>
      <c r="E475" s="10">
        <v>45331</v>
      </c>
    </row>
    <row r="476" spans="1:5" x14ac:dyDescent="0.25">
      <c r="A476" s="8" t="s">
        <v>1087</v>
      </c>
      <c r="B476" s="8" t="s">
        <v>2137</v>
      </c>
      <c r="C476" s="9">
        <v>299967</v>
      </c>
      <c r="D476" s="8" t="s">
        <v>2133</v>
      </c>
      <c r="E476" s="10">
        <v>45158</v>
      </c>
    </row>
    <row r="477" spans="1:5" x14ac:dyDescent="0.25">
      <c r="A477" s="8" t="s">
        <v>1087</v>
      </c>
      <c r="B477" s="8" t="s">
        <v>2138</v>
      </c>
      <c r="C477" s="9">
        <v>373330</v>
      </c>
      <c r="D477" s="8" t="s">
        <v>2132</v>
      </c>
      <c r="E477" s="10">
        <v>45189</v>
      </c>
    </row>
    <row r="478" spans="1:5" x14ac:dyDescent="0.25">
      <c r="A478" s="8" t="s">
        <v>1087</v>
      </c>
      <c r="B478" s="8" t="s">
        <v>2139</v>
      </c>
      <c r="C478" s="9">
        <v>283734</v>
      </c>
      <c r="D478" s="8" t="s">
        <v>2136</v>
      </c>
      <c r="E478" s="10">
        <v>45329</v>
      </c>
    </row>
    <row r="479" spans="1:5" x14ac:dyDescent="0.25">
      <c r="A479" s="8" t="s">
        <v>1087</v>
      </c>
      <c r="B479" s="8" t="s">
        <v>2140</v>
      </c>
      <c r="C479" s="9">
        <v>344553</v>
      </c>
      <c r="D479" s="8" t="s">
        <v>2134</v>
      </c>
      <c r="E479" s="10">
        <v>45427</v>
      </c>
    </row>
    <row r="480" spans="1:5" x14ac:dyDescent="0.25">
      <c r="A480" s="8" t="s">
        <v>1087</v>
      </c>
      <c r="B480" s="8" t="s">
        <v>2141</v>
      </c>
      <c r="C480" s="9">
        <v>294940</v>
      </c>
      <c r="D480" s="8" t="s">
        <v>2131</v>
      </c>
      <c r="E480" s="10">
        <v>45267</v>
      </c>
    </row>
    <row r="481" spans="1:5" x14ac:dyDescent="0.25">
      <c r="A481" s="8" t="s">
        <v>1110</v>
      </c>
      <c r="B481" s="8" t="s">
        <v>1787</v>
      </c>
      <c r="C481" s="9">
        <v>68061</v>
      </c>
      <c r="D481" s="8" t="s">
        <v>2135</v>
      </c>
      <c r="E481" s="10">
        <v>45883</v>
      </c>
    </row>
    <row r="482" spans="1:5" x14ac:dyDescent="0.25">
      <c r="A482" s="8" t="s">
        <v>1110</v>
      </c>
      <c r="B482" s="8" t="s">
        <v>1770</v>
      </c>
      <c r="C482" s="9">
        <v>210135</v>
      </c>
      <c r="D482" s="8" t="s">
        <v>2136</v>
      </c>
      <c r="E482" s="10">
        <v>45377</v>
      </c>
    </row>
    <row r="483" spans="1:5" x14ac:dyDescent="0.25">
      <c r="A483" s="8" t="s">
        <v>1110</v>
      </c>
      <c r="B483" s="8" t="s">
        <v>1771</v>
      </c>
      <c r="C483" s="9">
        <v>204169</v>
      </c>
      <c r="D483" s="8" t="s">
        <v>2134</v>
      </c>
      <c r="E483" s="10">
        <v>45293</v>
      </c>
    </row>
    <row r="484" spans="1:5" x14ac:dyDescent="0.25">
      <c r="A484" s="8" t="s">
        <v>1110</v>
      </c>
      <c r="B484" s="8" t="s">
        <v>1772</v>
      </c>
      <c r="C484" s="9">
        <v>208577</v>
      </c>
      <c r="D484" s="8" t="s">
        <v>2136</v>
      </c>
      <c r="E484" s="10">
        <v>45644</v>
      </c>
    </row>
    <row r="485" spans="1:5" x14ac:dyDescent="0.25">
      <c r="A485" s="8" t="s">
        <v>1110</v>
      </c>
      <c r="B485" s="8" t="s">
        <v>1773</v>
      </c>
      <c r="C485" s="9">
        <v>92193</v>
      </c>
      <c r="D485" s="8" t="s">
        <v>2129</v>
      </c>
      <c r="E485" s="10">
        <v>45489</v>
      </c>
    </row>
    <row r="486" spans="1:5" x14ac:dyDescent="0.25">
      <c r="A486" s="8" t="s">
        <v>1110</v>
      </c>
      <c r="B486" s="8" t="s">
        <v>1774</v>
      </c>
      <c r="C486" s="9">
        <v>126920</v>
      </c>
      <c r="D486" s="8" t="s">
        <v>2130</v>
      </c>
      <c r="E486" s="10">
        <v>45458</v>
      </c>
    </row>
    <row r="487" spans="1:5" x14ac:dyDescent="0.25">
      <c r="A487" s="8" t="s">
        <v>1110</v>
      </c>
      <c r="B487" s="8" t="s">
        <v>1775</v>
      </c>
      <c r="C487" s="9">
        <v>247319</v>
      </c>
      <c r="D487" s="8" t="s">
        <v>2135</v>
      </c>
      <c r="E487" s="10">
        <v>45519</v>
      </c>
    </row>
    <row r="488" spans="1:5" x14ac:dyDescent="0.25">
      <c r="A488" s="8" t="s">
        <v>1110</v>
      </c>
      <c r="B488" s="8" t="s">
        <v>1776</v>
      </c>
      <c r="C488" s="9">
        <v>195166</v>
      </c>
      <c r="D488" s="8" t="s">
        <v>2135</v>
      </c>
      <c r="E488" s="10">
        <v>45852</v>
      </c>
    </row>
    <row r="489" spans="1:5" x14ac:dyDescent="0.25">
      <c r="A489" s="8" t="s">
        <v>1110</v>
      </c>
      <c r="B489" s="8" t="s">
        <v>1777</v>
      </c>
      <c r="C489" s="9">
        <v>100915</v>
      </c>
      <c r="D489" s="8" t="s">
        <v>2136</v>
      </c>
      <c r="E489" s="10">
        <v>45477</v>
      </c>
    </row>
    <row r="490" spans="1:5" x14ac:dyDescent="0.25">
      <c r="A490" s="8" t="s">
        <v>1110</v>
      </c>
      <c r="B490" s="8" t="s">
        <v>2137</v>
      </c>
      <c r="C490" s="9">
        <v>195678</v>
      </c>
      <c r="D490" s="8" t="s">
        <v>2134</v>
      </c>
      <c r="E490" s="10">
        <v>45288</v>
      </c>
    </row>
    <row r="491" spans="1:5" x14ac:dyDescent="0.25">
      <c r="A491" s="8" t="s">
        <v>1110</v>
      </c>
      <c r="B491" s="8" t="s">
        <v>2138</v>
      </c>
      <c r="C491" s="9">
        <v>116422</v>
      </c>
      <c r="D491" s="8" t="s">
        <v>2136</v>
      </c>
      <c r="E491" s="10">
        <v>45411</v>
      </c>
    </row>
    <row r="492" spans="1:5" x14ac:dyDescent="0.25">
      <c r="A492" s="8" t="s">
        <v>1133</v>
      </c>
      <c r="B492" s="8" t="s">
        <v>1784</v>
      </c>
      <c r="C492" s="9">
        <v>138941</v>
      </c>
      <c r="D492" s="8" t="s">
        <v>2130</v>
      </c>
      <c r="E492" s="10">
        <v>45212</v>
      </c>
    </row>
    <row r="493" spans="1:5" x14ac:dyDescent="0.25">
      <c r="A493" s="8" t="s">
        <v>1133</v>
      </c>
      <c r="B493" s="8" t="s">
        <v>1785</v>
      </c>
      <c r="C493" s="9">
        <v>172468</v>
      </c>
      <c r="D493" s="8" t="s">
        <v>2135</v>
      </c>
      <c r="E493" s="10">
        <v>45324</v>
      </c>
    </row>
    <row r="494" spans="1:5" x14ac:dyDescent="0.25">
      <c r="A494" s="8" t="s">
        <v>1133</v>
      </c>
      <c r="B494" s="8" t="s">
        <v>1786</v>
      </c>
      <c r="C494" s="9">
        <v>172526</v>
      </c>
      <c r="D494" s="8" t="s">
        <v>2129</v>
      </c>
      <c r="E494" s="10">
        <v>45395</v>
      </c>
    </row>
    <row r="495" spans="1:5" x14ac:dyDescent="0.25">
      <c r="A495" s="8" t="s">
        <v>1133</v>
      </c>
      <c r="B495" s="8" t="s">
        <v>1787</v>
      </c>
      <c r="C495" s="9">
        <v>203010</v>
      </c>
      <c r="D495" s="8" t="s">
        <v>2130</v>
      </c>
      <c r="E495" s="10">
        <v>45151</v>
      </c>
    </row>
    <row r="496" spans="1:5" x14ac:dyDescent="0.25">
      <c r="A496" s="8" t="s">
        <v>1133</v>
      </c>
      <c r="B496" s="8" t="s">
        <v>1770</v>
      </c>
      <c r="C496" s="9">
        <v>181051</v>
      </c>
      <c r="D496" s="8" t="s">
        <v>2134</v>
      </c>
      <c r="E496" s="10">
        <v>45870</v>
      </c>
    </row>
    <row r="497" spans="1:5" x14ac:dyDescent="0.25">
      <c r="A497" s="8" t="s">
        <v>1133</v>
      </c>
      <c r="B497" s="8" t="s">
        <v>1771</v>
      </c>
      <c r="C497" s="9">
        <v>183606</v>
      </c>
      <c r="D497" s="8" t="s">
        <v>2129</v>
      </c>
      <c r="E497" s="10">
        <v>45533</v>
      </c>
    </row>
    <row r="498" spans="1:5" x14ac:dyDescent="0.25">
      <c r="A498" s="8" t="s">
        <v>1133</v>
      </c>
      <c r="B498" s="8" t="s">
        <v>1772</v>
      </c>
      <c r="C498" s="9">
        <v>146719</v>
      </c>
      <c r="D498" s="8" t="s">
        <v>2135</v>
      </c>
      <c r="E498" s="10">
        <v>45392</v>
      </c>
    </row>
    <row r="499" spans="1:5" x14ac:dyDescent="0.25">
      <c r="A499" s="8" t="s">
        <v>1133</v>
      </c>
      <c r="B499" s="8" t="s">
        <v>1773</v>
      </c>
      <c r="C499" s="9">
        <v>127705</v>
      </c>
      <c r="D499" s="8" t="s">
        <v>2136</v>
      </c>
      <c r="E499" s="10">
        <v>45342</v>
      </c>
    </row>
    <row r="500" spans="1:5" x14ac:dyDescent="0.25">
      <c r="A500" s="8" t="s">
        <v>1133</v>
      </c>
      <c r="B500" s="8" t="s">
        <v>1774</v>
      </c>
      <c r="C500" s="9">
        <v>164169</v>
      </c>
      <c r="D500" s="8" t="s">
        <v>2135</v>
      </c>
      <c r="E500" s="10">
        <v>45891</v>
      </c>
    </row>
    <row r="501" spans="1:5" x14ac:dyDescent="0.25">
      <c r="A501" s="8" t="s">
        <v>1133</v>
      </c>
      <c r="B501" s="8" t="s">
        <v>1775</v>
      </c>
      <c r="C501" s="9">
        <v>203547</v>
      </c>
      <c r="D501" s="8" t="s">
        <v>2134</v>
      </c>
      <c r="E501" s="10">
        <v>45672</v>
      </c>
    </row>
    <row r="502" spans="1:5" x14ac:dyDescent="0.25">
      <c r="A502" s="8" t="s">
        <v>1133</v>
      </c>
      <c r="B502" s="8" t="s">
        <v>1776</v>
      </c>
      <c r="C502" s="9">
        <v>195680</v>
      </c>
      <c r="D502" s="8" t="s">
        <v>2129</v>
      </c>
      <c r="E502" s="10">
        <v>45623</v>
      </c>
    </row>
    <row r="503" spans="1:5" x14ac:dyDescent="0.25">
      <c r="A503" s="8" t="s">
        <v>1133</v>
      </c>
      <c r="B503" s="8" t="s">
        <v>1777</v>
      </c>
      <c r="C503" s="9">
        <v>154032</v>
      </c>
      <c r="D503" s="8" t="s">
        <v>2130</v>
      </c>
      <c r="E503" s="10">
        <v>45836</v>
      </c>
    </row>
    <row r="504" spans="1:5" x14ac:dyDescent="0.25">
      <c r="A504" s="8" t="s">
        <v>1133</v>
      </c>
      <c r="B504" s="8" t="s">
        <v>2137</v>
      </c>
      <c r="C504" s="9">
        <v>159768</v>
      </c>
      <c r="D504" s="8" t="s">
        <v>2131</v>
      </c>
      <c r="E504" s="10">
        <v>45469</v>
      </c>
    </row>
    <row r="505" spans="1:5" x14ac:dyDescent="0.25">
      <c r="A505" s="8" t="s">
        <v>1133</v>
      </c>
      <c r="B505" s="8" t="s">
        <v>2138</v>
      </c>
      <c r="C505" s="9">
        <v>125597</v>
      </c>
      <c r="D505" s="8" t="s">
        <v>2132</v>
      </c>
      <c r="E505" s="10">
        <v>45783</v>
      </c>
    </row>
    <row r="506" spans="1:5" x14ac:dyDescent="0.25">
      <c r="A506" s="8" t="s">
        <v>1133</v>
      </c>
      <c r="B506" s="8" t="s">
        <v>2139</v>
      </c>
      <c r="C506" s="9">
        <v>208835</v>
      </c>
      <c r="D506" s="8" t="s">
        <v>2136</v>
      </c>
      <c r="E506" s="10">
        <v>45701</v>
      </c>
    </row>
    <row r="507" spans="1:5" x14ac:dyDescent="0.25">
      <c r="A507" s="8" t="s">
        <v>1171</v>
      </c>
      <c r="B507" s="8" t="s">
        <v>1788</v>
      </c>
      <c r="C507" s="9">
        <v>154892</v>
      </c>
      <c r="D507" s="8" t="s">
        <v>2134</v>
      </c>
      <c r="E507" s="10">
        <v>45398</v>
      </c>
    </row>
    <row r="508" spans="1:5" x14ac:dyDescent="0.25">
      <c r="A508" s="8" t="s">
        <v>1171</v>
      </c>
      <c r="B508" s="8" t="s">
        <v>1778</v>
      </c>
      <c r="C508" s="9">
        <v>122458</v>
      </c>
      <c r="D508" s="8" t="s">
        <v>2135</v>
      </c>
      <c r="E508" s="10">
        <v>45792</v>
      </c>
    </row>
    <row r="509" spans="1:5" x14ac:dyDescent="0.25">
      <c r="A509" s="8" t="s">
        <v>1171</v>
      </c>
      <c r="B509" s="8" t="s">
        <v>1779</v>
      </c>
      <c r="C509" s="9">
        <v>65219</v>
      </c>
      <c r="D509" s="8" t="s">
        <v>2131</v>
      </c>
      <c r="E509" s="10">
        <v>45342</v>
      </c>
    </row>
    <row r="510" spans="1:5" x14ac:dyDescent="0.25">
      <c r="A510" s="8" t="s">
        <v>1171</v>
      </c>
      <c r="B510" s="8" t="s">
        <v>1780</v>
      </c>
      <c r="C510" s="9">
        <v>128915</v>
      </c>
      <c r="D510" s="8" t="s">
        <v>2133</v>
      </c>
      <c r="E510" s="10">
        <v>45192</v>
      </c>
    </row>
    <row r="511" spans="1:5" x14ac:dyDescent="0.25">
      <c r="A511" s="8" t="s">
        <v>1171</v>
      </c>
      <c r="B511" s="8" t="s">
        <v>1781</v>
      </c>
      <c r="C511" s="9">
        <v>155979</v>
      </c>
      <c r="D511" s="8" t="s">
        <v>2129</v>
      </c>
      <c r="E511" s="10">
        <v>45254</v>
      </c>
    </row>
    <row r="512" spans="1:5" x14ac:dyDescent="0.25">
      <c r="A512" s="8" t="s">
        <v>1171</v>
      </c>
      <c r="B512" s="8" t="s">
        <v>1782</v>
      </c>
      <c r="C512" s="9">
        <v>79486</v>
      </c>
      <c r="D512" s="8" t="s">
        <v>2129</v>
      </c>
      <c r="E512" s="10">
        <v>45787</v>
      </c>
    </row>
    <row r="513" spans="1:5" x14ac:dyDescent="0.25">
      <c r="A513" s="8" t="s">
        <v>1171</v>
      </c>
      <c r="B513" s="8" t="s">
        <v>1783</v>
      </c>
      <c r="C513" s="9">
        <v>133672</v>
      </c>
      <c r="D513" s="8" t="s">
        <v>2130</v>
      </c>
      <c r="E513" s="10">
        <v>45471</v>
      </c>
    </row>
    <row r="514" spans="1:5" x14ac:dyDescent="0.25">
      <c r="A514" s="8" t="s">
        <v>1171</v>
      </c>
      <c r="B514" s="8" t="s">
        <v>1784</v>
      </c>
      <c r="C514" s="9">
        <v>105153</v>
      </c>
      <c r="D514" s="8" t="s">
        <v>2136</v>
      </c>
      <c r="E514" s="10">
        <v>45310</v>
      </c>
    </row>
    <row r="515" spans="1:5" x14ac:dyDescent="0.25">
      <c r="A515" s="8" t="s">
        <v>1171</v>
      </c>
      <c r="B515" s="8" t="s">
        <v>1785</v>
      </c>
      <c r="C515" s="9">
        <v>144650</v>
      </c>
      <c r="D515" s="8" t="s">
        <v>2131</v>
      </c>
      <c r="E515" s="10">
        <v>45737</v>
      </c>
    </row>
    <row r="516" spans="1:5" x14ac:dyDescent="0.25">
      <c r="A516" s="8" t="s">
        <v>1171</v>
      </c>
      <c r="B516" s="8" t="s">
        <v>1786</v>
      </c>
      <c r="C516" s="9">
        <v>78402</v>
      </c>
      <c r="D516" s="8" t="s">
        <v>2134</v>
      </c>
      <c r="E516" s="10">
        <v>45544</v>
      </c>
    </row>
    <row r="517" spans="1:5" x14ac:dyDescent="0.25">
      <c r="A517" s="8" t="s">
        <v>1171</v>
      </c>
      <c r="B517" s="8" t="s">
        <v>1787</v>
      </c>
      <c r="C517" s="9">
        <v>98376</v>
      </c>
      <c r="D517" s="8" t="s">
        <v>2129</v>
      </c>
      <c r="E517" s="10">
        <v>45148</v>
      </c>
    </row>
    <row r="518" spans="1:5" x14ac:dyDescent="0.25">
      <c r="A518" s="8" t="s">
        <v>1171</v>
      </c>
      <c r="B518" s="8" t="s">
        <v>1770</v>
      </c>
      <c r="C518" s="9">
        <v>67088</v>
      </c>
      <c r="D518" s="8" t="s">
        <v>2136</v>
      </c>
      <c r="E518" s="10">
        <v>45734</v>
      </c>
    </row>
    <row r="519" spans="1:5" x14ac:dyDescent="0.25">
      <c r="A519" s="8" t="s">
        <v>1171</v>
      </c>
      <c r="B519" s="8" t="s">
        <v>1771</v>
      </c>
      <c r="C519" s="9">
        <v>119705</v>
      </c>
      <c r="D519" s="8" t="s">
        <v>2135</v>
      </c>
      <c r="E519" s="10">
        <v>45843</v>
      </c>
    </row>
    <row r="520" spans="1:5" x14ac:dyDescent="0.25">
      <c r="A520" s="8" t="s">
        <v>1171</v>
      </c>
      <c r="B520" s="8" t="s">
        <v>1772</v>
      </c>
      <c r="C520" s="9">
        <v>125596</v>
      </c>
      <c r="D520" s="8" t="s">
        <v>2132</v>
      </c>
      <c r="E520" s="10">
        <v>45519</v>
      </c>
    </row>
    <row r="521" spans="1:5" x14ac:dyDescent="0.25">
      <c r="A521" s="8" t="s">
        <v>1171</v>
      </c>
      <c r="B521" s="8" t="s">
        <v>1773</v>
      </c>
      <c r="C521" s="9">
        <v>119827</v>
      </c>
      <c r="D521" s="8" t="s">
        <v>2134</v>
      </c>
      <c r="E521" s="10">
        <v>45393</v>
      </c>
    </row>
    <row r="522" spans="1:5" x14ac:dyDescent="0.25">
      <c r="A522" s="8" t="s">
        <v>1171</v>
      </c>
      <c r="B522" s="8" t="s">
        <v>1774</v>
      </c>
      <c r="C522" s="9">
        <v>96113</v>
      </c>
      <c r="D522" s="8" t="s">
        <v>2132</v>
      </c>
      <c r="E522" s="10">
        <v>45650</v>
      </c>
    </row>
    <row r="523" spans="1:5" x14ac:dyDescent="0.25">
      <c r="A523" s="8" t="s">
        <v>1171</v>
      </c>
      <c r="B523" s="8" t="s">
        <v>1775</v>
      </c>
      <c r="C523" s="9">
        <v>98218</v>
      </c>
      <c r="D523" s="8" t="s">
        <v>2134</v>
      </c>
      <c r="E523" s="10">
        <v>45841</v>
      </c>
    </row>
    <row r="524" spans="1:5" x14ac:dyDescent="0.25">
      <c r="A524" s="8" t="s">
        <v>1171</v>
      </c>
      <c r="B524" s="8" t="s">
        <v>1776</v>
      </c>
      <c r="C524" s="9">
        <v>101313</v>
      </c>
      <c r="D524" s="8" t="s">
        <v>2133</v>
      </c>
      <c r="E524" s="10">
        <v>45779</v>
      </c>
    </row>
    <row r="525" spans="1:5" x14ac:dyDescent="0.25">
      <c r="A525" s="8" t="s">
        <v>1171</v>
      </c>
      <c r="B525" s="8" t="s">
        <v>1777</v>
      </c>
      <c r="C525" s="9">
        <v>134760</v>
      </c>
      <c r="D525" s="8" t="s">
        <v>2136</v>
      </c>
      <c r="E525" s="10">
        <v>45200</v>
      </c>
    </row>
    <row r="526" spans="1:5" x14ac:dyDescent="0.25">
      <c r="A526" s="8" t="s">
        <v>1171</v>
      </c>
      <c r="B526" s="8" t="s">
        <v>2137</v>
      </c>
      <c r="C526" s="9">
        <v>70268</v>
      </c>
      <c r="D526" s="8" t="s">
        <v>2133</v>
      </c>
      <c r="E526" s="10">
        <v>45799</v>
      </c>
    </row>
    <row r="527" spans="1:5" x14ac:dyDescent="0.25">
      <c r="A527" s="8" t="s">
        <v>1171</v>
      </c>
      <c r="B527" s="8" t="s">
        <v>2138</v>
      </c>
      <c r="C527" s="9">
        <v>100945</v>
      </c>
      <c r="D527" s="8" t="s">
        <v>2132</v>
      </c>
      <c r="E527" s="10">
        <v>45857</v>
      </c>
    </row>
    <row r="528" spans="1:5" x14ac:dyDescent="0.25">
      <c r="A528" s="8" t="s">
        <v>1171</v>
      </c>
      <c r="B528" s="8" t="s">
        <v>2139</v>
      </c>
      <c r="C528" s="9">
        <v>69725</v>
      </c>
      <c r="D528" s="8" t="s">
        <v>2134</v>
      </c>
      <c r="E528" s="10">
        <v>45267</v>
      </c>
    </row>
    <row r="529" spans="1:5" x14ac:dyDescent="0.25">
      <c r="A529" s="8" t="s">
        <v>1171</v>
      </c>
      <c r="B529" s="8" t="s">
        <v>2140</v>
      </c>
      <c r="C529" s="9">
        <v>99050</v>
      </c>
      <c r="D529" s="8" t="s">
        <v>2135</v>
      </c>
      <c r="E529" s="10">
        <v>45377</v>
      </c>
    </row>
    <row r="530" spans="1:5" x14ac:dyDescent="0.25">
      <c r="A530" s="8" t="s">
        <v>1171</v>
      </c>
      <c r="B530" s="8" t="s">
        <v>2141</v>
      </c>
      <c r="C530" s="9">
        <v>109947</v>
      </c>
      <c r="D530" s="8" t="s">
        <v>2133</v>
      </c>
      <c r="E530" s="10">
        <v>45710</v>
      </c>
    </row>
    <row r="531" spans="1:5" x14ac:dyDescent="0.25">
      <c r="A531" s="8" t="s">
        <v>1232</v>
      </c>
      <c r="B531" s="8" t="s">
        <v>1781</v>
      </c>
      <c r="C531" s="9">
        <v>546191</v>
      </c>
      <c r="D531" s="8" t="s">
        <v>2133</v>
      </c>
      <c r="E531" s="10">
        <v>45588</v>
      </c>
    </row>
    <row r="532" spans="1:5" x14ac:dyDescent="0.25">
      <c r="A532" s="8" t="s">
        <v>1232</v>
      </c>
      <c r="B532" s="8" t="s">
        <v>1782</v>
      </c>
      <c r="C532" s="9">
        <v>298349</v>
      </c>
      <c r="D532" s="8" t="s">
        <v>2129</v>
      </c>
      <c r="E532" s="10">
        <v>45160</v>
      </c>
    </row>
    <row r="533" spans="1:5" x14ac:dyDescent="0.25">
      <c r="A533" s="8" t="s">
        <v>1232</v>
      </c>
      <c r="B533" s="8" t="s">
        <v>1783</v>
      </c>
      <c r="C533" s="9">
        <v>450087</v>
      </c>
      <c r="D533" s="8" t="s">
        <v>2130</v>
      </c>
      <c r="E533" s="10">
        <v>45505</v>
      </c>
    </row>
    <row r="534" spans="1:5" x14ac:dyDescent="0.25">
      <c r="A534" s="8" t="s">
        <v>1232</v>
      </c>
      <c r="B534" s="8" t="s">
        <v>1784</v>
      </c>
      <c r="C534" s="9">
        <v>204999</v>
      </c>
      <c r="D534" s="8" t="s">
        <v>2132</v>
      </c>
      <c r="E534" s="10">
        <v>45395</v>
      </c>
    </row>
    <row r="535" spans="1:5" x14ac:dyDescent="0.25">
      <c r="A535" s="8" t="s">
        <v>1232</v>
      </c>
      <c r="B535" s="8" t="s">
        <v>1785</v>
      </c>
      <c r="C535" s="9">
        <v>361693</v>
      </c>
      <c r="D535" s="8" t="s">
        <v>2136</v>
      </c>
      <c r="E535" s="10">
        <v>45635</v>
      </c>
    </row>
    <row r="536" spans="1:5" x14ac:dyDescent="0.25">
      <c r="A536" s="8" t="s">
        <v>1232</v>
      </c>
      <c r="B536" s="8" t="s">
        <v>1786</v>
      </c>
      <c r="C536" s="9">
        <v>361499</v>
      </c>
      <c r="D536" s="8" t="s">
        <v>2135</v>
      </c>
      <c r="E536" s="10">
        <v>45711</v>
      </c>
    </row>
    <row r="537" spans="1:5" x14ac:dyDescent="0.25">
      <c r="A537" s="8" t="s">
        <v>1232</v>
      </c>
      <c r="B537" s="8" t="s">
        <v>1787</v>
      </c>
      <c r="C537" s="9">
        <v>424854</v>
      </c>
      <c r="D537" s="8" t="s">
        <v>2131</v>
      </c>
      <c r="E537" s="10">
        <v>45694</v>
      </c>
    </row>
    <row r="538" spans="1:5" x14ac:dyDescent="0.25">
      <c r="A538" s="8" t="s">
        <v>1232</v>
      </c>
      <c r="B538" s="8" t="s">
        <v>1770</v>
      </c>
      <c r="C538" s="9">
        <v>309227</v>
      </c>
      <c r="D538" s="8" t="s">
        <v>2135</v>
      </c>
      <c r="E538" s="10">
        <v>45333</v>
      </c>
    </row>
    <row r="539" spans="1:5" x14ac:dyDescent="0.25">
      <c r="A539" s="8" t="s">
        <v>1232</v>
      </c>
      <c r="B539" s="8" t="s">
        <v>1771</v>
      </c>
      <c r="C539" s="9">
        <v>287856</v>
      </c>
      <c r="D539" s="8" t="s">
        <v>2132</v>
      </c>
      <c r="E539" s="10">
        <v>45695</v>
      </c>
    </row>
    <row r="540" spans="1:5" x14ac:dyDescent="0.25">
      <c r="A540" s="8" t="s">
        <v>1232</v>
      </c>
      <c r="B540" s="8" t="s">
        <v>1772</v>
      </c>
      <c r="C540" s="9">
        <v>171893</v>
      </c>
      <c r="D540" s="8" t="s">
        <v>2133</v>
      </c>
      <c r="E540" s="10">
        <v>45470</v>
      </c>
    </row>
    <row r="541" spans="1:5" x14ac:dyDescent="0.25">
      <c r="A541" s="8" t="s">
        <v>1232</v>
      </c>
      <c r="B541" s="8" t="s">
        <v>1773</v>
      </c>
      <c r="C541" s="9">
        <v>387770</v>
      </c>
      <c r="D541" s="8" t="s">
        <v>2135</v>
      </c>
      <c r="E541" s="10">
        <v>45420</v>
      </c>
    </row>
    <row r="542" spans="1:5" x14ac:dyDescent="0.25">
      <c r="A542" s="8" t="s">
        <v>1232</v>
      </c>
      <c r="B542" s="8" t="s">
        <v>1774</v>
      </c>
      <c r="C542" s="9">
        <v>300645</v>
      </c>
      <c r="D542" s="8" t="s">
        <v>2132</v>
      </c>
      <c r="E542" s="10">
        <v>45209</v>
      </c>
    </row>
    <row r="543" spans="1:5" x14ac:dyDescent="0.25">
      <c r="A543" s="8" t="s">
        <v>1232</v>
      </c>
      <c r="B543" s="8" t="s">
        <v>1775</v>
      </c>
      <c r="C543" s="9">
        <v>449941</v>
      </c>
      <c r="D543" s="8" t="s">
        <v>2132</v>
      </c>
      <c r="E543" s="10">
        <v>45599</v>
      </c>
    </row>
    <row r="544" spans="1:5" x14ac:dyDescent="0.25">
      <c r="A544" s="8" t="s">
        <v>1232</v>
      </c>
      <c r="B544" s="8" t="s">
        <v>1776</v>
      </c>
      <c r="C544" s="9">
        <v>403951</v>
      </c>
      <c r="D544" s="8" t="s">
        <v>2131</v>
      </c>
      <c r="E544" s="10">
        <v>45408</v>
      </c>
    </row>
    <row r="545" spans="1:5" x14ac:dyDescent="0.25">
      <c r="A545" s="8" t="s">
        <v>1232</v>
      </c>
      <c r="B545" s="8" t="s">
        <v>1777</v>
      </c>
      <c r="C545" s="9">
        <v>464271</v>
      </c>
      <c r="D545" s="8" t="s">
        <v>2133</v>
      </c>
      <c r="E545" s="10">
        <v>45603</v>
      </c>
    </row>
    <row r="546" spans="1:5" x14ac:dyDescent="0.25">
      <c r="A546" s="8" t="s">
        <v>1232</v>
      </c>
      <c r="B546" s="8" t="s">
        <v>2137</v>
      </c>
      <c r="C546" s="9">
        <v>279921</v>
      </c>
      <c r="D546" s="8" t="s">
        <v>2136</v>
      </c>
      <c r="E546" s="10">
        <v>45792</v>
      </c>
    </row>
    <row r="547" spans="1:5" x14ac:dyDescent="0.25">
      <c r="A547" s="8" t="s">
        <v>1232</v>
      </c>
      <c r="B547" s="8" t="s">
        <v>2138</v>
      </c>
      <c r="C547" s="9">
        <v>376442</v>
      </c>
      <c r="D547" s="8" t="s">
        <v>2130</v>
      </c>
      <c r="E547" s="10">
        <v>45890</v>
      </c>
    </row>
    <row r="548" spans="1:5" x14ac:dyDescent="0.25">
      <c r="A548" s="8" t="s">
        <v>1232</v>
      </c>
      <c r="B548" s="8" t="s">
        <v>2139</v>
      </c>
      <c r="C548" s="9">
        <v>375138</v>
      </c>
      <c r="D548" s="8" t="s">
        <v>2132</v>
      </c>
      <c r="E548" s="10">
        <v>45158</v>
      </c>
    </row>
    <row r="549" spans="1:5" x14ac:dyDescent="0.25">
      <c r="A549" s="8" t="s">
        <v>1232</v>
      </c>
      <c r="B549" s="8" t="s">
        <v>2140</v>
      </c>
      <c r="C549" s="9">
        <v>313712</v>
      </c>
      <c r="D549" s="8" t="s">
        <v>2133</v>
      </c>
      <c r="E549" s="10">
        <v>45774</v>
      </c>
    </row>
    <row r="550" spans="1:5" x14ac:dyDescent="0.25">
      <c r="A550" s="8" t="s">
        <v>1280</v>
      </c>
      <c r="B550" s="8" t="s">
        <v>1788</v>
      </c>
      <c r="C550" s="9">
        <v>67045</v>
      </c>
      <c r="D550" s="8" t="s">
        <v>2129</v>
      </c>
      <c r="E550" s="10">
        <v>45467</v>
      </c>
    </row>
    <row r="551" spans="1:5" x14ac:dyDescent="0.25">
      <c r="A551" s="8" t="s">
        <v>1280</v>
      </c>
      <c r="B551" s="8" t="s">
        <v>1778</v>
      </c>
      <c r="C551" s="9">
        <v>61289</v>
      </c>
      <c r="D551" s="8" t="s">
        <v>2134</v>
      </c>
      <c r="E551" s="10">
        <v>45813</v>
      </c>
    </row>
    <row r="552" spans="1:5" x14ac:dyDescent="0.25">
      <c r="A552" s="8" t="s">
        <v>1280</v>
      </c>
      <c r="B552" s="8" t="s">
        <v>1779</v>
      </c>
      <c r="C552" s="9">
        <v>77305</v>
      </c>
      <c r="D552" s="8" t="s">
        <v>2130</v>
      </c>
      <c r="E552" s="10">
        <v>45333</v>
      </c>
    </row>
    <row r="553" spans="1:5" x14ac:dyDescent="0.25">
      <c r="A553" s="8" t="s">
        <v>1280</v>
      </c>
      <c r="B553" s="8" t="s">
        <v>1780</v>
      </c>
      <c r="C553" s="9">
        <v>60178</v>
      </c>
      <c r="D553" s="8" t="s">
        <v>2135</v>
      </c>
      <c r="E553" s="10">
        <v>45703</v>
      </c>
    </row>
    <row r="554" spans="1:5" x14ac:dyDescent="0.25">
      <c r="A554" s="8" t="s">
        <v>1280</v>
      </c>
      <c r="B554" s="8" t="s">
        <v>1781</v>
      </c>
      <c r="C554" s="9">
        <v>75230</v>
      </c>
      <c r="D554" s="8" t="s">
        <v>2132</v>
      </c>
      <c r="E554" s="10">
        <v>45766</v>
      </c>
    </row>
    <row r="555" spans="1:5" x14ac:dyDescent="0.25">
      <c r="A555" s="8" t="s">
        <v>1280</v>
      </c>
      <c r="B555" s="8" t="s">
        <v>1782</v>
      </c>
      <c r="C555" s="9">
        <v>74939</v>
      </c>
      <c r="D555" s="8" t="s">
        <v>2131</v>
      </c>
      <c r="E555" s="10">
        <v>45469</v>
      </c>
    </row>
    <row r="556" spans="1:5" x14ac:dyDescent="0.25">
      <c r="A556" s="8" t="s">
        <v>1280</v>
      </c>
      <c r="B556" s="8" t="s">
        <v>1783</v>
      </c>
      <c r="C556" s="9">
        <v>44973</v>
      </c>
      <c r="D556" s="8" t="s">
        <v>2130</v>
      </c>
      <c r="E556" s="10">
        <v>45795</v>
      </c>
    </row>
    <row r="557" spans="1:5" x14ac:dyDescent="0.25">
      <c r="A557" s="8" t="s">
        <v>1280</v>
      </c>
      <c r="B557" s="8" t="s">
        <v>1784</v>
      </c>
      <c r="C557" s="9">
        <v>32436</v>
      </c>
      <c r="D557" s="8" t="s">
        <v>2133</v>
      </c>
      <c r="E557" s="10">
        <v>45252</v>
      </c>
    </row>
    <row r="558" spans="1:5" x14ac:dyDescent="0.25">
      <c r="A558" s="8" t="s">
        <v>1280</v>
      </c>
      <c r="B558" s="8" t="s">
        <v>1785</v>
      </c>
      <c r="C558" s="9">
        <v>72893</v>
      </c>
      <c r="D558" s="8" t="s">
        <v>2134</v>
      </c>
      <c r="E558" s="10">
        <v>45674</v>
      </c>
    </row>
    <row r="559" spans="1:5" x14ac:dyDescent="0.25">
      <c r="A559" s="8" t="s">
        <v>1280</v>
      </c>
      <c r="B559" s="8" t="s">
        <v>1786</v>
      </c>
      <c r="C559" s="9">
        <v>60168</v>
      </c>
      <c r="D559" s="8" t="s">
        <v>2134</v>
      </c>
      <c r="E559" s="10">
        <v>45183</v>
      </c>
    </row>
    <row r="560" spans="1:5" x14ac:dyDescent="0.25">
      <c r="A560" s="8" t="s">
        <v>1280</v>
      </c>
      <c r="B560" s="8" t="s">
        <v>1787</v>
      </c>
      <c r="C560" s="9">
        <v>57956</v>
      </c>
      <c r="D560" s="8" t="s">
        <v>2132</v>
      </c>
      <c r="E560" s="10">
        <v>45321</v>
      </c>
    </row>
    <row r="561" spans="1:5" x14ac:dyDescent="0.25">
      <c r="A561" s="8" t="s">
        <v>1280</v>
      </c>
      <c r="B561" s="8" t="s">
        <v>1770</v>
      </c>
      <c r="C561" s="9">
        <v>45523</v>
      </c>
      <c r="D561" s="8" t="s">
        <v>2136</v>
      </c>
      <c r="E561" s="10">
        <v>45345</v>
      </c>
    </row>
    <row r="562" spans="1:5" x14ac:dyDescent="0.25">
      <c r="A562" s="8" t="s">
        <v>1280</v>
      </c>
      <c r="B562" s="8" t="s">
        <v>1771</v>
      </c>
      <c r="C562" s="9">
        <v>56365</v>
      </c>
      <c r="D562" s="8" t="s">
        <v>2134</v>
      </c>
      <c r="E562" s="10">
        <v>45636</v>
      </c>
    </row>
    <row r="563" spans="1:5" x14ac:dyDescent="0.25">
      <c r="A563" s="8" t="s">
        <v>1280</v>
      </c>
      <c r="B563" s="8" t="s">
        <v>1772</v>
      </c>
      <c r="C563" s="9">
        <v>64311</v>
      </c>
      <c r="D563" s="8" t="s">
        <v>2129</v>
      </c>
      <c r="E563" s="10">
        <v>45240</v>
      </c>
    </row>
    <row r="564" spans="1:5" x14ac:dyDescent="0.25">
      <c r="A564" s="8" t="s">
        <v>1280</v>
      </c>
      <c r="B564" s="8" t="s">
        <v>1773</v>
      </c>
      <c r="C564" s="9">
        <v>59716</v>
      </c>
      <c r="D564" s="8" t="s">
        <v>2136</v>
      </c>
      <c r="E564" s="10">
        <v>45723</v>
      </c>
    </row>
    <row r="565" spans="1:5" x14ac:dyDescent="0.25">
      <c r="A565" s="8" t="s">
        <v>1280</v>
      </c>
      <c r="B565" s="8" t="s">
        <v>1774</v>
      </c>
      <c r="C565" s="9">
        <v>43405</v>
      </c>
      <c r="D565" s="8" t="s">
        <v>2130</v>
      </c>
      <c r="E565" s="10">
        <v>45812</v>
      </c>
    </row>
    <row r="566" spans="1:5" x14ac:dyDescent="0.25">
      <c r="A566" s="8" t="s">
        <v>1280</v>
      </c>
      <c r="B566" s="8" t="s">
        <v>1775</v>
      </c>
      <c r="C566" s="9">
        <v>71044</v>
      </c>
      <c r="D566" s="8" t="s">
        <v>2135</v>
      </c>
      <c r="E566" s="10">
        <v>45677</v>
      </c>
    </row>
    <row r="567" spans="1:5" x14ac:dyDescent="0.25">
      <c r="A567" s="8" t="s">
        <v>1280</v>
      </c>
      <c r="B567" s="8" t="s">
        <v>1776</v>
      </c>
      <c r="C567" s="9">
        <v>52874</v>
      </c>
      <c r="D567" s="8" t="s">
        <v>2131</v>
      </c>
      <c r="E567" s="10">
        <v>45189</v>
      </c>
    </row>
    <row r="568" spans="1:5" x14ac:dyDescent="0.25">
      <c r="A568" s="8" t="s">
        <v>1280</v>
      </c>
      <c r="B568" s="8" t="s">
        <v>1777</v>
      </c>
      <c r="C568" s="9">
        <v>59980</v>
      </c>
      <c r="D568" s="8" t="s">
        <v>2133</v>
      </c>
      <c r="E568" s="10">
        <v>45365</v>
      </c>
    </row>
    <row r="569" spans="1:5" x14ac:dyDescent="0.25">
      <c r="A569" s="8" t="s">
        <v>1280</v>
      </c>
      <c r="B569" s="8" t="s">
        <v>2137</v>
      </c>
      <c r="C569" s="9">
        <v>62049</v>
      </c>
      <c r="D569" s="8" t="s">
        <v>2134</v>
      </c>
      <c r="E569" s="10">
        <v>45152</v>
      </c>
    </row>
    <row r="570" spans="1:5" x14ac:dyDescent="0.25">
      <c r="A570" s="8" t="s">
        <v>1280</v>
      </c>
      <c r="B570" s="8" t="s">
        <v>2138</v>
      </c>
      <c r="C570" s="9">
        <v>78599</v>
      </c>
      <c r="D570" s="8" t="s">
        <v>2129</v>
      </c>
      <c r="E570" s="10">
        <v>45810</v>
      </c>
    </row>
    <row r="571" spans="1:5" x14ac:dyDescent="0.25">
      <c r="A571" s="8" t="s">
        <v>1280</v>
      </c>
      <c r="B571" s="8" t="s">
        <v>2139</v>
      </c>
      <c r="C571" s="9">
        <v>56587</v>
      </c>
      <c r="D571" s="8" t="s">
        <v>2135</v>
      </c>
      <c r="E571" s="10">
        <v>45220</v>
      </c>
    </row>
    <row r="572" spans="1:5" x14ac:dyDescent="0.25">
      <c r="A572" s="8" t="s">
        <v>1280</v>
      </c>
      <c r="B572" s="8" t="s">
        <v>2140</v>
      </c>
      <c r="C572" s="9">
        <v>50604</v>
      </c>
      <c r="D572" s="8" t="s">
        <v>2135</v>
      </c>
      <c r="E572" s="10">
        <v>45793</v>
      </c>
    </row>
    <row r="573" spans="1:5" x14ac:dyDescent="0.25">
      <c r="A573" s="8" t="s">
        <v>1338</v>
      </c>
      <c r="B573" s="8" t="s">
        <v>1788</v>
      </c>
      <c r="C573" s="9">
        <v>601973</v>
      </c>
      <c r="D573" s="8" t="s">
        <v>2136</v>
      </c>
      <c r="E573" s="10">
        <v>45508</v>
      </c>
    </row>
    <row r="574" spans="1:5" x14ac:dyDescent="0.25">
      <c r="A574" s="8" t="s">
        <v>1338</v>
      </c>
      <c r="B574" s="8" t="s">
        <v>1778</v>
      </c>
      <c r="C574" s="9">
        <v>519956</v>
      </c>
      <c r="D574" s="8" t="s">
        <v>2130</v>
      </c>
      <c r="E574" s="10">
        <v>45516</v>
      </c>
    </row>
    <row r="575" spans="1:5" x14ac:dyDescent="0.25">
      <c r="A575" s="8" t="s">
        <v>1338</v>
      </c>
      <c r="B575" s="8" t="s">
        <v>1779</v>
      </c>
      <c r="C575" s="9">
        <v>438328</v>
      </c>
      <c r="D575" s="8" t="s">
        <v>2136</v>
      </c>
      <c r="E575" s="10">
        <v>45770</v>
      </c>
    </row>
    <row r="576" spans="1:5" x14ac:dyDescent="0.25">
      <c r="A576" s="8" t="s">
        <v>1338</v>
      </c>
      <c r="B576" s="8" t="s">
        <v>1780</v>
      </c>
      <c r="C576" s="9">
        <v>431915</v>
      </c>
      <c r="D576" s="8" t="s">
        <v>2131</v>
      </c>
      <c r="E576" s="10">
        <v>45680</v>
      </c>
    </row>
    <row r="577" spans="1:5" x14ac:dyDescent="0.25">
      <c r="A577" s="8" t="s">
        <v>1338</v>
      </c>
      <c r="B577" s="8" t="s">
        <v>1781</v>
      </c>
      <c r="C577" s="9">
        <v>207652</v>
      </c>
      <c r="D577" s="8" t="s">
        <v>2136</v>
      </c>
      <c r="E577" s="10">
        <v>45890</v>
      </c>
    </row>
    <row r="578" spans="1:5" x14ac:dyDescent="0.25">
      <c r="A578" s="8" t="s">
        <v>1338</v>
      </c>
      <c r="B578" s="8" t="s">
        <v>1782</v>
      </c>
      <c r="C578" s="9">
        <v>398267</v>
      </c>
      <c r="D578" s="8" t="s">
        <v>2134</v>
      </c>
      <c r="E578" s="10">
        <v>45450</v>
      </c>
    </row>
    <row r="579" spans="1:5" x14ac:dyDescent="0.25">
      <c r="A579" s="8" t="s">
        <v>1338</v>
      </c>
      <c r="B579" s="8" t="s">
        <v>1783</v>
      </c>
      <c r="C579" s="9">
        <v>264413</v>
      </c>
      <c r="D579" s="8" t="s">
        <v>2134</v>
      </c>
      <c r="E579" s="10">
        <v>45360</v>
      </c>
    </row>
    <row r="580" spans="1:5" x14ac:dyDescent="0.25">
      <c r="A580" s="8" t="s">
        <v>1338</v>
      </c>
      <c r="B580" s="8" t="s">
        <v>1784</v>
      </c>
      <c r="C580" s="9">
        <v>135416</v>
      </c>
      <c r="D580" s="8" t="s">
        <v>2134</v>
      </c>
      <c r="E580" s="10">
        <v>45242</v>
      </c>
    </row>
    <row r="581" spans="1:5" x14ac:dyDescent="0.25">
      <c r="A581" s="8" t="s">
        <v>1338</v>
      </c>
      <c r="B581" s="8" t="s">
        <v>1785</v>
      </c>
      <c r="C581" s="9">
        <v>346507</v>
      </c>
      <c r="D581" s="8" t="s">
        <v>2129</v>
      </c>
      <c r="E581" s="10">
        <v>45683</v>
      </c>
    </row>
    <row r="582" spans="1:5" x14ac:dyDescent="0.25">
      <c r="A582" s="8" t="s">
        <v>1338</v>
      </c>
      <c r="B582" s="8" t="s">
        <v>1786</v>
      </c>
      <c r="C582" s="9">
        <v>266549</v>
      </c>
      <c r="D582" s="8" t="s">
        <v>2130</v>
      </c>
      <c r="E582" s="10">
        <v>45333</v>
      </c>
    </row>
    <row r="583" spans="1:5" x14ac:dyDescent="0.25">
      <c r="A583" s="8" t="s">
        <v>1338</v>
      </c>
      <c r="B583" s="8" t="s">
        <v>1787</v>
      </c>
      <c r="C583" s="9">
        <v>371024</v>
      </c>
      <c r="D583" s="8" t="s">
        <v>2129</v>
      </c>
      <c r="E583" s="10">
        <v>45677</v>
      </c>
    </row>
    <row r="584" spans="1:5" x14ac:dyDescent="0.25">
      <c r="A584" s="8" t="s">
        <v>1338</v>
      </c>
      <c r="B584" s="8" t="s">
        <v>1770</v>
      </c>
      <c r="C584" s="9">
        <v>438529</v>
      </c>
      <c r="D584" s="8" t="s">
        <v>2129</v>
      </c>
      <c r="E584" s="10">
        <v>45722</v>
      </c>
    </row>
    <row r="585" spans="1:5" x14ac:dyDescent="0.25">
      <c r="A585" s="8" t="s">
        <v>1338</v>
      </c>
      <c r="B585" s="8" t="s">
        <v>1771</v>
      </c>
      <c r="C585" s="9">
        <v>458999</v>
      </c>
      <c r="D585" s="8" t="s">
        <v>2132</v>
      </c>
      <c r="E585" s="10">
        <v>45710</v>
      </c>
    </row>
    <row r="586" spans="1:5" x14ac:dyDescent="0.25">
      <c r="A586" s="8" t="s">
        <v>1338</v>
      </c>
      <c r="B586" s="8" t="s">
        <v>1772</v>
      </c>
      <c r="C586" s="9">
        <v>396046</v>
      </c>
      <c r="D586" s="8" t="s">
        <v>2130</v>
      </c>
      <c r="E586" s="10">
        <v>45247</v>
      </c>
    </row>
    <row r="587" spans="1:5" x14ac:dyDescent="0.25">
      <c r="A587" s="8" t="s">
        <v>1374</v>
      </c>
      <c r="B587" s="8" t="s">
        <v>2128</v>
      </c>
      <c r="C587" s="9">
        <v>121117</v>
      </c>
      <c r="D587" s="8" t="s">
        <v>2133</v>
      </c>
      <c r="E587" s="10">
        <v>45829</v>
      </c>
    </row>
    <row r="588" spans="1:5" x14ac:dyDescent="0.25">
      <c r="A588" s="8" t="s">
        <v>1374</v>
      </c>
      <c r="B588" s="8" t="s">
        <v>1788</v>
      </c>
      <c r="C588" s="9">
        <v>173279</v>
      </c>
      <c r="D588" s="8" t="s">
        <v>2135</v>
      </c>
      <c r="E588" s="10">
        <v>45858</v>
      </c>
    </row>
    <row r="589" spans="1:5" x14ac:dyDescent="0.25">
      <c r="A589" s="8" t="s">
        <v>1374</v>
      </c>
      <c r="B589" s="8" t="s">
        <v>1778</v>
      </c>
      <c r="C589" s="9">
        <v>131081</v>
      </c>
      <c r="D589" s="8" t="s">
        <v>2130</v>
      </c>
      <c r="E589" s="10">
        <v>45245</v>
      </c>
    </row>
    <row r="590" spans="1:5" x14ac:dyDescent="0.25">
      <c r="A590" s="8" t="s">
        <v>1374</v>
      </c>
      <c r="B590" s="8" t="s">
        <v>1779</v>
      </c>
      <c r="C590" s="9">
        <v>241383</v>
      </c>
      <c r="D590" s="8" t="s">
        <v>2132</v>
      </c>
      <c r="E590" s="10">
        <v>45323</v>
      </c>
    </row>
    <row r="591" spans="1:5" x14ac:dyDescent="0.25">
      <c r="A591" s="8" t="s">
        <v>1374</v>
      </c>
      <c r="B591" s="8" t="s">
        <v>1780</v>
      </c>
      <c r="C591" s="9">
        <v>172096</v>
      </c>
      <c r="D591" s="8" t="s">
        <v>2130</v>
      </c>
      <c r="E591" s="10">
        <v>45655</v>
      </c>
    </row>
    <row r="592" spans="1:5" x14ac:dyDescent="0.25">
      <c r="A592" s="8" t="s">
        <v>1374</v>
      </c>
      <c r="B592" s="8" t="s">
        <v>1781</v>
      </c>
      <c r="C592" s="9">
        <v>127800</v>
      </c>
      <c r="D592" s="8" t="s">
        <v>2133</v>
      </c>
      <c r="E592" s="10">
        <v>45812</v>
      </c>
    </row>
    <row r="593" spans="1:5" x14ac:dyDescent="0.25">
      <c r="A593" s="8" t="s">
        <v>1374</v>
      </c>
      <c r="B593" s="8" t="s">
        <v>1782</v>
      </c>
      <c r="C593" s="9">
        <v>131739</v>
      </c>
      <c r="D593" s="8" t="s">
        <v>2132</v>
      </c>
      <c r="E593" s="10">
        <v>45685</v>
      </c>
    </row>
    <row r="594" spans="1:5" x14ac:dyDescent="0.25">
      <c r="A594" s="8" t="s">
        <v>1374</v>
      </c>
      <c r="B594" s="8" t="s">
        <v>1783</v>
      </c>
      <c r="C594" s="9">
        <v>179001</v>
      </c>
      <c r="D594" s="8" t="s">
        <v>2135</v>
      </c>
      <c r="E594" s="10">
        <v>45499</v>
      </c>
    </row>
    <row r="595" spans="1:5" x14ac:dyDescent="0.25">
      <c r="A595" s="8" t="s">
        <v>1374</v>
      </c>
      <c r="B595" s="8" t="s">
        <v>1784</v>
      </c>
      <c r="C595" s="9">
        <v>181289</v>
      </c>
      <c r="D595" s="8" t="s">
        <v>2133</v>
      </c>
      <c r="E595" s="10">
        <v>45702</v>
      </c>
    </row>
    <row r="596" spans="1:5" x14ac:dyDescent="0.25">
      <c r="A596" s="8" t="s">
        <v>1374</v>
      </c>
      <c r="B596" s="8" t="s">
        <v>1785</v>
      </c>
      <c r="C596" s="9">
        <v>170045</v>
      </c>
      <c r="D596" s="8" t="s">
        <v>2133</v>
      </c>
      <c r="E596" s="10">
        <v>45519</v>
      </c>
    </row>
    <row r="597" spans="1:5" x14ac:dyDescent="0.25">
      <c r="A597" s="8" t="s">
        <v>1374</v>
      </c>
      <c r="B597" s="8" t="s">
        <v>1786</v>
      </c>
      <c r="C597" s="9">
        <v>223086</v>
      </c>
      <c r="D597" s="8" t="s">
        <v>2130</v>
      </c>
      <c r="E597" s="10">
        <v>45787</v>
      </c>
    </row>
    <row r="598" spans="1:5" x14ac:dyDescent="0.25">
      <c r="A598" s="8" t="s">
        <v>1374</v>
      </c>
      <c r="B598" s="8" t="s">
        <v>1787</v>
      </c>
      <c r="C598" s="9">
        <v>135731</v>
      </c>
      <c r="D598" s="8" t="s">
        <v>2130</v>
      </c>
      <c r="E598" s="10">
        <v>45882</v>
      </c>
    </row>
    <row r="599" spans="1:5" x14ac:dyDescent="0.25">
      <c r="A599" s="8" t="s">
        <v>1374</v>
      </c>
      <c r="B599" s="8" t="s">
        <v>1770</v>
      </c>
      <c r="C599" s="9">
        <v>223524</v>
      </c>
      <c r="D599" s="8" t="s">
        <v>2133</v>
      </c>
      <c r="E599" s="10">
        <v>45762</v>
      </c>
    </row>
    <row r="600" spans="1:5" x14ac:dyDescent="0.25">
      <c r="A600" s="8" t="s">
        <v>1374</v>
      </c>
      <c r="B600" s="8" t="s">
        <v>1771</v>
      </c>
      <c r="C600" s="9">
        <v>174493</v>
      </c>
      <c r="D600" s="8" t="s">
        <v>2129</v>
      </c>
      <c r="E600" s="10">
        <v>45715</v>
      </c>
    </row>
    <row r="601" spans="1:5" x14ac:dyDescent="0.25">
      <c r="A601" s="8" t="s">
        <v>1374</v>
      </c>
      <c r="B601" s="8" t="s">
        <v>1772</v>
      </c>
      <c r="C601" s="9">
        <v>217223</v>
      </c>
      <c r="D601" s="8" t="s">
        <v>2129</v>
      </c>
      <c r="E601" s="10">
        <v>45523</v>
      </c>
    </row>
    <row r="602" spans="1:5" x14ac:dyDescent="0.25">
      <c r="A602" s="8" t="s">
        <v>1374</v>
      </c>
      <c r="B602" s="8" t="s">
        <v>1773</v>
      </c>
      <c r="C602" s="9">
        <v>150744</v>
      </c>
      <c r="D602" s="8" t="s">
        <v>2131</v>
      </c>
      <c r="E602" s="10">
        <v>45507</v>
      </c>
    </row>
    <row r="603" spans="1:5" x14ac:dyDescent="0.25">
      <c r="A603" s="8" t="s">
        <v>1374</v>
      </c>
      <c r="B603" s="8" t="s">
        <v>1774</v>
      </c>
      <c r="C603" s="9">
        <v>213451</v>
      </c>
      <c r="D603" s="8" t="s">
        <v>2135</v>
      </c>
      <c r="E603" s="10">
        <v>45597</v>
      </c>
    </row>
    <row r="604" spans="1:5" x14ac:dyDescent="0.25">
      <c r="A604" s="8" t="s">
        <v>1374</v>
      </c>
      <c r="B604" s="8" t="s">
        <v>1775</v>
      </c>
      <c r="C604" s="9">
        <v>142640</v>
      </c>
      <c r="D604" s="8" t="s">
        <v>2130</v>
      </c>
      <c r="E604" s="10">
        <v>45139</v>
      </c>
    </row>
    <row r="605" spans="1:5" x14ac:dyDescent="0.25">
      <c r="A605" s="8" t="s">
        <v>1374</v>
      </c>
      <c r="B605" s="8" t="s">
        <v>1776</v>
      </c>
      <c r="C605" s="9">
        <v>252282</v>
      </c>
      <c r="D605" s="8" t="s">
        <v>2136</v>
      </c>
      <c r="E605" s="10">
        <v>45430</v>
      </c>
    </row>
    <row r="606" spans="1:5" x14ac:dyDescent="0.25">
      <c r="A606" s="8" t="s">
        <v>1374</v>
      </c>
      <c r="B606" s="8" t="s">
        <v>1777</v>
      </c>
      <c r="C606" s="9">
        <v>175118</v>
      </c>
      <c r="D606" s="8" t="s">
        <v>2136</v>
      </c>
      <c r="E606" s="10">
        <v>45669</v>
      </c>
    </row>
    <row r="607" spans="1:5" x14ac:dyDescent="0.25">
      <c r="A607" s="8" t="s">
        <v>1374</v>
      </c>
      <c r="B607" s="8" t="s">
        <v>2137</v>
      </c>
      <c r="C607" s="9">
        <v>159445</v>
      </c>
      <c r="D607" s="8" t="s">
        <v>2132</v>
      </c>
      <c r="E607" s="10">
        <v>45448</v>
      </c>
    </row>
    <row r="608" spans="1:5" x14ac:dyDescent="0.25">
      <c r="A608" s="8" t="s">
        <v>1374</v>
      </c>
      <c r="B608" s="8" t="s">
        <v>2138</v>
      </c>
      <c r="C608" s="9">
        <v>126257</v>
      </c>
      <c r="D608" s="8" t="s">
        <v>2136</v>
      </c>
      <c r="E608" s="10">
        <v>45446</v>
      </c>
    </row>
    <row r="609" spans="1:5" x14ac:dyDescent="0.25">
      <c r="A609" s="8" t="s">
        <v>1374</v>
      </c>
      <c r="B609" s="8" t="s">
        <v>2139</v>
      </c>
      <c r="C609" s="9">
        <v>186222</v>
      </c>
      <c r="D609" s="8" t="s">
        <v>2129</v>
      </c>
      <c r="E609" s="10">
        <v>45358</v>
      </c>
    </row>
    <row r="610" spans="1:5" x14ac:dyDescent="0.25">
      <c r="A610" s="8" t="s">
        <v>1374</v>
      </c>
      <c r="B610" s="8" t="s">
        <v>2140</v>
      </c>
      <c r="C610" s="9">
        <v>172051</v>
      </c>
      <c r="D610" s="8" t="s">
        <v>2133</v>
      </c>
      <c r="E610" s="10">
        <v>45161</v>
      </c>
    </row>
    <row r="611" spans="1:5" x14ac:dyDescent="0.25">
      <c r="A611" s="8" t="s">
        <v>1374</v>
      </c>
      <c r="B611" s="8" t="s">
        <v>2141</v>
      </c>
      <c r="C611" s="9">
        <v>118961</v>
      </c>
      <c r="D611" s="8" t="s">
        <v>2131</v>
      </c>
      <c r="E611" s="10">
        <v>45705</v>
      </c>
    </row>
    <row r="612" spans="1:5" x14ac:dyDescent="0.25">
      <c r="A612" s="8" t="s">
        <v>1397</v>
      </c>
      <c r="B612" s="8" t="s">
        <v>1778</v>
      </c>
      <c r="C612" s="9">
        <v>284688</v>
      </c>
      <c r="D612" s="8" t="s">
        <v>2132</v>
      </c>
      <c r="E612" s="10">
        <v>45235</v>
      </c>
    </row>
    <row r="613" spans="1:5" x14ac:dyDescent="0.25">
      <c r="A613" s="8" t="s">
        <v>1397</v>
      </c>
      <c r="B613" s="8" t="s">
        <v>1779</v>
      </c>
      <c r="C613" s="9">
        <v>178455</v>
      </c>
      <c r="D613" s="8" t="s">
        <v>2136</v>
      </c>
      <c r="E613" s="10">
        <v>45610</v>
      </c>
    </row>
    <row r="614" spans="1:5" x14ac:dyDescent="0.25">
      <c r="A614" s="8" t="s">
        <v>1397</v>
      </c>
      <c r="B614" s="8" t="s">
        <v>1780</v>
      </c>
      <c r="C614" s="9">
        <v>250376</v>
      </c>
      <c r="D614" s="8" t="s">
        <v>2133</v>
      </c>
      <c r="E614" s="10">
        <v>45298</v>
      </c>
    </row>
    <row r="615" spans="1:5" x14ac:dyDescent="0.25">
      <c r="A615" s="8" t="s">
        <v>1397</v>
      </c>
      <c r="B615" s="8" t="s">
        <v>1781</v>
      </c>
      <c r="C615" s="9">
        <v>338193</v>
      </c>
      <c r="D615" s="8" t="s">
        <v>2132</v>
      </c>
      <c r="E615" s="10">
        <v>45410</v>
      </c>
    </row>
    <row r="616" spans="1:5" x14ac:dyDescent="0.25">
      <c r="A616" s="8" t="s">
        <v>1397</v>
      </c>
      <c r="B616" s="8" t="s">
        <v>1782</v>
      </c>
      <c r="C616" s="9">
        <v>379763</v>
      </c>
      <c r="D616" s="8" t="s">
        <v>2133</v>
      </c>
      <c r="E616" s="10">
        <v>45735</v>
      </c>
    </row>
    <row r="617" spans="1:5" x14ac:dyDescent="0.25">
      <c r="A617" s="8" t="s">
        <v>1397</v>
      </c>
      <c r="B617" s="8" t="s">
        <v>1783</v>
      </c>
      <c r="C617" s="9">
        <v>320675</v>
      </c>
      <c r="D617" s="8" t="s">
        <v>2129</v>
      </c>
      <c r="E617" s="10">
        <v>45377</v>
      </c>
    </row>
    <row r="618" spans="1:5" x14ac:dyDescent="0.25">
      <c r="A618" s="8" t="s">
        <v>1397</v>
      </c>
      <c r="B618" s="8" t="s">
        <v>1784</v>
      </c>
      <c r="C618" s="9">
        <v>390053</v>
      </c>
      <c r="D618" s="8" t="s">
        <v>2131</v>
      </c>
      <c r="E618" s="10">
        <v>45446</v>
      </c>
    </row>
    <row r="619" spans="1:5" x14ac:dyDescent="0.25">
      <c r="A619" s="8" t="s">
        <v>1415</v>
      </c>
      <c r="B619" s="8" t="s">
        <v>1788</v>
      </c>
      <c r="C619" s="9">
        <v>288614</v>
      </c>
      <c r="D619" s="8" t="s">
        <v>2134</v>
      </c>
      <c r="E619" s="10">
        <v>45723</v>
      </c>
    </row>
    <row r="620" spans="1:5" x14ac:dyDescent="0.25">
      <c r="A620" s="8" t="s">
        <v>1415</v>
      </c>
      <c r="B620" s="8" t="s">
        <v>1778</v>
      </c>
      <c r="C620" s="9">
        <v>421696</v>
      </c>
      <c r="D620" s="8" t="s">
        <v>2130</v>
      </c>
      <c r="E620" s="10">
        <v>45721</v>
      </c>
    </row>
    <row r="621" spans="1:5" x14ac:dyDescent="0.25">
      <c r="A621" s="8" t="s">
        <v>1415</v>
      </c>
      <c r="B621" s="8" t="s">
        <v>1779</v>
      </c>
      <c r="C621" s="9">
        <v>372258</v>
      </c>
      <c r="D621" s="8" t="s">
        <v>2129</v>
      </c>
      <c r="E621" s="10">
        <v>45890</v>
      </c>
    </row>
    <row r="622" spans="1:5" x14ac:dyDescent="0.25">
      <c r="A622" s="8" t="s">
        <v>1415</v>
      </c>
      <c r="B622" s="8" t="s">
        <v>1780</v>
      </c>
      <c r="C622" s="9">
        <v>360035</v>
      </c>
      <c r="D622" s="8" t="s">
        <v>2134</v>
      </c>
      <c r="E622" s="10">
        <v>45879</v>
      </c>
    </row>
    <row r="623" spans="1:5" x14ac:dyDescent="0.25">
      <c r="A623" s="8" t="s">
        <v>1415</v>
      </c>
      <c r="B623" s="8" t="s">
        <v>1781</v>
      </c>
      <c r="C623" s="9">
        <v>379247</v>
      </c>
      <c r="D623" s="8" t="s">
        <v>2133</v>
      </c>
      <c r="E623" s="10">
        <v>45633</v>
      </c>
    </row>
    <row r="624" spans="1:5" x14ac:dyDescent="0.25">
      <c r="A624" s="8" t="s">
        <v>1415</v>
      </c>
      <c r="B624" s="8" t="s">
        <v>1782</v>
      </c>
      <c r="C624" s="9">
        <v>322718</v>
      </c>
      <c r="D624" s="8" t="s">
        <v>2132</v>
      </c>
      <c r="E624" s="10">
        <v>45638</v>
      </c>
    </row>
    <row r="625" spans="1:5" x14ac:dyDescent="0.25">
      <c r="A625" s="8" t="s">
        <v>1415</v>
      </c>
      <c r="B625" s="8" t="s">
        <v>1783</v>
      </c>
      <c r="C625" s="9">
        <v>233978</v>
      </c>
      <c r="D625" s="8" t="s">
        <v>2134</v>
      </c>
      <c r="E625" s="10">
        <v>45748</v>
      </c>
    </row>
    <row r="626" spans="1:5" x14ac:dyDescent="0.25">
      <c r="A626" s="8" t="s">
        <v>1415</v>
      </c>
      <c r="B626" s="8" t="s">
        <v>1784</v>
      </c>
      <c r="C626" s="9">
        <v>280402</v>
      </c>
      <c r="D626" s="8" t="s">
        <v>2131</v>
      </c>
      <c r="E626" s="10">
        <v>45177</v>
      </c>
    </row>
    <row r="627" spans="1:5" x14ac:dyDescent="0.25">
      <c r="A627" s="8" t="s">
        <v>1415</v>
      </c>
      <c r="B627" s="8" t="s">
        <v>1785</v>
      </c>
      <c r="C627" s="9">
        <v>245607</v>
      </c>
      <c r="D627" s="8" t="s">
        <v>2130</v>
      </c>
      <c r="E627" s="10">
        <v>45219</v>
      </c>
    </row>
    <row r="628" spans="1:5" x14ac:dyDescent="0.25">
      <c r="A628" s="8" t="s">
        <v>1438</v>
      </c>
      <c r="B628" s="8" t="s">
        <v>2128</v>
      </c>
      <c r="C628" s="9">
        <v>87088</v>
      </c>
      <c r="D628" s="8" t="s">
        <v>2136</v>
      </c>
      <c r="E628" s="10">
        <v>45481</v>
      </c>
    </row>
    <row r="629" spans="1:5" x14ac:dyDescent="0.25">
      <c r="A629" s="8" t="s">
        <v>1438</v>
      </c>
      <c r="B629" s="8" t="s">
        <v>1788</v>
      </c>
      <c r="C629" s="9">
        <v>108111</v>
      </c>
      <c r="D629" s="8" t="s">
        <v>2133</v>
      </c>
      <c r="E629" s="10">
        <v>45583</v>
      </c>
    </row>
    <row r="630" spans="1:5" x14ac:dyDescent="0.25">
      <c r="A630" s="8" t="s">
        <v>1438</v>
      </c>
      <c r="B630" s="8" t="s">
        <v>1778</v>
      </c>
      <c r="C630" s="9">
        <v>126602</v>
      </c>
      <c r="D630" s="8" t="s">
        <v>2130</v>
      </c>
      <c r="E630" s="10">
        <v>45262</v>
      </c>
    </row>
    <row r="631" spans="1:5" x14ac:dyDescent="0.25">
      <c r="A631" s="8" t="s">
        <v>1438</v>
      </c>
      <c r="B631" s="8" t="s">
        <v>1779</v>
      </c>
      <c r="C631" s="9">
        <v>81701</v>
      </c>
      <c r="D631" s="8" t="s">
        <v>2129</v>
      </c>
      <c r="E631" s="10">
        <v>45807</v>
      </c>
    </row>
    <row r="632" spans="1:5" x14ac:dyDescent="0.25">
      <c r="A632" s="8" t="s">
        <v>1438</v>
      </c>
      <c r="B632" s="8" t="s">
        <v>1780</v>
      </c>
      <c r="C632" s="9">
        <v>88637</v>
      </c>
      <c r="D632" s="8" t="s">
        <v>2136</v>
      </c>
      <c r="E632" s="10">
        <v>45788</v>
      </c>
    </row>
    <row r="633" spans="1:5" x14ac:dyDescent="0.25">
      <c r="A633" s="8" t="s">
        <v>1438</v>
      </c>
      <c r="B633" s="8" t="s">
        <v>1781</v>
      </c>
      <c r="C633" s="9">
        <v>135813</v>
      </c>
      <c r="D633" s="8" t="s">
        <v>2130</v>
      </c>
      <c r="E633" s="10">
        <v>45194</v>
      </c>
    </row>
    <row r="634" spans="1:5" x14ac:dyDescent="0.25">
      <c r="A634" s="8" t="s">
        <v>1438</v>
      </c>
      <c r="B634" s="8" t="s">
        <v>1782</v>
      </c>
      <c r="C634" s="9">
        <v>83051</v>
      </c>
      <c r="D634" s="8" t="s">
        <v>2131</v>
      </c>
      <c r="E634" s="10">
        <v>45675</v>
      </c>
    </row>
    <row r="635" spans="1:5" x14ac:dyDescent="0.25">
      <c r="A635" s="8" t="s">
        <v>1438</v>
      </c>
      <c r="B635" s="8" t="s">
        <v>1783</v>
      </c>
      <c r="C635" s="9">
        <v>77880</v>
      </c>
      <c r="D635" s="8" t="s">
        <v>2136</v>
      </c>
      <c r="E635" s="10">
        <v>45465</v>
      </c>
    </row>
    <row r="636" spans="1:5" x14ac:dyDescent="0.25">
      <c r="A636" s="8" t="s">
        <v>1438</v>
      </c>
      <c r="B636" s="8" t="s">
        <v>1784</v>
      </c>
      <c r="C636" s="9">
        <v>89338</v>
      </c>
      <c r="D636" s="8" t="s">
        <v>2132</v>
      </c>
      <c r="E636" s="10">
        <v>45473</v>
      </c>
    </row>
    <row r="637" spans="1:5" x14ac:dyDescent="0.25">
      <c r="A637" s="8" t="s">
        <v>1438</v>
      </c>
      <c r="B637" s="8" t="s">
        <v>1785</v>
      </c>
      <c r="C637" s="9">
        <v>82548</v>
      </c>
      <c r="D637" s="8" t="s">
        <v>2129</v>
      </c>
      <c r="E637" s="10">
        <v>45295</v>
      </c>
    </row>
    <row r="638" spans="1:5" x14ac:dyDescent="0.25">
      <c r="A638" s="8" t="s">
        <v>1438</v>
      </c>
      <c r="B638" s="8" t="s">
        <v>1786</v>
      </c>
      <c r="C638" s="9">
        <v>76683</v>
      </c>
      <c r="D638" s="8" t="s">
        <v>2136</v>
      </c>
      <c r="E638" s="10">
        <v>45828</v>
      </c>
    </row>
    <row r="639" spans="1:5" x14ac:dyDescent="0.25">
      <c r="A639" s="8" t="s">
        <v>1438</v>
      </c>
      <c r="B639" s="8" t="s">
        <v>1787</v>
      </c>
      <c r="C639" s="9">
        <v>59847</v>
      </c>
      <c r="D639" s="8" t="s">
        <v>2130</v>
      </c>
      <c r="E639" s="10">
        <v>45595</v>
      </c>
    </row>
    <row r="640" spans="1:5" x14ac:dyDescent="0.25">
      <c r="A640" s="8" t="s">
        <v>1438</v>
      </c>
      <c r="B640" s="8" t="s">
        <v>1770</v>
      </c>
      <c r="C640" s="9">
        <v>129118</v>
      </c>
      <c r="D640" s="8" t="s">
        <v>2134</v>
      </c>
      <c r="E640" s="10">
        <v>45366</v>
      </c>
    </row>
    <row r="641" spans="1:5" x14ac:dyDescent="0.25">
      <c r="A641" s="8" t="s">
        <v>1438</v>
      </c>
      <c r="B641" s="8" t="s">
        <v>1771</v>
      </c>
      <c r="C641" s="9">
        <v>105063</v>
      </c>
      <c r="D641" s="8" t="s">
        <v>2130</v>
      </c>
      <c r="E641" s="10">
        <v>45435</v>
      </c>
    </row>
    <row r="642" spans="1:5" x14ac:dyDescent="0.25">
      <c r="A642" s="8" t="s">
        <v>1438</v>
      </c>
      <c r="B642" s="8" t="s">
        <v>1772</v>
      </c>
      <c r="C642" s="9">
        <v>129668</v>
      </c>
      <c r="D642" s="8" t="s">
        <v>2130</v>
      </c>
      <c r="E642" s="10">
        <v>45290</v>
      </c>
    </row>
    <row r="643" spans="1:5" x14ac:dyDescent="0.25">
      <c r="A643" s="8" t="s">
        <v>1438</v>
      </c>
      <c r="B643" s="8" t="s">
        <v>1773</v>
      </c>
      <c r="C643" s="9">
        <v>114390</v>
      </c>
      <c r="D643" s="8" t="s">
        <v>2132</v>
      </c>
      <c r="E643" s="10">
        <v>45483</v>
      </c>
    </row>
    <row r="644" spans="1:5" x14ac:dyDescent="0.25">
      <c r="A644" s="8" t="s">
        <v>1438</v>
      </c>
      <c r="B644" s="8" t="s">
        <v>1774</v>
      </c>
      <c r="C644" s="9">
        <v>92709</v>
      </c>
      <c r="D644" s="8" t="s">
        <v>2134</v>
      </c>
      <c r="E644" s="10">
        <v>45626</v>
      </c>
    </row>
    <row r="645" spans="1:5" x14ac:dyDescent="0.25">
      <c r="A645" s="8" t="s">
        <v>1438</v>
      </c>
      <c r="B645" s="8" t="s">
        <v>1775</v>
      </c>
      <c r="C645" s="9">
        <v>53790</v>
      </c>
      <c r="D645" s="8" t="s">
        <v>2136</v>
      </c>
      <c r="E645" s="10">
        <v>45700</v>
      </c>
    </row>
    <row r="646" spans="1:5" x14ac:dyDescent="0.25">
      <c r="A646" s="8" t="s">
        <v>1438</v>
      </c>
      <c r="B646" s="8" t="s">
        <v>1776</v>
      </c>
      <c r="C646" s="9">
        <v>71360</v>
      </c>
      <c r="D646" s="8" t="s">
        <v>2130</v>
      </c>
      <c r="E646" s="10">
        <v>45407</v>
      </c>
    </row>
    <row r="647" spans="1:5" x14ac:dyDescent="0.25">
      <c r="A647" s="8" t="s">
        <v>1438</v>
      </c>
      <c r="B647" s="8" t="s">
        <v>1777</v>
      </c>
      <c r="C647" s="9">
        <v>84299</v>
      </c>
      <c r="D647" s="8" t="s">
        <v>2134</v>
      </c>
      <c r="E647" s="10">
        <v>45547</v>
      </c>
    </row>
    <row r="648" spans="1:5" x14ac:dyDescent="0.25">
      <c r="A648" s="8" t="s">
        <v>1438</v>
      </c>
      <c r="B648" s="8" t="s">
        <v>2137</v>
      </c>
      <c r="C648" s="9">
        <v>70095</v>
      </c>
      <c r="D648" s="8" t="s">
        <v>2130</v>
      </c>
      <c r="E648" s="10">
        <v>45853</v>
      </c>
    </row>
    <row r="649" spans="1:5" x14ac:dyDescent="0.25">
      <c r="A649" s="8" t="s">
        <v>1438</v>
      </c>
      <c r="B649" s="8" t="s">
        <v>2138</v>
      </c>
      <c r="C649" s="9">
        <v>50339</v>
      </c>
      <c r="D649" s="8" t="s">
        <v>2132</v>
      </c>
      <c r="E649" s="10">
        <v>45277</v>
      </c>
    </row>
    <row r="650" spans="1:5" x14ac:dyDescent="0.25">
      <c r="A650" s="8" t="s">
        <v>1438</v>
      </c>
      <c r="B650" s="8" t="s">
        <v>2139</v>
      </c>
      <c r="C650" s="9">
        <v>71780</v>
      </c>
      <c r="D650" s="8" t="s">
        <v>2135</v>
      </c>
      <c r="E650" s="10">
        <v>45711</v>
      </c>
    </row>
    <row r="651" spans="1:5" x14ac:dyDescent="0.25">
      <c r="A651" s="8" t="s">
        <v>1459</v>
      </c>
      <c r="B651" s="8" t="s">
        <v>1785</v>
      </c>
      <c r="C651" s="9">
        <v>360901</v>
      </c>
      <c r="D651" s="8" t="s">
        <v>2129</v>
      </c>
      <c r="E651" s="10">
        <v>45638</v>
      </c>
    </row>
    <row r="652" spans="1:5" x14ac:dyDescent="0.25">
      <c r="A652" s="8" t="s">
        <v>1459</v>
      </c>
      <c r="B652" s="8" t="s">
        <v>1786</v>
      </c>
      <c r="C652" s="9">
        <v>530070</v>
      </c>
      <c r="D652" s="8" t="s">
        <v>2130</v>
      </c>
      <c r="E652" s="10">
        <v>45806</v>
      </c>
    </row>
    <row r="653" spans="1:5" x14ac:dyDescent="0.25">
      <c r="A653" s="8" t="s">
        <v>1459</v>
      </c>
      <c r="B653" s="8" t="s">
        <v>1787</v>
      </c>
      <c r="C653" s="9">
        <v>315475</v>
      </c>
      <c r="D653" s="8" t="s">
        <v>2129</v>
      </c>
      <c r="E653" s="10">
        <v>45713</v>
      </c>
    </row>
    <row r="654" spans="1:5" x14ac:dyDescent="0.25">
      <c r="A654" s="8" t="s">
        <v>1459</v>
      </c>
      <c r="B654" s="8" t="s">
        <v>1770</v>
      </c>
      <c r="C654" s="9">
        <v>441450</v>
      </c>
      <c r="D654" s="8" t="s">
        <v>2129</v>
      </c>
      <c r="E654" s="10">
        <v>45387</v>
      </c>
    </row>
    <row r="655" spans="1:5" x14ac:dyDescent="0.25">
      <c r="A655" s="8" t="s">
        <v>1459</v>
      </c>
      <c r="B655" s="8" t="s">
        <v>1771</v>
      </c>
      <c r="C655" s="9">
        <v>286681</v>
      </c>
      <c r="D655" s="8" t="s">
        <v>2134</v>
      </c>
      <c r="E655" s="10">
        <v>45411</v>
      </c>
    </row>
    <row r="656" spans="1:5" x14ac:dyDescent="0.25">
      <c r="A656" s="8" t="s">
        <v>1459</v>
      </c>
      <c r="B656" s="8" t="s">
        <v>1772</v>
      </c>
      <c r="C656" s="9">
        <v>358024</v>
      </c>
      <c r="D656" s="8" t="s">
        <v>2130</v>
      </c>
      <c r="E656" s="10">
        <v>45470</v>
      </c>
    </row>
    <row r="657" spans="1:5" x14ac:dyDescent="0.25">
      <c r="A657" s="8" t="s">
        <v>1459</v>
      </c>
      <c r="B657" s="8" t="s">
        <v>1773</v>
      </c>
      <c r="C657" s="9">
        <v>376044</v>
      </c>
      <c r="D657" s="8" t="s">
        <v>2134</v>
      </c>
      <c r="E657" s="10">
        <v>45254</v>
      </c>
    </row>
    <row r="658" spans="1:5" x14ac:dyDescent="0.25">
      <c r="A658" s="8" t="s">
        <v>1459</v>
      </c>
      <c r="B658" s="8" t="s">
        <v>1774</v>
      </c>
      <c r="C658" s="9">
        <v>531040</v>
      </c>
      <c r="D658" s="8" t="s">
        <v>2130</v>
      </c>
      <c r="E658" s="10">
        <v>45572</v>
      </c>
    </row>
    <row r="659" spans="1:5" x14ac:dyDescent="0.25">
      <c r="A659" s="8" t="s">
        <v>1459</v>
      </c>
      <c r="B659" s="8" t="s">
        <v>1775</v>
      </c>
      <c r="C659" s="9">
        <v>126092</v>
      </c>
      <c r="D659" s="8" t="s">
        <v>2133</v>
      </c>
      <c r="E659" s="10">
        <v>45495</v>
      </c>
    </row>
    <row r="660" spans="1:5" x14ac:dyDescent="0.25">
      <c r="A660" s="8" t="s">
        <v>1459</v>
      </c>
      <c r="B660" s="8" t="s">
        <v>1776</v>
      </c>
      <c r="C660" s="9">
        <v>302363</v>
      </c>
      <c r="D660" s="8" t="s">
        <v>2129</v>
      </c>
      <c r="E660" s="10">
        <v>45467</v>
      </c>
    </row>
    <row r="661" spans="1:5" x14ac:dyDescent="0.25">
      <c r="A661" s="8" t="s">
        <v>1459</v>
      </c>
      <c r="B661" s="8" t="s">
        <v>1777</v>
      </c>
      <c r="C661" s="9">
        <v>402718</v>
      </c>
      <c r="D661" s="8" t="s">
        <v>2133</v>
      </c>
      <c r="E661" s="10">
        <v>45747</v>
      </c>
    </row>
    <row r="662" spans="1:5" x14ac:dyDescent="0.25">
      <c r="A662" s="8" t="s">
        <v>1459</v>
      </c>
      <c r="B662" s="8" t="s">
        <v>2137</v>
      </c>
      <c r="C662" s="9">
        <v>418943</v>
      </c>
      <c r="D662" s="8" t="s">
        <v>2136</v>
      </c>
      <c r="E662" s="10">
        <v>45451</v>
      </c>
    </row>
    <row r="663" spans="1:5" x14ac:dyDescent="0.25">
      <c r="A663" s="8" t="s">
        <v>1459</v>
      </c>
      <c r="B663" s="8" t="s">
        <v>2138</v>
      </c>
      <c r="C663" s="9">
        <v>267686</v>
      </c>
      <c r="D663" s="8" t="s">
        <v>2132</v>
      </c>
      <c r="E663" s="10">
        <v>45497</v>
      </c>
    </row>
    <row r="664" spans="1:5" x14ac:dyDescent="0.25">
      <c r="A664" s="8" t="s">
        <v>1492</v>
      </c>
      <c r="B664" s="8" t="s">
        <v>1783</v>
      </c>
      <c r="C664" s="9">
        <v>52673</v>
      </c>
      <c r="D664" s="8" t="s">
        <v>2135</v>
      </c>
      <c r="E664" s="10">
        <v>45777</v>
      </c>
    </row>
    <row r="665" spans="1:5" x14ac:dyDescent="0.25">
      <c r="A665" s="8" t="s">
        <v>1492</v>
      </c>
      <c r="B665" s="8" t="s">
        <v>1784</v>
      </c>
      <c r="C665" s="9">
        <v>53356</v>
      </c>
      <c r="D665" s="8" t="s">
        <v>2132</v>
      </c>
      <c r="E665" s="10">
        <v>45590</v>
      </c>
    </row>
    <row r="666" spans="1:5" x14ac:dyDescent="0.25">
      <c r="A666" s="8" t="s">
        <v>1492</v>
      </c>
      <c r="B666" s="8" t="s">
        <v>1785</v>
      </c>
      <c r="C666" s="9">
        <v>72751</v>
      </c>
      <c r="D666" s="8" t="s">
        <v>2136</v>
      </c>
      <c r="E666" s="10">
        <v>45378</v>
      </c>
    </row>
    <row r="667" spans="1:5" x14ac:dyDescent="0.25">
      <c r="A667" s="8" t="s">
        <v>1492</v>
      </c>
      <c r="B667" s="8" t="s">
        <v>1786</v>
      </c>
      <c r="C667" s="9">
        <v>55956</v>
      </c>
      <c r="D667" s="8" t="s">
        <v>2129</v>
      </c>
      <c r="E667" s="10">
        <v>45840</v>
      </c>
    </row>
    <row r="668" spans="1:5" x14ac:dyDescent="0.25">
      <c r="A668" s="8" t="s">
        <v>1492</v>
      </c>
      <c r="B668" s="8" t="s">
        <v>1787</v>
      </c>
      <c r="C668" s="9">
        <v>51299</v>
      </c>
      <c r="D668" s="8" t="s">
        <v>2133</v>
      </c>
      <c r="E668" s="10">
        <v>45298</v>
      </c>
    </row>
    <row r="669" spans="1:5" x14ac:dyDescent="0.25">
      <c r="A669" s="8" t="s">
        <v>1492</v>
      </c>
      <c r="B669" s="8" t="s">
        <v>1770</v>
      </c>
      <c r="C669" s="9">
        <v>43828</v>
      </c>
      <c r="D669" s="8" t="s">
        <v>2134</v>
      </c>
      <c r="E669" s="10">
        <v>45254</v>
      </c>
    </row>
    <row r="670" spans="1:5" x14ac:dyDescent="0.25">
      <c r="A670" s="8" t="s">
        <v>1492</v>
      </c>
      <c r="B670" s="8" t="s">
        <v>1771</v>
      </c>
      <c r="C670" s="9">
        <v>61264</v>
      </c>
      <c r="D670" s="8" t="s">
        <v>2136</v>
      </c>
      <c r="E670" s="10">
        <v>45387</v>
      </c>
    </row>
    <row r="671" spans="1:5" x14ac:dyDescent="0.25">
      <c r="A671" s="8" t="s">
        <v>1492</v>
      </c>
      <c r="B671" s="8" t="s">
        <v>1772</v>
      </c>
      <c r="C671" s="9">
        <v>49796</v>
      </c>
      <c r="D671" s="8" t="s">
        <v>2132</v>
      </c>
      <c r="E671" s="10">
        <v>45433</v>
      </c>
    </row>
    <row r="672" spans="1:5" x14ac:dyDescent="0.25">
      <c r="A672" s="8" t="s">
        <v>1492</v>
      </c>
      <c r="B672" s="8" t="s">
        <v>1773</v>
      </c>
      <c r="C672" s="9">
        <v>45651</v>
      </c>
      <c r="D672" s="8" t="s">
        <v>2136</v>
      </c>
      <c r="E672" s="10">
        <v>45490</v>
      </c>
    </row>
    <row r="673" spans="1:5" x14ac:dyDescent="0.25">
      <c r="A673" s="8" t="s">
        <v>1492</v>
      </c>
      <c r="B673" s="8" t="s">
        <v>1774</v>
      </c>
      <c r="C673" s="9">
        <v>40153</v>
      </c>
      <c r="D673" s="8" t="s">
        <v>2134</v>
      </c>
      <c r="E673" s="10">
        <v>45451</v>
      </c>
    </row>
    <row r="674" spans="1:5" x14ac:dyDescent="0.25">
      <c r="A674" s="8" t="s">
        <v>1492</v>
      </c>
      <c r="B674" s="8" t="s">
        <v>1775</v>
      </c>
      <c r="C674" s="9">
        <v>49237</v>
      </c>
      <c r="D674" s="8" t="s">
        <v>2135</v>
      </c>
      <c r="E674" s="10">
        <v>45621</v>
      </c>
    </row>
    <row r="675" spans="1:5" x14ac:dyDescent="0.25">
      <c r="A675" s="8" t="s">
        <v>1492</v>
      </c>
      <c r="B675" s="8" t="s">
        <v>1776</v>
      </c>
      <c r="C675" s="9">
        <v>62472</v>
      </c>
      <c r="D675" s="8" t="s">
        <v>2136</v>
      </c>
      <c r="E675" s="10">
        <v>45478</v>
      </c>
    </row>
    <row r="676" spans="1:5" x14ac:dyDescent="0.25">
      <c r="A676" s="8" t="s">
        <v>1492</v>
      </c>
      <c r="B676" s="8" t="s">
        <v>1777</v>
      </c>
      <c r="C676" s="9">
        <v>46363</v>
      </c>
      <c r="D676" s="8" t="s">
        <v>2129</v>
      </c>
      <c r="E676" s="10">
        <v>45896</v>
      </c>
    </row>
    <row r="677" spans="1:5" x14ac:dyDescent="0.25">
      <c r="A677" s="8" t="s">
        <v>1492</v>
      </c>
      <c r="B677" s="8" t="s">
        <v>2137</v>
      </c>
      <c r="C677" s="9">
        <v>53643</v>
      </c>
      <c r="D677" s="8" t="s">
        <v>2129</v>
      </c>
      <c r="E677" s="10">
        <v>45347</v>
      </c>
    </row>
    <row r="678" spans="1:5" x14ac:dyDescent="0.25">
      <c r="A678" s="8" t="s">
        <v>1528</v>
      </c>
      <c r="B678" s="8" t="s">
        <v>1788</v>
      </c>
      <c r="C678" s="9">
        <v>12133</v>
      </c>
      <c r="D678" s="8" t="s">
        <v>2131</v>
      </c>
      <c r="E678" s="10">
        <v>45700</v>
      </c>
    </row>
    <row r="679" spans="1:5" x14ac:dyDescent="0.25">
      <c r="A679" s="8" t="s">
        <v>1528</v>
      </c>
      <c r="B679" s="8" t="s">
        <v>1778</v>
      </c>
      <c r="C679" s="9">
        <v>14696</v>
      </c>
      <c r="D679" s="8" t="s">
        <v>2135</v>
      </c>
      <c r="E679" s="10">
        <v>45776</v>
      </c>
    </row>
    <row r="680" spans="1:5" x14ac:dyDescent="0.25">
      <c r="A680" s="8" t="s">
        <v>1528</v>
      </c>
      <c r="B680" s="8" t="s">
        <v>1779</v>
      </c>
      <c r="C680" s="9">
        <v>14389</v>
      </c>
      <c r="D680" s="8" t="s">
        <v>2132</v>
      </c>
      <c r="E680" s="10">
        <v>45850</v>
      </c>
    </row>
    <row r="681" spans="1:5" x14ac:dyDescent="0.25">
      <c r="A681" s="8" t="s">
        <v>1528</v>
      </c>
      <c r="B681" s="8" t="s">
        <v>1780</v>
      </c>
      <c r="C681" s="9">
        <v>11321</v>
      </c>
      <c r="D681" s="8" t="s">
        <v>2136</v>
      </c>
      <c r="E681" s="10">
        <v>45524</v>
      </c>
    </row>
    <row r="682" spans="1:5" x14ac:dyDescent="0.25">
      <c r="A682" s="8" t="s">
        <v>1528</v>
      </c>
      <c r="B682" s="8" t="s">
        <v>1781</v>
      </c>
      <c r="C682" s="9">
        <v>17027</v>
      </c>
      <c r="D682" s="8" t="s">
        <v>2136</v>
      </c>
      <c r="E682" s="10">
        <v>45400</v>
      </c>
    </row>
    <row r="683" spans="1:5" x14ac:dyDescent="0.25">
      <c r="A683" s="8" t="s">
        <v>1528</v>
      </c>
      <c r="B683" s="8" t="s">
        <v>1782</v>
      </c>
      <c r="C683" s="9">
        <v>8964</v>
      </c>
      <c r="D683" s="8" t="s">
        <v>2132</v>
      </c>
      <c r="E683" s="10">
        <v>45200</v>
      </c>
    </row>
    <row r="684" spans="1:5" x14ac:dyDescent="0.25">
      <c r="A684" s="8" t="s">
        <v>1528</v>
      </c>
      <c r="B684" s="8" t="s">
        <v>1783</v>
      </c>
      <c r="C684" s="9">
        <v>18096</v>
      </c>
      <c r="D684" s="8" t="s">
        <v>2131</v>
      </c>
      <c r="E684" s="10">
        <v>45344</v>
      </c>
    </row>
    <row r="685" spans="1:5" x14ac:dyDescent="0.25">
      <c r="A685" s="8" t="s">
        <v>1528</v>
      </c>
      <c r="B685" s="8" t="s">
        <v>1784</v>
      </c>
      <c r="C685" s="9">
        <v>15255</v>
      </c>
      <c r="D685" s="8" t="s">
        <v>2131</v>
      </c>
      <c r="E685" s="10">
        <v>45193</v>
      </c>
    </row>
    <row r="686" spans="1:5" x14ac:dyDescent="0.25">
      <c r="A686" s="8" t="s">
        <v>1528</v>
      </c>
      <c r="B686" s="8" t="s">
        <v>1785</v>
      </c>
      <c r="C686" s="9">
        <v>16167</v>
      </c>
      <c r="D686" s="8" t="s">
        <v>2135</v>
      </c>
      <c r="E686" s="10">
        <v>45809</v>
      </c>
    </row>
    <row r="687" spans="1:5" x14ac:dyDescent="0.25">
      <c r="A687" s="8" t="s">
        <v>1528</v>
      </c>
      <c r="B687" s="8" t="s">
        <v>1786</v>
      </c>
      <c r="C687" s="9">
        <v>8279</v>
      </c>
      <c r="D687" s="8" t="s">
        <v>2136</v>
      </c>
      <c r="E687" s="10">
        <v>45207</v>
      </c>
    </row>
    <row r="688" spans="1:5" x14ac:dyDescent="0.25">
      <c r="A688" s="8" t="s">
        <v>1554</v>
      </c>
      <c r="B688" s="8" t="s">
        <v>1779</v>
      </c>
      <c r="C688" s="9">
        <v>249790</v>
      </c>
      <c r="D688" s="8" t="s">
        <v>2130</v>
      </c>
      <c r="E688" s="10">
        <v>45815</v>
      </c>
    </row>
    <row r="689" spans="1:5" x14ac:dyDescent="0.25">
      <c r="A689" s="8" t="s">
        <v>1554</v>
      </c>
      <c r="B689" s="8" t="s">
        <v>1780</v>
      </c>
      <c r="C689" s="9">
        <v>350033</v>
      </c>
      <c r="D689" s="8" t="s">
        <v>2131</v>
      </c>
      <c r="E689" s="10">
        <v>45817</v>
      </c>
    </row>
    <row r="690" spans="1:5" x14ac:dyDescent="0.25">
      <c r="A690" s="8" t="s">
        <v>1554</v>
      </c>
      <c r="B690" s="8" t="s">
        <v>1781</v>
      </c>
      <c r="C690" s="9">
        <v>243825</v>
      </c>
      <c r="D690" s="8" t="s">
        <v>2133</v>
      </c>
      <c r="E690" s="10">
        <v>45249</v>
      </c>
    </row>
    <row r="691" spans="1:5" x14ac:dyDescent="0.25">
      <c r="A691" s="8" t="s">
        <v>1554</v>
      </c>
      <c r="B691" s="8" t="s">
        <v>1782</v>
      </c>
      <c r="C691" s="9">
        <v>261261</v>
      </c>
      <c r="D691" s="8" t="s">
        <v>2136</v>
      </c>
      <c r="E691" s="10">
        <v>45438</v>
      </c>
    </row>
    <row r="692" spans="1:5" x14ac:dyDescent="0.25">
      <c r="A692" s="8" t="s">
        <v>1554</v>
      </c>
      <c r="B692" s="8" t="s">
        <v>1783</v>
      </c>
      <c r="C692" s="9">
        <v>180645</v>
      </c>
      <c r="D692" s="8" t="s">
        <v>2130</v>
      </c>
      <c r="E692" s="10">
        <v>45375</v>
      </c>
    </row>
    <row r="693" spans="1:5" x14ac:dyDescent="0.25">
      <c r="A693" s="8" t="s">
        <v>1554</v>
      </c>
      <c r="B693" s="8" t="s">
        <v>1784</v>
      </c>
      <c r="C693" s="9">
        <v>161990</v>
      </c>
      <c r="D693" s="8" t="s">
        <v>2130</v>
      </c>
      <c r="E693" s="10">
        <v>45659</v>
      </c>
    </row>
    <row r="694" spans="1:5" x14ac:dyDescent="0.25">
      <c r="A694" s="8" t="s">
        <v>1554</v>
      </c>
      <c r="B694" s="8" t="s">
        <v>1785</v>
      </c>
      <c r="C694" s="9">
        <v>267591</v>
      </c>
      <c r="D694" s="8" t="s">
        <v>2134</v>
      </c>
      <c r="E694" s="10">
        <v>45462</v>
      </c>
    </row>
    <row r="695" spans="1:5" x14ac:dyDescent="0.25">
      <c r="A695" s="8" t="s">
        <v>1554</v>
      </c>
      <c r="B695" s="8" t="s">
        <v>1786</v>
      </c>
      <c r="C695" s="9">
        <v>210126</v>
      </c>
      <c r="D695" s="8" t="s">
        <v>2135</v>
      </c>
      <c r="E695" s="10">
        <v>45750</v>
      </c>
    </row>
    <row r="696" spans="1:5" x14ac:dyDescent="0.25">
      <c r="A696" s="8" t="s">
        <v>1554</v>
      </c>
      <c r="B696" s="8" t="s">
        <v>1787</v>
      </c>
      <c r="C696" s="9">
        <v>217989</v>
      </c>
      <c r="D696" s="8" t="s">
        <v>2134</v>
      </c>
      <c r="E696" s="10">
        <v>45329</v>
      </c>
    </row>
    <row r="697" spans="1:5" x14ac:dyDescent="0.25">
      <c r="A697" s="8" t="s">
        <v>1554</v>
      </c>
      <c r="B697" s="8" t="s">
        <v>1770</v>
      </c>
      <c r="C697" s="9">
        <v>257015</v>
      </c>
      <c r="D697" s="8" t="s">
        <v>2129</v>
      </c>
      <c r="E697" s="10">
        <v>45651</v>
      </c>
    </row>
    <row r="698" spans="1:5" x14ac:dyDescent="0.25">
      <c r="A698" s="8" t="s">
        <v>1554</v>
      </c>
      <c r="B698" s="8" t="s">
        <v>1771</v>
      </c>
      <c r="C698" s="9">
        <v>296434</v>
      </c>
      <c r="D698" s="8" t="s">
        <v>2135</v>
      </c>
      <c r="E698" s="10">
        <v>45713</v>
      </c>
    </row>
    <row r="699" spans="1:5" x14ac:dyDescent="0.25">
      <c r="A699" s="8" t="s">
        <v>1554</v>
      </c>
      <c r="B699" s="8" t="s">
        <v>1772</v>
      </c>
      <c r="C699" s="9">
        <v>286272</v>
      </c>
      <c r="D699" s="8" t="s">
        <v>2136</v>
      </c>
      <c r="E699" s="10">
        <v>45179</v>
      </c>
    </row>
    <row r="700" spans="1:5" x14ac:dyDescent="0.25">
      <c r="A700" s="8" t="s">
        <v>1554</v>
      </c>
      <c r="B700" s="8" t="s">
        <v>1773</v>
      </c>
      <c r="C700" s="9">
        <v>259321</v>
      </c>
      <c r="D700" s="8" t="s">
        <v>2129</v>
      </c>
      <c r="E700" s="10">
        <v>45681</v>
      </c>
    </row>
    <row r="701" spans="1:5" x14ac:dyDescent="0.25">
      <c r="A701" s="8" t="s">
        <v>1554</v>
      </c>
      <c r="B701" s="8" t="s">
        <v>1774</v>
      </c>
      <c r="C701" s="9">
        <v>309133</v>
      </c>
      <c r="D701" s="8" t="s">
        <v>2131</v>
      </c>
      <c r="E701" s="10">
        <v>45480</v>
      </c>
    </row>
    <row r="702" spans="1:5" x14ac:dyDescent="0.25">
      <c r="A702" s="8" t="s">
        <v>1554</v>
      </c>
      <c r="B702" s="8" t="s">
        <v>1775</v>
      </c>
      <c r="C702" s="9">
        <v>319050</v>
      </c>
      <c r="D702" s="8" t="s">
        <v>2135</v>
      </c>
      <c r="E702" s="10">
        <v>45541</v>
      </c>
    </row>
    <row r="703" spans="1:5" x14ac:dyDescent="0.25">
      <c r="A703" s="8" t="s">
        <v>1554</v>
      </c>
      <c r="B703" s="8" t="s">
        <v>1776</v>
      </c>
      <c r="C703" s="9">
        <v>244693</v>
      </c>
      <c r="D703" s="8" t="s">
        <v>2132</v>
      </c>
      <c r="E703" s="10">
        <v>45157</v>
      </c>
    </row>
    <row r="704" spans="1:5" x14ac:dyDescent="0.25">
      <c r="A704" s="8" t="s">
        <v>1554</v>
      </c>
      <c r="B704" s="8" t="s">
        <v>1777</v>
      </c>
      <c r="C704" s="9">
        <v>358546</v>
      </c>
      <c r="D704" s="8" t="s">
        <v>2133</v>
      </c>
      <c r="E704" s="10">
        <v>45839</v>
      </c>
    </row>
    <row r="705" spans="1:5" x14ac:dyDescent="0.25">
      <c r="A705" s="8" t="s">
        <v>1554</v>
      </c>
      <c r="B705" s="8" t="s">
        <v>2137</v>
      </c>
      <c r="C705" s="9">
        <v>184244</v>
      </c>
      <c r="D705" s="8" t="s">
        <v>2133</v>
      </c>
      <c r="E705" s="10">
        <v>45502</v>
      </c>
    </row>
    <row r="706" spans="1:5" x14ac:dyDescent="0.25">
      <c r="A706" s="8" t="s">
        <v>1554</v>
      </c>
      <c r="B706" s="8" t="s">
        <v>2138</v>
      </c>
      <c r="C706" s="9">
        <v>156048</v>
      </c>
      <c r="D706" s="8" t="s">
        <v>2131</v>
      </c>
      <c r="E706" s="10">
        <v>45380</v>
      </c>
    </row>
    <row r="707" spans="1:5" x14ac:dyDescent="0.25">
      <c r="A707" s="8" t="s">
        <v>1554</v>
      </c>
      <c r="B707" s="8" t="s">
        <v>2139</v>
      </c>
      <c r="C707" s="9">
        <v>340524</v>
      </c>
      <c r="D707" s="8" t="s">
        <v>2131</v>
      </c>
      <c r="E707" s="10">
        <v>45202</v>
      </c>
    </row>
    <row r="708" spans="1:5" x14ac:dyDescent="0.25">
      <c r="A708" s="8" t="s">
        <v>1580</v>
      </c>
      <c r="B708" s="8" t="s">
        <v>2128</v>
      </c>
      <c r="C708" s="9">
        <v>53946</v>
      </c>
      <c r="D708" s="8" t="s">
        <v>2131</v>
      </c>
      <c r="E708" s="10">
        <v>45535</v>
      </c>
    </row>
    <row r="709" spans="1:5" x14ac:dyDescent="0.25">
      <c r="A709" s="8" t="s">
        <v>1580</v>
      </c>
      <c r="B709" s="8" t="s">
        <v>1788</v>
      </c>
      <c r="C709" s="9">
        <v>21701</v>
      </c>
      <c r="D709" s="8" t="s">
        <v>2136</v>
      </c>
      <c r="E709" s="10">
        <v>45707</v>
      </c>
    </row>
    <row r="710" spans="1:5" x14ac:dyDescent="0.25">
      <c r="A710" s="8" t="s">
        <v>1580</v>
      </c>
      <c r="B710" s="8" t="s">
        <v>1778</v>
      </c>
      <c r="C710" s="9">
        <v>60062</v>
      </c>
      <c r="D710" s="8" t="s">
        <v>2131</v>
      </c>
      <c r="E710" s="10">
        <v>45369</v>
      </c>
    </row>
    <row r="711" spans="1:5" x14ac:dyDescent="0.25">
      <c r="A711" s="8" t="s">
        <v>1580</v>
      </c>
      <c r="B711" s="8" t="s">
        <v>1779</v>
      </c>
      <c r="C711" s="9">
        <v>85476</v>
      </c>
      <c r="D711" s="8" t="s">
        <v>2132</v>
      </c>
      <c r="E711" s="10">
        <v>45488</v>
      </c>
    </row>
    <row r="712" spans="1:5" x14ac:dyDescent="0.25">
      <c r="A712" s="8" t="s">
        <v>1580</v>
      </c>
      <c r="B712" s="8" t="s">
        <v>1780</v>
      </c>
      <c r="C712" s="9">
        <v>60364</v>
      </c>
      <c r="D712" s="8" t="s">
        <v>2130</v>
      </c>
      <c r="E712" s="10">
        <v>45811</v>
      </c>
    </row>
    <row r="713" spans="1:5" x14ac:dyDescent="0.25">
      <c r="A713" s="8" t="s">
        <v>1580</v>
      </c>
      <c r="B713" s="8" t="s">
        <v>1781</v>
      </c>
      <c r="C713" s="9">
        <v>36369</v>
      </c>
      <c r="D713" s="8" t="s">
        <v>2132</v>
      </c>
      <c r="E713" s="10">
        <v>45228</v>
      </c>
    </row>
    <row r="714" spans="1:5" x14ac:dyDescent="0.25">
      <c r="A714" s="8" t="s">
        <v>1580</v>
      </c>
      <c r="B714" s="8" t="s">
        <v>1782</v>
      </c>
      <c r="C714" s="9">
        <v>60656</v>
      </c>
      <c r="D714" s="8" t="s">
        <v>2130</v>
      </c>
      <c r="E714" s="10">
        <v>45672</v>
      </c>
    </row>
    <row r="715" spans="1:5" x14ac:dyDescent="0.25">
      <c r="A715" s="8" t="s">
        <v>1580</v>
      </c>
      <c r="B715" s="8" t="s">
        <v>1783</v>
      </c>
      <c r="C715" s="9">
        <v>62354</v>
      </c>
      <c r="D715" s="8" t="s">
        <v>2129</v>
      </c>
      <c r="E715" s="10">
        <v>45566</v>
      </c>
    </row>
    <row r="716" spans="1:5" x14ac:dyDescent="0.25">
      <c r="A716" s="8" t="s">
        <v>1580</v>
      </c>
      <c r="B716" s="8" t="s">
        <v>1784</v>
      </c>
      <c r="C716" s="9">
        <v>59896</v>
      </c>
      <c r="D716" s="8" t="s">
        <v>2129</v>
      </c>
      <c r="E716" s="10">
        <v>45725</v>
      </c>
    </row>
    <row r="717" spans="1:5" x14ac:dyDescent="0.25">
      <c r="A717" s="8" t="s">
        <v>1580</v>
      </c>
      <c r="B717" s="8" t="s">
        <v>1785</v>
      </c>
      <c r="C717" s="9">
        <v>53634</v>
      </c>
      <c r="D717" s="8" t="s">
        <v>2132</v>
      </c>
      <c r="E717" s="10">
        <v>45575</v>
      </c>
    </row>
    <row r="718" spans="1:5" x14ac:dyDescent="0.25">
      <c r="A718" s="8" t="s">
        <v>1580</v>
      </c>
      <c r="B718" s="8" t="s">
        <v>1786</v>
      </c>
      <c r="C718" s="9">
        <v>54409</v>
      </c>
      <c r="D718" s="8" t="s">
        <v>2131</v>
      </c>
      <c r="E718" s="10">
        <v>45758</v>
      </c>
    </row>
    <row r="719" spans="1:5" x14ac:dyDescent="0.25">
      <c r="A719" s="8" t="s">
        <v>1580</v>
      </c>
      <c r="B719" s="8" t="s">
        <v>1787</v>
      </c>
      <c r="C719" s="9">
        <v>77287</v>
      </c>
      <c r="D719" s="8" t="s">
        <v>2133</v>
      </c>
      <c r="E719" s="10">
        <v>45598</v>
      </c>
    </row>
    <row r="720" spans="1:5" x14ac:dyDescent="0.25">
      <c r="A720" s="8" t="s">
        <v>1580</v>
      </c>
      <c r="B720" s="8" t="s">
        <v>1770</v>
      </c>
      <c r="C720" s="9">
        <v>55910</v>
      </c>
      <c r="D720" s="8" t="s">
        <v>2132</v>
      </c>
      <c r="E720" s="10">
        <v>45350</v>
      </c>
    </row>
    <row r="721" spans="1:5" x14ac:dyDescent="0.25">
      <c r="A721" s="8" t="s">
        <v>1580</v>
      </c>
      <c r="B721" s="8" t="s">
        <v>1771</v>
      </c>
      <c r="C721" s="9">
        <v>68029</v>
      </c>
      <c r="D721" s="8" t="s">
        <v>2132</v>
      </c>
      <c r="E721" s="10">
        <v>45733</v>
      </c>
    </row>
    <row r="722" spans="1:5" x14ac:dyDescent="0.25">
      <c r="A722" s="8" t="s">
        <v>1580</v>
      </c>
      <c r="B722" s="8" t="s">
        <v>1772</v>
      </c>
      <c r="C722" s="9">
        <v>67970</v>
      </c>
      <c r="D722" s="8" t="s">
        <v>2129</v>
      </c>
      <c r="E722" s="10">
        <v>45280</v>
      </c>
    </row>
    <row r="723" spans="1:5" x14ac:dyDescent="0.25">
      <c r="A723" s="8" t="s">
        <v>1580</v>
      </c>
      <c r="B723" s="8" t="s">
        <v>1773</v>
      </c>
      <c r="C723" s="9">
        <v>55315</v>
      </c>
      <c r="D723" s="8" t="s">
        <v>2131</v>
      </c>
      <c r="E723" s="10">
        <v>45844</v>
      </c>
    </row>
    <row r="724" spans="1:5" x14ac:dyDescent="0.25">
      <c r="A724" s="8" t="s">
        <v>1580</v>
      </c>
      <c r="B724" s="8" t="s">
        <v>1774</v>
      </c>
      <c r="C724" s="9">
        <v>53090</v>
      </c>
      <c r="D724" s="8" t="s">
        <v>2132</v>
      </c>
      <c r="E724" s="10">
        <v>45579</v>
      </c>
    </row>
    <row r="725" spans="1:5" x14ac:dyDescent="0.25">
      <c r="A725" s="8" t="s">
        <v>1580</v>
      </c>
      <c r="B725" s="8" t="s">
        <v>1775</v>
      </c>
      <c r="C725" s="9">
        <v>66534</v>
      </c>
      <c r="D725" s="8" t="s">
        <v>2132</v>
      </c>
      <c r="E725" s="10">
        <v>45810</v>
      </c>
    </row>
    <row r="726" spans="1:5" x14ac:dyDescent="0.25">
      <c r="A726" s="8" t="s">
        <v>1580</v>
      </c>
      <c r="B726" s="8" t="s">
        <v>1776</v>
      </c>
      <c r="C726" s="9">
        <v>38379</v>
      </c>
      <c r="D726" s="8" t="s">
        <v>2132</v>
      </c>
      <c r="E726" s="10">
        <v>45464</v>
      </c>
    </row>
    <row r="727" spans="1:5" x14ac:dyDescent="0.25">
      <c r="A727" s="8" t="s">
        <v>1580</v>
      </c>
      <c r="B727" s="8" t="s">
        <v>1777</v>
      </c>
      <c r="C727" s="9">
        <v>97985</v>
      </c>
      <c r="D727" s="8" t="s">
        <v>2134</v>
      </c>
      <c r="E727" s="10">
        <v>45709</v>
      </c>
    </row>
    <row r="728" spans="1:5" x14ac:dyDescent="0.25">
      <c r="A728" s="8" t="s">
        <v>1580</v>
      </c>
      <c r="B728" s="8" t="s">
        <v>2137</v>
      </c>
      <c r="C728" s="9">
        <v>56028</v>
      </c>
      <c r="D728" s="8" t="s">
        <v>2134</v>
      </c>
      <c r="E728" s="10">
        <v>45327</v>
      </c>
    </row>
    <row r="729" spans="1:5" x14ac:dyDescent="0.25">
      <c r="A729" s="8" t="s">
        <v>1580</v>
      </c>
      <c r="B729" s="8" t="s">
        <v>2138</v>
      </c>
      <c r="C729" s="9">
        <v>59004</v>
      </c>
      <c r="D729" s="8" t="s">
        <v>2133</v>
      </c>
      <c r="E729" s="10">
        <v>45288</v>
      </c>
    </row>
    <row r="730" spans="1:5" x14ac:dyDescent="0.25">
      <c r="A730" s="8" t="s">
        <v>1580</v>
      </c>
      <c r="B730" s="8" t="s">
        <v>2139</v>
      </c>
      <c r="C730" s="9">
        <v>77431</v>
      </c>
      <c r="D730" s="8" t="s">
        <v>2136</v>
      </c>
      <c r="E730" s="10">
        <v>45465</v>
      </c>
    </row>
    <row r="731" spans="1:5" x14ac:dyDescent="0.25">
      <c r="A731" s="8" t="s">
        <v>1580</v>
      </c>
      <c r="B731" s="8" t="s">
        <v>2140</v>
      </c>
      <c r="C731" s="9">
        <v>62614</v>
      </c>
      <c r="D731" s="8" t="s">
        <v>2130</v>
      </c>
      <c r="E731" s="10">
        <v>45560</v>
      </c>
    </row>
    <row r="732" spans="1:5" x14ac:dyDescent="0.25">
      <c r="A732" s="8" t="s">
        <v>1580</v>
      </c>
      <c r="B732" s="8" t="s">
        <v>2141</v>
      </c>
      <c r="C732" s="9">
        <v>58564</v>
      </c>
      <c r="D732" s="8" t="s">
        <v>2131</v>
      </c>
      <c r="E732" s="10">
        <v>45592</v>
      </c>
    </row>
    <row r="733" spans="1:5" x14ac:dyDescent="0.25">
      <c r="A733" s="8" t="s">
        <v>1631</v>
      </c>
      <c r="B733" s="8" t="s">
        <v>2128</v>
      </c>
      <c r="C733" s="9">
        <v>17585</v>
      </c>
      <c r="D733" s="8" t="s">
        <v>2131</v>
      </c>
      <c r="E733" s="10">
        <v>45294</v>
      </c>
    </row>
    <row r="734" spans="1:5" x14ac:dyDescent="0.25">
      <c r="A734" s="8" t="s">
        <v>1631</v>
      </c>
      <c r="B734" s="8" t="s">
        <v>1788</v>
      </c>
      <c r="C734" s="9">
        <v>27090</v>
      </c>
      <c r="D734" s="8" t="s">
        <v>2129</v>
      </c>
      <c r="E734" s="10">
        <v>45248</v>
      </c>
    </row>
    <row r="735" spans="1:5" x14ac:dyDescent="0.25">
      <c r="A735" s="8" t="s">
        <v>1631</v>
      </c>
      <c r="B735" s="8" t="s">
        <v>1778</v>
      </c>
      <c r="C735" s="9">
        <v>22805</v>
      </c>
      <c r="D735" s="8" t="s">
        <v>2132</v>
      </c>
      <c r="E735" s="10">
        <v>45328</v>
      </c>
    </row>
    <row r="736" spans="1:5" x14ac:dyDescent="0.25">
      <c r="A736" s="8" t="s">
        <v>1631</v>
      </c>
      <c r="B736" s="8" t="s">
        <v>1779</v>
      </c>
      <c r="C736" s="9">
        <v>40163</v>
      </c>
      <c r="D736" s="8" t="s">
        <v>2136</v>
      </c>
      <c r="E736" s="10">
        <v>45765</v>
      </c>
    </row>
    <row r="737" spans="1:5" x14ac:dyDescent="0.25">
      <c r="A737" s="8" t="s">
        <v>1631</v>
      </c>
      <c r="B737" s="8" t="s">
        <v>1780</v>
      </c>
      <c r="C737" s="9">
        <v>25061</v>
      </c>
      <c r="D737" s="8" t="s">
        <v>2131</v>
      </c>
      <c r="E737" s="10">
        <v>45759</v>
      </c>
    </row>
    <row r="738" spans="1:5" x14ac:dyDescent="0.25">
      <c r="A738" s="8" t="s">
        <v>1631</v>
      </c>
      <c r="B738" s="8" t="s">
        <v>1781</v>
      </c>
      <c r="C738" s="9">
        <v>11445</v>
      </c>
      <c r="D738" s="8" t="s">
        <v>2129</v>
      </c>
      <c r="E738" s="10">
        <v>45749</v>
      </c>
    </row>
    <row r="739" spans="1:5" x14ac:dyDescent="0.25">
      <c r="A739" s="8" t="s">
        <v>1631</v>
      </c>
      <c r="B739" s="8" t="s">
        <v>1782</v>
      </c>
      <c r="C739" s="9">
        <v>32692</v>
      </c>
      <c r="D739" s="8" t="s">
        <v>2129</v>
      </c>
      <c r="E739" s="10">
        <v>45375</v>
      </c>
    </row>
    <row r="740" spans="1:5" x14ac:dyDescent="0.25">
      <c r="A740" s="8" t="s">
        <v>1631</v>
      </c>
      <c r="B740" s="8" t="s">
        <v>1783</v>
      </c>
      <c r="C740" s="9">
        <v>19812</v>
      </c>
      <c r="D740" s="8" t="s">
        <v>2136</v>
      </c>
      <c r="E740" s="10">
        <v>45506</v>
      </c>
    </row>
    <row r="741" spans="1:5" x14ac:dyDescent="0.25">
      <c r="A741" s="8" t="s">
        <v>1631</v>
      </c>
      <c r="B741" s="8" t="s">
        <v>1784</v>
      </c>
      <c r="C741" s="9">
        <v>27119</v>
      </c>
      <c r="D741" s="8" t="s">
        <v>2134</v>
      </c>
      <c r="E741" s="10">
        <v>45843</v>
      </c>
    </row>
    <row r="742" spans="1:5" x14ac:dyDescent="0.25">
      <c r="A742" s="8" t="s">
        <v>1631</v>
      </c>
      <c r="B742" s="8" t="s">
        <v>1785</v>
      </c>
      <c r="C742" s="9">
        <v>35695</v>
      </c>
      <c r="D742" s="8" t="s">
        <v>2135</v>
      </c>
      <c r="E742" s="10">
        <v>45276</v>
      </c>
    </row>
    <row r="743" spans="1:5" x14ac:dyDescent="0.25">
      <c r="A743" s="8" t="s">
        <v>1631</v>
      </c>
      <c r="B743" s="8" t="s">
        <v>1786</v>
      </c>
      <c r="C743" s="9">
        <v>24377</v>
      </c>
      <c r="D743" s="8" t="s">
        <v>2135</v>
      </c>
      <c r="E743" s="10">
        <v>45868</v>
      </c>
    </row>
    <row r="744" spans="1:5" x14ac:dyDescent="0.25">
      <c r="A744" s="8" t="s">
        <v>1631</v>
      </c>
      <c r="B744" s="8" t="s">
        <v>1787</v>
      </c>
      <c r="C744" s="9">
        <v>25065</v>
      </c>
      <c r="D744" s="8" t="s">
        <v>2133</v>
      </c>
      <c r="E744" s="10">
        <v>45327</v>
      </c>
    </row>
    <row r="745" spans="1:5" x14ac:dyDescent="0.25">
      <c r="A745" s="8" t="s">
        <v>1631</v>
      </c>
      <c r="B745" s="8" t="s">
        <v>1770</v>
      </c>
      <c r="C745" s="9">
        <v>32590</v>
      </c>
      <c r="D745" s="8" t="s">
        <v>2130</v>
      </c>
      <c r="E745" s="10">
        <v>45642</v>
      </c>
    </row>
    <row r="746" spans="1:5" x14ac:dyDescent="0.25">
      <c r="A746" s="8" t="s">
        <v>1631</v>
      </c>
      <c r="B746" s="8" t="s">
        <v>1771</v>
      </c>
      <c r="C746" s="9">
        <v>35832</v>
      </c>
      <c r="D746" s="8" t="s">
        <v>2135</v>
      </c>
      <c r="E746" s="10">
        <v>45279</v>
      </c>
    </row>
    <row r="747" spans="1:5" x14ac:dyDescent="0.25">
      <c r="A747" s="8" t="s">
        <v>1631</v>
      </c>
      <c r="B747" s="8" t="s">
        <v>1772</v>
      </c>
      <c r="C747" s="9">
        <v>25510</v>
      </c>
      <c r="D747" s="8" t="s">
        <v>2132</v>
      </c>
      <c r="E747" s="10">
        <v>45336</v>
      </c>
    </row>
    <row r="748" spans="1:5" x14ac:dyDescent="0.25">
      <c r="A748" s="8" t="s">
        <v>1631</v>
      </c>
      <c r="B748" s="8" t="s">
        <v>1773</v>
      </c>
      <c r="C748" s="9">
        <v>39775</v>
      </c>
      <c r="D748" s="8" t="s">
        <v>2129</v>
      </c>
      <c r="E748" s="10">
        <v>45172</v>
      </c>
    </row>
    <row r="749" spans="1:5" x14ac:dyDescent="0.25">
      <c r="A749" s="8" t="s">
        <v>1631</v>
      </c>
      <c r="B749" s="8" t="s">
        <v>1774</v>
      </c>
      <c r="C749" s="9">
        <v>14935</v>
      </c>
      <c r="D749" s="8" t="s">
        <v>2130</v>
      </c>
      <c r="E749" s="10">
        <v>45154</v>
      </c>
    </row>
    <row r="750" spans="1:5" x14ac:dyDescent="0.25">
      <c r="A750" s="8" t="s">
        <v>1631</v>
      </c>
      <c r="B750" s="8" t="s">
        <v>1775</v>
      </c>
      <c r="C750" s="9">
        <v>20455</v>
      </c>
      <c r="D750" s="8" t="s">
        <v>2131</v>
      </c>
      <c r="E750" s="10">
        <v>45561</v>
      </c>
    </row>
    <row r="751" spans="1:5" x14ac:dyDescent="0.25">
      <c r="A751" s="8" t="s">
        <v>1631</v>
      </c>
      <c r="B751" s="8" t="s">
        <v>1776</v>
      </c>
      <c r="C751" s="9">
        <v>23263</v>
      </c>
      <c r="D751" s="8" t="s">
        <v>2129</v>
      </c>
      <c r="E751" s="10">
        <v>45899</v>
      </c>
    </row>
    <row r="752" spans="1:5" x14ac:dyDescent="0.25">
      <c r="A752" s="8" t="s">
        <v>1631</v>
      </c>
      <c r="B752" s="8" t="s">
        <v>1777</v>
      </c>
      <c r="C752" s="9">
        <v>33394</v>
      </c>
      <c r="D752" s="8" t="s">
        <v>2129</v>
      </c>
      <c r="E752" s="10">
        <v>45348</v>
      </c>
    </row>
    <row r="753" spans="1:5" x14ac:dyDescent="0.25">
      <c r="A753" s="8" t="s">
        <v>1631</v>
      </c>
      <c r="B753" s="8" t="s">
        <v>2137</v>
      </c>
      <c r="C753" s="9">
        <v>27939</v>
      </c>
      <c r="D753" s="8" t="s">
        <v>2134</v>
      </c>
      <c r="E753" s="10">
        <v>45320</v>
      </c>
    </row>
    <row r="754" spans="1:5" x14ac:dyDescent="0.25">
      <c r="A754" s="8" t="s">
        <v>1631</v>
      </c>
      <c r="B754" s="8" t="s">
        <v>2138</v>
      </c>
      <c r="C754" s="9">
        <v>21959</v>
      </c>
      <c r="D754" s="8" t="s">
        <v>2135</v>
      </c>
      <c r="E754" s="10">
        <v>45770</v>
      </c>
    </row>
    <row r="755" spans="1:5" x14ac:dyDescent="0.25">
      <c r="A755" s="8" t="s">
        <v>1631</v>
      </c>
      <c r="B755" s="8" t="s">
        <v>2139</v>
      </c>
      <c r="C755" s="9">
        <v>18981</v>
      </c>
      <c r="D755" s="8" t="s">
        <v>2135</v>
      </c>
      <c r="E755" s="10">
        <v>45843</v>
      </c>
    </row>
    <row r="756" spans="1:5" x14ac:dyDescent="0.25">
      <c r="A756" s="8" t="s">
        <v>1631</v>
      </c>
      <c r="B756" s="8" t="s">
        <v>2140</v>
      </c>
      <c r="C756" s="9">
        <v>16553</v>
      </c>
      <c r="D756" s="8" t="s">
        <v>2133</v>
      </c>
      <c r="E756" s="10">
        <v>45607</v>
      </c>
    </row>
    <row r="757" spans="1:5" x14ac:dyDescent="0.25">
      <c r="A757" s="8" t="s">
        <v>1631</v>
      </c>
      <c r="B757" s="8" t="s">
        <v>2141</v>
      </c>
      <c r="C757" s="9">
        <v>29826</v>
      </c>
      <c r="D757" s="8" t="s">
        <v>2129</v>
      </c>
      <c r="E757" s="10">
        <v>45576</v>
      </c>
    </row>
    <row r="758" spans="1:5" x14ac:dyDescent="0.25">
      <c r="A758" s="8" t="s">
        <v>1652</v>
      </c>
      <c r="B758" s="8" t="s">
        <v>1779</v>
      </c>
      <c r="C758" s="9">
        <v>224592</v>
      </c>
      <c r="D758" s="8" t="s">
        <v>2130</v>
      </c>
      <c r="E758" s="10">
        <v>45181</v>
      </c>
    </row>
    <row r="759" spans="1:5" x14ac:dyDescent="0.25">
      <c r="A759" s="8" t="s">
        <v>1652</v>
      </c>
      <c r="B759" s="8" t="s">
        <v>1780</v>
      </c>
      <c r="C759" s="9">
        <v>311912</v>
      </c>
      <c r="D759" s="8" t="s">
        <v>2130</v>
      </c>
      <c r="E759" s="10">
        <v>45876</v>
      </c>
    </row>
    <row r="760" spans="1:5" x14ac:dyDescent="0.25">
      <c r="A760" s="8" t="s">
        <v>1652</v>
      </c>
      <c r="B760" s="8" t="s">
        <v>1781</v>
      </c>
      <c r="C760" s="9">
        <v>159642</v>
      </c>
      <c r="D760" s="8" t="s">
        <v>2133</v>
      </c>
      <c r="E760" s="10">
        <v>45542</v>
      </c>
    </row>
    <row r="761" spans="1:5" x14ac:dyDescent="0.25">
      <c r="A761" s="8" t="s">
        <v>1652</v>
      </c>
      <c r="B761" s="8" t="s">
        <v>1782</v>
      </c>
      <c r="C761" s="9">
        <v>275387</v>
      </c>
      <c r="D761" s="8" t="s">
        <v>2136</v>
      </c>
      <c r="E761" s="10">
        <v>45672</v>
      </c>
    </row>
    <row r="762" spans="1:5" x14ac:dyDescent="0.25">
      <c r="A762" s="8" t="s">
        <v>1652</v>
      </c>
      <c r="B762" s="8" t="s">
        <v>1783</v>
      </c>
      <c r="C762" s="9">
        <v>246174</v>
      </c>
      <c r="D762" s="8" t="s">
        <v>2134</v>
      </c>
      <c r="E762" s="10">
        <v>45601</v>
      </c>
    </row>
    <row r="763" spans="1:5" x14ac:dyDescent="0.25">
      <c r="A763" s="8" t="s">
        <v>1652</v>
      </c>
      <c r="B763" s="8" t="s">
        <v>1784</v>
      </c>
      <c r="C763" s="9">
        <v>210649</v>
      </c>
      <c r="D763" s="8" t="s">
        <v>2135</v>
      </c>
      <c r="E763" s="10">
        <v>45182</v>
      </c>
    </row>
    <row r="764" spans="1:5" x14ac:dyDescent="0.25">
      <c r="A764" s="8" t="s">
        <v>1652</v>
      </c>
      <c r="B764" s="8" t="s">
        <v>1785</v>
      </c>
      <c r="C764" s="9">
        <v>215163</v>
      </c>
      <c r="D764" s="8" t="s">
        <v>2129</v>
      </c>
      <c r="E764" s="10">
        <v>45670</v>
      </c>
    </row>
    <row r="765" spans="1:5" x14ac:dyDescent="0.25">
      <c r="A765" s="8" t="s">
        <v>1652</v>
      </c>
      <c r="B765" s="8" t="s">
        <v>1786</v>
      </c>
      <c r="C765" s="9">
        <v>255217</v>
      </c>
      <c r="D765" s="8" t="s">
        <v>2130</v>
      </c>
      <c r="E765" s="10">
        <v>45891</v>
      </c>
    </row>
    <row r="766" spans="1:5" x14ac:dyDescent="0.25">
      <c r="A766" s="8" t="s">
        <v>1652</v>
      </c>
      <c r="B766" s="8" t="s">
        <v>1787</v>
      </c>
      <c r="C766" s="9">
        <v>246854</v>
      </c>
      <c r="D766" s="8" t="s">
        <v>2136</v>
      </c>
      <c r="E766" s="10">
        <v>45710</v>
      </c>
    </row>
    <row r="767" spans="1:5" x14ac:dyDescent="0.25">
      <c r="A767" s="8" t="s">
        <v>1652</v>
      </c>
      <c r="B767" s="8" t="s">
        <v>1770</v>
      </c>
      <c r="C767" s="9">
        <v>193351</v>
      </c>
      <c r="D767" s="8" t="s">
        <v>2130</v>
      </c>
      <c r="E767" s="10">
        <v>45667</v>
      </c>
    </row>
    <row r="768" spans="1:5" x14ac:dyDescent="0.25">
      <c r="A768" s="8" t="s">
        <v>1652</v>
      </c>
      <c r="B768" s="8" t="s">
        <v>1771</v>
      </c>
      <c r="C768" s="9">
        <v>280887</v>
      </c>
      <c r="D768" s="8" t="s">
        <v>2136</v>
      </c>
      <c r="E768" s="10">
        <v>45333</v>
      </c>
    </row>
    <row r="769" spans="1:5" x14ac:dyDescent="0.25">
      <c r="A769" s="8" t="s">
        <v>1652</v>
      </c>
      <c r="B769" s="8" t="s">
        <v>1772</v>
      </c>
      <c r="C769" s="9">
        <v>323774</v>
      </c>
      <c r="D769" s="8" t="s">
        <v>2131</v>
      </c>
      <c r="E769" s="10">
        <v>45589</v>
      </c>
    </row>
    <row r="770" spans="1:5" x14ac:dyDescent="0.25">
      <c r="A770" s="8" t="s">
        <v>1652</v>
      </c>
      <c r="B770" s="8" t="s">
        <v>1773</v>
      </c>
      <c r="C770" s="9">
        <v>233643</v>
      </c>
      <c r="D770" s="8" t="s">
        <v>2130</v>
      </c>
      <c r="E770" s="10">
        <v>45450</v>
      </c>
    </row>
    <row r="771" spans="1:5" x14ac:dyDescent="0.25">
      <c r="A771" s="8" t="s">
        <v>1685</v>
      </c>
      <c r="B771" s="8" t="s">
        <v>1788</v>
      </c>
      <c r="C771" s="9">
        <v>28696</v>
      </c>
      <c r="D771" s="8" t="s">
        <v>2131</v>
      </c>
      <c r="E771" s="10">
        <v>45611</v>
      </c>
    </row>
    <row r="772" spans="1:5" x14ac:dyDescent="0.25">
      <c r="A772" s="8" t="s">
        <v>1685</v>
      </c>
      <c r="B772" s="8" t="s">
        <v>1778</v>
      </c>
      <c r="C772" s="9">
        <v>24055</v>
      </c>
      <c r="D772" s="8" t="s">
        <v>2132</v>
      </c>
      <c r="E772" s="10">
        <v>45571</v>
      </c>
    </row>
    <row r="773" spans="1:5" x14ac:dyDescent="0.25">
      <c r="A773" s="8" t="s">
        <v>1685</v>
      </c>
      <c r="B773" s="8" t="s">
        <v>1779</v>
      </c>
      <c r="C773" s="9">
        <v>40149</v>
      </c>
      <c r="D773" s="8" t="s">
        <v>2131</v>
      </c>
      <c r="E773" s="10">
        <v>45766</v>
      </c>
    </row>
    <row r="774" spans="1:5" x14ac:dyDescent="0.25">
      <c r="A774" s="8" t="s">
        <v>1685</v>
      </c>
      <c r="B774" s="8" t="s">
        <v>1780</v>
      </c>
      <c r="C774" s="9">
        <v>25140</v>
      </c>
      <c r="D774" s="8" t="s">
        <v>2136</v>
      </c>
      <c r="E774" s="10">
        <v>45845</v>
      </c>
    </row>
    <row r="775" spans="1:5" x14ac:dyDescent="0.25">
      <c r="A775" s="8" t="s">
        <v>1685</v>
      </c>
      <c r="B775" s="8" t="s">
        <v>1781</v>
      </c>
      <c r="C775" s="9">
        <v>29446</v>
      </c>
      <c r="D775" s="8" t="s">
        <v>2132</v>
      </c>
      <c r="E775" s="10">
        <v>45613</v>
      </c>
    </row>
    <row r="776" spans="1:5" x14ac:dyDescent="0.25">
      <c r="A776" s="8" t="s">
        <v>1685</v>
      </c>
      <c r="B776" s="8" t="s">
        <v>1782</v>
      </c>
      <c r="C776" s="9">
        <v>32364</v>
      </c>
      <c r="D776" s="8" t="s">
        <v>2135</v>
      </c>
      <c r="E776" s="10">
        <v>45231</v>
      </c>
    </row>
    <row r="777" spans="1:5" x14ac:dyDescent="0.25">
      <c r="A777" s="8" t="s">
        <v>1685</v>
      </c>
      <c r="B777" s="8" t="s">
        <v>1783</v>
      </c>
      <c r="C777" s="9">
        <v>21039</v>
      </c>
      <c r="D777" s="8" t="s">
        <v>2134</v>
      </c>
      <c r="E777" s="10">
        <v>45323</v>
      </c>
    </row>
    <row r="778" spans="1:5" x14ac:dyDescent="0.25">
      <c r="A778" s="8" t="s">
        <v>1685</v>
      </c>
      <c r="B778" s="8" t="s">
        <v>1784</v>
      </c>
      <c r="C778" s="9">
        <v>29475</v>
      </c>
      <c r="D778" s="8" t="s">
        <v>2132</v>
      </c>
      <c r="E778" s="10">
        <v>45541</v>
      </c>
    </row>
    <row r="779" spans="1:5" x14ac:dyDescent="0.25">
      <c r="A779" s="8" t="s">
        <v>1685</v>
      </c>
      <c r="B779" s="8" t="s">
        <v>1785</v>
      </c>
      <c r="C779" s="9">
        <v>30454</v>
      </c>
      <c r="D779" s="8" t="s">
        <v>2130</v>
      </c>
      <c r="E779" s="10">
        <v>45470</v>
      </c>
    </row>
    <row r="780" spans="1:5" x14ac:dyDescent="0.25">
      <c r="A780" s="8" t="s">
        <v>1685</v>
      </c>
      <c r="B780" s="8" t="s">
        <v>1786</v>
      </c>
      <c r="C780" s="9">
        <v>27745</v>
      </c>
      <c r="D780" s="8" t="s">
        <v>2135</v>
      </c>
      <c r="E780" s="10">
        <v>45164</v>
      </c>
    </row>
    <row r="781" spans="1:5" x14ac:dyDescent="0.25">
      <c r="A781" s="8" t="s">
        <v>1685</v>
      </c>
      <c r="B781" s="8" t="s">
        <v>1787</v>
      </c>
      <c r="C781" s="9">
        <v>29833</v>
      </c>
      <c r="D781" s="8" t="s">
        <v>2132</v>
      </c>
      <c r="E781" s="10">
        <v>45603</v>
      </c>
    </row>
    <row r="782" spans="1:5" x14ac:dyDescent="0.25">
      <c r="A782" s="8" t="s">
        <v>1685</v>
      </c>
      <c r="B782" s="8" t="s">
        <v>1770</v>
      </c>
      <c r="C782" s="9">
        <v>20994</v>
      </c>
      <c r="D782" s="8" t="s">
        <v>2129</v>
      </c>
      <c r="E782" s="10">
        <v>45604</v>
      </c>
    </row>
    <row r="783" spans="1:5" x14ac:dyDescent="0.25">
      <c r="A783" s="8" t="s">
        <v>1685</v>
      </c>
      <c r="B783" s="8" t="s">
        <v>1771</v>
      </c>
      <c r="C783" s="9">
        <v>38502</v>
      </c>
      <c r="D783" s="8" t="s">
        <v>2134</v>
      </c>
      <c r="E783" s="10">
        <v>45395</v>
      </c>
    </row>
    <row r="784" spans="1:5" x14ac:dyDescent="0.25">
      <c r="A784" s="8" t="s">
        <v>1685</v>
      </c>
      <c r="B784" s="8" t="s">
        <v>1772</v>
      </c>
      <c r="C784" s="9">
        <v>10031</v>
      </c>
      <c r="D784" s="8" t="s">
        <v>2133</v>
      </c>
      <c r="E784" s="10">
        <v>45847</v>
      </c>
    </row>
    <row r="785" spans="1:5" x14ac:dyDescent="0.25">
      <c r="A785" s="8" t="s">
        <v>1685</v>
      </c>
      <c r="B785" s="8" t="s">
        <v>1773</v>
      </c>
      <c r="C785" s="9">
        <v>19784</v>
      </c>
      <c r="D785" s="8" t="s">
        <v>2132</v>
      </c>
      <c r="E785" s="10">
        <v>45874</v>
      </c>
    </row>
    <row r="786" spans="1:5" x14ac:dyDescent="0.25">
      <c r="A786" s="8" t="s">
        <v>1685</v>
      </c>
      <c r="B786" s="8" t="s">
        <v>1774</v>
      </c>
      <c r="C786" s="9">
        <v>16674</v>
      </c>
      <c r="D786" s="8" t="s">
        <v>2134</v>
      </c>
      <c r="E786" s="10">
        <v>45232</v>
      </c>
    </row>
    <row r="787" spans="1:5" x14ac:dyDescent="0.25">
      <c r="A787" s="8" t="s">
        <v>1685</v>
      </c>
      <c r="B787" s="8" t="s">
        <v>1775</v>
      </c>
      <c r="C787" s="9">
        <v>35844</v>
      </c>
      <c r="D787" s="8" t="s">
        <v>2134</v>
      </c>
      <c r="E787" s="10">
        <v>45862</v>
      </c>
    </row>
    <row r="788" spans="1:5" x14ac:dyDescent="0.25">
      <c r="A788" s="8" t="s">
        <v>1685</v>
      </c>
      <c r="B788" s="8" t="s">
        <v>1776</v>
      </c>
      <c r="C788" s="9">
        <v>24233</v>
      </c>
      <c r="D788" s="8" t="s">
        <v>2135</v>
      </c>
      <c r="E788" s="10">
        <v>45788</v>
      </c>
    </row>
    <row r="789" spans="1:5" x14ac:dyDescent="0.25">
      <c r="A789" s="8" t="s">
        <v>1685</v>
      </c>
      <c r="B789" s="8" t="s">
        <v>1777</v>
      </c>
      <c r="C789" s="9">
        <v>19136</v>
      </c>
      <c r="D789" s="8" t="s">
        <v>2133</v>
      </c>
      <c r="E789" s="10">
        <v>45226</v>
      </c>
    </row>
    <row r="790" spans="1:5" x14ac:dyDescent="0.25">
      <c r="A790" s="8" t="s">
        <v>1685</v>
      </c>
      <c r="B790" s="8" t="s">
        <v>2137</v>
      </c>
      <c r="C790" s="9">
        <v>21260</v>
      </c>
      <c r="D790" s="8" t="s">
        <v>2130</v>
      </c>
      <c r="E790" s="10">
        <v>45883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01FF5-E1E6-4CDE-9E0D-22D1D3376CAF}">
  <dimension ref="A1:C7"/>
  <sheetViews>
    <sheetView workbookViewId="0">
      <selection activeCell="B7" sqref="B7"/>
    </sheetView>
  </sheetViews>
  <sheetFormatPr baseColWidth="10" defaultColWidth="9" defaultRowHeight="19" x14ac:dyDescent="0.25"/>
  <cols>
    <col min="1" max="1" width="9" style="8"/>
    <col min="2" max="2" width="36.5" style="8" customWidth="1"/>
    <col min="3" max="16384" width="9" style="8"/>
  </cols>
  <sheetData>
    <row r="1" spans="1:3" x14ac:dyDescent="0.25">
      <c r="A1" s="8" t="s">
        <v>1789</v>
      </c>
      <c r="B1" s="8" t="s">
        <v>1790</v>
      </c>
      <c r="C1" s="8" t="s">
        <v>1791</v>
      </c>
    </row>
    <row r="2" spans="1:3" x14ac:dyDescent="0.25">
      <c r="A2" s="8" t="s">
        <v>1742</v>
      </c>
      <c r="B2" s="8" t="s">
        <v>2213</v>
      </c>
      <c r="C2" s="8" t="s">
        <v>1792</v>
      </c>
    </row>
    <row r="3" spans="1:3" x14ac:dyDescent="0.25">
      <c r="A3" s="8" t="s">
        <v>1750</v>
      </c>
      <c r="B3" s="8" t="s">
        <v>2214</v>
      </c>
      <c r="C3" s="8" t="s">
        <v>1793</v>
      </c>
    </row>
    <row r="4" spans="1:3" x14ac:dyDescent="0.25">
      <c r="A4" s="8" t="s">
        <v>1747</v>
      </c>
      <c r="B4" s="8" t="s">
        <v>2215</v>
      </c>
      <c r="C4" s="8" t="s">
        <v>1794</v>
      </c>
    </row>
    <row r="5" spans="1:3" x14ac:dyDescent="0.25">
      <c r="A5" s="8" t="s">
        <v>1744</v>
      </c>
      <c r="B5" s="8" t="s">
        <v>2216</v>
      </c>
      <c r="C5" s="8" t="s">
        <v>1795</v>
      </c>
    </row>
    <row r="6" spans="1:3" x14ac:dyDescent="0.25">
      <c r="A6" s="8" t="s">
        <v>1752</v>
      </c>
      <c r="B6" s="8" t="s">
        <v>2217</v>
      </c>
      <c r="C6" s="8" t="s">
        <v>1796</v>
      </c>
    </row>
    <row r="7" spans="1:3" x14ac:dyDescent="0.25">
      <c r="A7" s="8" t="s">
        <v>1757</v>
      </c>
      <c r="B7" s="8" t="s">
        <v>2218</v>
      </c>
      <c r="C7" s="8" t="s">
        <v>1797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8BD20-01F0-49C8-81C9-E55C9AE3EFC3}">
  <dimension ref="A1:I46"/>
  <sheetViews>
    <sheetView workbookViewId="0">
      <selection activeCell="G13" sqref="G13"/>
    </sheetView>
  </sheetViews>
  <sheetFormatPr baseColWidth="10" defaultColWidth="9.33203125" defaultRowHeight="19" x14ac:dyDescent="0.25"/>
  <cols>
    <col min="1" max="1" width="11.1640625" style="2" bestFit="1" customWidth="1"/>
    <col min="2" max="2" width="18.6640625" style="2" bestFit="1" customWidth="1"/>
    <col min="3" max="3" width="8" style="2" bestFit="1" customWidth="1"/>
    <col min="4" max="4" width="14.1640625" style="2" bestFit="1" customWidth="1"/>
    <col min="5" max="5" width="14.5" style="2" bestFit="1" customWidth="1"/>
    <col min="6" max="6" width="13.83203125" style="2" bestFit="1" customWidth="1"/>
    <col min="7" max="8" width="12.1640625" style="2" bestFit="1" customWidth="1"/>
    <col min="9" max="9" width="16.33203125" style="2" bestFit="1" customWidth="1"/>
    <col min="10" max="16384" width="9.33203125" style="2"/>
  </cols>
  <sheetData>
    <row r="1" spans="1:9" x14ac:dyDescent="0.25">
      <c r="A1" s="8" t="s">
        <v>1</v>
      </c>
      <c r="B1" s="8" t="s">
        <v>1798</v>
      </c>
      <c r="C1" s="8" t="s">
        <v>1799</v>
      </c>
      <c r="D1" s="8" t="s">
        <v>1800</v>
      </c>
      <c r="E1" s="8" t="s">
        <v>1801</v>
      </c>
      <c r="F1" s="8" t="s">
        <v>1802</v>
      </c>
      <c r="G1" s="8" t="s">
        <v>1738</v>
      </c>
      <c r="H1" s="8" t="s">
        <v>1739</v>
      </c>
      <c r="I1" s="8" t="s">
        <v>1789</v>
      </c>
    </row>
    <row r="2" spans="1:9" x14ac:dyDescent="0.25">
      <c r="A2" s="8" t="s">
        <v>5</v>
      </c>
      <c r="B2" s="8" t="s">
        <v>2142</v>
      </c>
      <c r="C2" s="8" t="s">
        <v>1803</v>
      </c>
      <c r="D2" s="8" t="s">
        <v>1804</v>
      </c>
      <c r="E2" s="8">
        <v>0.31900000000000001</v>
      </c>
      <c r="F2" s="8">
        <v>0.19400000000000001</v>
      </c>
      <c r="G2" s="10">
        <v>45139</v>
      </c>
      <c r="H2" s="10">
        <v>45900</v>
      </c>
      <c r="I2" s="8" t="s">
        <v>1742</v>
      </c>
    </row>
    <row r="3" spans="1:9" x14ac:dyDescent="0.25">
      <c r="A3" s="8" t="s">
        <v>87</v>
      </c>
      <c r="B3" s="8" t="s">
        <v>2143</v>
      </c>
      <c r="C3" s="8" t="s">
        <v>1807</v>
      </c>
      <c r="D3" s="8" t="s">
        <v>1804</v>
      </c>
      <c r="E3" s="8">
        <v>0.114</v>
      </c>
      <c r="F3" s="8">
        <v>0.109</v>
      </c>
      <c r="G3" s="10">
        <v>45372</v>
      </c>
      <c r="H3" s="10">
        <v>45586</v>
      </c>
      <c r="I3" s="8" t="s">
        <v>1744</v>
      </c>
    </row>
    <row r="4" spans="1:9" x14ac:dyDescent="0.25">
      <c r="A4" s="8" t="s">
        <v>112</v>
      </c>
      <c r="B4" s="8" t="s">
        <v>2144</v>
      </c>
      <c r="C4" s="8" t="s">
        <v>1809</v>
      </c>
      <c r="D4" s="8" t="s">
        <v>1753</v>
      </c>
      <c r="E4" s="8">
        <v>0.05</v>
      </c>
      <c r="F4" s="8">
        <v>0.06</v>
      </c>
      <c r="G4" s="10">
        <v>45190</v>
      </c>
      <c r="H4" s="10">
        <v>45586</v>
      </c>
      <c r="I4" s="8" t="s">
        <v>1742</v>
      </c>
    </row>
    <row r="5" spans="1:9" x14ac:dyDescent="0.25">
      <c r="A5" s="8" t="s">
        <v>148</v>
      </c>
      <c r="B5" s="8" t="s">
        <v>2145</v>
      </c>
      <c r="C5" s="8" t="s">
        <v>1803</v>
      </c>
      <c r="D5" s="8" t="s">
        <v>1753</v>
      </c>
      <c r="E5" s="8">
        <v>0.24399999999999999</v>
      </c>
      <c r="F5" s="8">
        <v>0.17199999999999999</v>
      </c>
      <c r="G5" s="10">
        <v>45232</v>
      </c>
      <c r="H5" s="10">
        <v>45840</v>
      </c>
      <c r="I5" s="8" t="s">
        <v>1747</v>
      </c>
    </row>
    <row r="6" spans="1:9" x14ac:dyDescent="0.25">
      <c r="A6" s="8" t="s">
        <v>201</v>
      </c>
      <c r="B6" s="8" t="s">
        <v>2146</v>
      </c>
      <c r="C6" s="8" t="s">
        <v>1807</v>
      </c>
      <c r="D6" s="8" t="s">
        <v>1804</v>
      </c>
      <c r="E6" s="8">
        <v>9.0999999999999998E-2</v>
      </c>
      <c r="F6" s="8">
        <v>8.5000000000000006E-2</v>
      </c>
      <c r="G6" s="10">
        <v>45192</v>
      </c>
      <c r="H6" s="10">
        <v>45711</v>
      </c>
      <c r="I6" s="8" t="s">
        <v>1742</v>
      </c>
    </row>
    <row r="7" spans="1:9" x14ac:dyDescent="0.25">
      <c r="A7" s="8" t="s">
        <v>247</v>
      </c>
      <c r="B7" s="8" t="s">
        <v>2147</v>
      </c>
      <c r="C7" s="8" t="s">
        <v>1803</v>
      </c>
      <c r="D7" s="8" t="s">
        <v>1808</v>
      </c>
      <c r="E7" s="8">
        <v>0.437</v>
      </c>
      <c r="F7" s="8">
        <v>0.42699999999999999</v>
      </c>
      <c r="G7" s="10">
        <v>45139</v>
      </c>
      <c r="H7" s="10">
        <v>45900</v>
      </c>
      <c r="I7" s="8" t="s">
        <v>1750</v>
      </c>
    </row>
    <row r="8" spans="1:9" x14ac:dyDescent="0.25">
      <c r="A8" s="8" t="s">
        <v>308</v>
      </c>
      <c r="B8" s="8" t="s">
        <v>2148</v>
      </c>
      <c r="C8" s="8" t="s">
        <v>1807</v>
      </c>
      <c r="D8" s="8" t="s">
        <v>1808</v>
      </c>
      <c r="E8" s="8">
        <v>0.30299999999999999</v>
      </c>
      <c r="F8" s="8">
        <v>0.23300000000000001</v>
      </c>
      <c r="G8" s="10">
        <v>45236</v>
      </c>
      <c r="H8" s="10">
        <v>45844</v>
      </c>
      <c r="I8" s="8" t="s">
        <v>1747</v>
      </c>
    </row>
    <row r="9" spans="1:9" x14ac:dyDescent="0.25">
      <c r="A9" s="8" t="s">
        <v>361</v>
      </c>
      <c r="B9" s="8" t="s">
        <v>2149</v>
      </c>
      <c r="C9" s="8" t="s">
        <v>1805</v>
      </c>
      <c r="D9" s="8" t="s">
        <v>1808</v>
      </c>
      <c r="E9" s="8">
        <v>0.105</v>
      </c>
      <c r="F9" s="8">
        <v>8.8999999999999996E-2</v>
      </c>
      <c r="G9" s="10">
        <v>45139</v>
      </c>
      <c r="H9" s="10">
        <v>45900</v>
      </c>
      <c r="I9" s="8" t="s">
        <v>1742</v>
      </c>
    </row>
    <row r="10" spans="1:9" x14ac:dyDescent="0.25">
      <c r="A10" s="8" t="s">
        <v>397</v>
      </c>
      <c r="B10" s="8" t="s">
        <v>2150</v>
      </c>
      <c r="C10" s="8" t="s">
        <v>1809</v>
      </c>
      <c r="D10" s="8" t="s">
        <v>1753</v>
      </c>
      <c r="E10" s="8">
        <v>0.39</v>
      </c>
      <c r="F10" s="8">
        <v>0.311</v>
      </c>
      <c r="G10" s="10">
        <v>45462</v>
      </c>
      <c r="H10" s="10">
        <v>45676</v>
      </c>
      <c r="I10" s="8" t="s">
        <v>1752</v>
      </c>
    </row>
    <row r="11" spans="1:9" x14ac:dyDescent="0.25">
      <c r="A11" s="8" t="s">
        <v>418</v>
      </c>
      <c r="B11" s="8" t="s">
        <v>2151</v>
      </c>
      <c r="C11" s="8" t="s">
        <v>1807</v>
      </c>
      <c r="D11" s="8" t="s">
        <v>1808</v>
      </c>
      <c r="E11" s="8">
        <v>0.48599999999999999</v>
      </c>
      <c r="F11" s="8">
        <v>0.50700000000000001</v>
      </c>
      <c r="G11" s="10">
        <v>45355</v>
      </c>
      <c r="H11" s="10">
        <v>45600</v>
      </c>
      <c r="I11" s="8" t="s">
        <v>1747</v>
      </c>
    </row>
    <row r="12" spans="1:9" x14ac:dyDescent="0.25">
      <c r="A12" s="8" t="s">
        <v>441</v>
      </c>
      <c r="B12" s="8" t="s">
        <v>2152</v>
      </c>
      <c r="C12" s="8" t="s">
        <v>1809</v>
      </c>
      <c r="D12" s="8" t="s">
        <v>1806</v>
      </c>
      <c r="E12" s="8">
        <v>0.46500000000000002</v>
      </c>
      <c r="F12" s="8">
        <v>0.26100000000000001</v>
      </c>
      <c r="G12" s="10">
        <v>45139</v>
      </c>
      <c r="H12" s="10">
        <v>45900</v>
      </c>
      <c r="I12" s="8" t="s">
        <v>1747</v>
      </c>
    </row>
    <row r="13" spans="1:9" x14ac:dyDescent="0.25">
      <c r="A13" s="8" t="s">
        <v>502</v>
      </c>
      <c r="B13" s="8" t="s">
        <v>2153</v>
      </c>
      <c r="C13" s="8" t="s">
        <v>1803</v>
      </c>
      <c r="D13" s="8" t="s">
        <v>1808</v>
      </c>
      <c r="E13" s="8">
        <v>0.38600000000000001</v>
      </c>
      <c r="F13" s="8">
        <v>0.33900000000000002</v>
      </c>
      <c r="G13" s="10">
        <v>45274</v>
      </c>
      <c r="H13" s="10">
        <v>45579</v>
      </c>
      <c r="I13" s="8" t="s">
        <v>1747</v>
      </c>
    </row>
    <row r="14" spans="1:9" x14ac:dyDescent="0.25">
      <c r="A14" s="8" t="s">
        <v>530</v>
      </c>
      <c r="B14" s="8" t="s">
        <v>2154</v>
      </c>
      <c r="C14" s="8" t="s">
        <v>1809</v>
      </c>
      <c r="D14" s="8" t="s">
        <v>1806</v>
      </c>
      <c r="E14" s="8">
        <v>0.183</v>
      </c>
      <c r="F14" s="8">
        <v>0.113</v>
      </c>
      <c r="G14" s="10">
        <v>45139</v>
      </c>
      <c r="H14" s="10">
        <v>45900</v>
      </c>
      <c r="I14" s="8" t="s">
        <v>1757</v>
      </c>
    </row>
    <row r="15" spans="1:9" x14ac:dyDescent="0.25">
      <c r="A15" s="8" t="s">
        <v>591</v>
      </c>
      <c r="B15" s="8" t="s">
        <v>2155</v>
      </c>
      <c r="C15" s="8" t="s">
        <v>1803</v>
      </c>
      <c r="D15" s="8" t="s">
        <v>1806</v>
      </c>
      <c r="E15" s="8">
        <v>0.182</v>
      </c>
      <c r="F15" s="8">
        <v>9.2999999999999999E-2</v>
      </c>
      <c r="G15" s="10">
        <v>45195</v>
      </c>
      <c r="H15" s="10">
        <v>45714</v>
      </c>
      <c r="I15" s="8" t="s">
        <v>1747</v>
      </c>
    </row>
    <row r="16" spans="1:9" x14ac:dyDescent="0.25">
      <c r="A16" s="8" t="s">
        <v>637</v>
      </c>
      <c r="B16" s="8" t="s">
        <v>2156</v>
      </c>
      <c r="C16" s="8" t="s">
        <v>1805</v>
      </c>
      <c r="D16" s="8" t="s">
        <v>1808</v>
      </c>
      <c r="E16" s="8">
        <v>0.39700000000000002</v>
      </c>
      <c r="F16" s="8">
        <v>0.219</v>
      </c>
      <c r="G16" s="10">
        <v>45187</v>
      </c>
      <c r="H16" s="10">
        <v>45430</v>
      </c>
      <c r="I16" s="8" t="s">
        <v>1750</v>
      </c>
    </row>
    <row r="17" spans="1:9" x14ac:dyDescent="0.25">
      <c r="A17" s="8" t="s">
        <v>660</v>
      </c>
      <c r="B17" s="8" t="s">
        <v>2157</v>
      </c>
      <c r="C17" s="8" t="s">
        <v>1809</v>
      </c>
      <c r="D17" s="8" t="s">
        <v>1804</v>
      </c>
      <c r="E17" s="8">
        <v>0.33</v>
      </c>
      <c r="F17" s="8">
        <v>0.24099999999999999</v>
      </c>
      <c r="G17" s="10">
        <v>45139</v>
      </c>
      <c r="H17" s="10">
        <v>45900</v>
      </c>
      <c r="I17" s="8" t="s">
        <v>1757</v>
      </c>
    </row>
    <row r="18" spans="1:9" x14ac:dyDescent="0.25">
      <c r="A18" s="8" t="s">
        <v>686</v>
      </c>
      <c r="B18" s="8" t="s">
        <v>2158</v>
      </c>
      <c r="C18" s="8" t="s">
        <v>1809</v>
      </c>
      <c r="D18" s="8" t="s">
        <v>1753</v>
      </c>
      <c r="E18" s="8">
        <v>0.30299999999999999</v>
      </c>
      <c r="F18" s="8">
        <v>0.23300000000000001</v>
      </c>
      <c r="G18" s="10">
        <v>45236</v>
      </c>
      <c r="H18" s="10">
        <v>45783</v>
      </c>
      <c r="I18" s="8" t="s">
        <v>1744</v>
      </c>
    </row>
    <row r="19" spans="1:9" x14ac:dyDescent="0.25">
      <c r="A19" s="8" t="s">
        <v>734</v>
      </c>
      <c r="B19" s="8" t="s">
        <v>2159</v>
      </c>
      <c r="C19" s="8" t="s">
        <v>1805</v>
      </c>
      <c r="D19" s="8" t="s">
        <v>1804</v>
      </c>
      <c r="E19" s="8">
        <v>0.156</v>
      </c>
      <c r="F19" s="8">
        <v>0.106</v>
      </c>
      <c r="G19" s="10">
        <v>45194</v>
      </c>
      <c r="H19" s="10">
        <v>45894</v>
      </c>
      <c r="I19" s="8" t="s">
        <v>1752</v>
      </c>
    </row>
    <row r="20" spans="1:9" x14ac:dyDescent="0.25">
      <c r="A20" s="8" t="s">
        <v>795</v>
      </c>
      <c r="B20" s="8" t="s">
        <v>2160</v>
      </c>
      <c r="C20" s="8" t="s">
        <v>1807</v>
      </c>
      <c r="D20" s="8" t="s">
        <v>1804</v>
      </c>
      <c r="E20" s="8">
        <v>6.0999999999999999E-2</v>
      </c>
      <c r="F20" s="8">
        <v>3.5000000000000003E-2</v>
      </c>
      <c r="G20" s="10">
        <v>45139</v>
      </c>
      <c r="H20" s="10">
        <v>45900</v>
      </c>
      <c r="I20" s="8" t="s">
        <v>1752</v>
      </c>
    </row>
    <row r="21" spans="1:9" x14ac:dyDescent="0.25">
      <c r="A21" s="8" t="s">
        <v>813</v>
      </c>
      <c r="B21" s="8" t="s">
        <v>2161</v>
      </c>
      <c r="C21" s="8" t="s">
        <v>1803</v>
      </c>
      <c r="D21" s="8" t="s">
        <v>1806</v>
      </c>
      <c r="E21" s="8">
        <v>0.16200000000000001</v>
      </c>
      <c r="F21" s="8">
        <v>0.128</v>
      </c>
      <c r="G21" s="10">
        <v>45361</v>
      </c>
      <c r="H21" s="10">
        <v>45818</v>
      </c>
      <c r="I21" s="8" t="s">
        <v>1747</v>
      </c>
    </row>
    <row r="22" spans="1:9" x14ac:dyDescent="0.25">
      <c r="A22" s="8" t="s">
        <v>839</v>
      </c>
      <c r="B22" s="8" t="s">
        <v>2162</v>
      </c>
      <c r="C22" s="8" t="s">
        <v>1803</v>
      </c>
      <c r="D22" s="8" t="s">
        <v>1804</v>
      </c>
      <c r="E22" s="8">
        <v>0.31900000000000001</v>
      </c>
      <c r="F22" s="8">
        <v>0.315</v>
      </c>
      <c r="G22" s="10">
        <v>45408</v>
      </c>
      <c r="H22" s="10">
        <v>45591</v>
      </c>
      <c r="I22" s="8" t="s">
        <v>1757</v>
      </c>
    </row>
    <row r="23" spans="1:9" x14ac:dyDescent="0.25">
      <c r="A23" s="8" t="s">
        <v>857</v>
      </c>
      <c r="B23" s="8" t="s">
        <v>2163</v>
      </c>
      <c r="C23" s="8" t="s">
        <v>1803</v>
      </c>
      <c r="D23" s="8" t="s">
        <v>1808</v>
      </c>
      <c r="E23" s="8">
        <v>0.33500000000000002</v>
      </c>
      <c r="F23" s="8">
        <v>0.372</v>
      </c>
      <c r="G23" s="10">
        <v>45139</v>
      </c>
      <c r="H23" s="10">
        <v>45900</v>
      </c>
      <c r="I23" s="8" t="s">
        <v>1747</v>
      </c>
    </row>
    <row r="24" spans="1:9" x14ac:dyDescent="0.25">
      <c r="A24" s="8" t="s">
        <v>918</v>
      </c>
      <c r="B24" s="8" t="s">
        <v>2164</v>
      </c>
      <c r="C24" s="8" t="s">
        <v>1803</v>
      </c>
      <c r="D24" s="8" t="s">
        <v>1804</v>
      </c>
      <c r="E24" s="8">
        <v>0.29299999999999998</v>
      </c>
      <c r="F24" s="8">
        <v>0.312</v>
      </c>
      <c r="G24" s="10">
        <v>45334</v>
      </c>
      <c r="H24" s="10">
        <v>45850</v>
      </c>
      <c r="I24" s="8" t="s">
        <v>1742</v>
      </c>
    </row>
    <row r="25" spans="1:9" x14ac:dyDescent="0.25">
      <c r="A25" s="8" t="s">
        <v>964</v>
      </c>
      <c r="B25" s="8" t="s">
        <v>2165</v>
      </c>
      <c r="C25" s="8" t="s">
        <v>1809</v>
      </c>
      <c r="D25" s="8" t="s">
        <v>1804</v>
      </c>
      <c r="E25" s="8">
        <v>0.17199999999999999</v>
      </c>
      <c r="F25" s="8">
        <v>0.16400000000000001</v>
      </c>
      <c r="G25" s="10">
        <v>45139</v>
      </c>
      <c r="H25" s="10">
        <v>45900</v>
      </c>
      <c r="I25" s="8" t="s">
        <v>1757</v>
      </c>
    </row>
    <row r="26" spans="1:9" x14ac:dyDescent="0.25">
      <c r="A26" s="8" t="s">
        <v>1025</v>
      </c>
      <c r="B26" s="8" t="s">
        <v>2166</v>
      </c>
      <c r="C26" s="8" t="s">
        <v>1807</v>
      </c>
      <c r="D26" s="8" t="s">
        <v>1753</v>
      </c>
      <c r="E26" s="8">
        <v>5.2999999999999999E-2</v>
      </c>
      <c r="F26" s="8">
        <v>4.4999999999999998E-2</v>
      </c>
      <c r="G26" s="10">
        <v>45614</v>
      </c>
      <c r="H26" s="10">
        <v>45887</v>
      </c>
      <c r="I26" s="8" t="s">
        <v>1750</v>
      </c>
    </row>
    <row r="27" spans="1:9" x14ac:dyDescent="0.25">
      <c r="A27" s="8" t="s">
        <v>1051</v>
      </c>
      <c r="B27" s="8" t="s">
        <v>2167</v>
      </c>
      <c r="C27" s="8" t="s">
        <v>1803</v>
      </c>
      <c r="D27" s="8" t="s">
        <v>1804</v>
      </c>
      <c r="E27" s="8">
        <v>0.20200000000000001</v>
      </c>
      <c r="F27" s="8">
        <v>0.23400000000000001</v>
      </c>
      <c r="G27" s="10">
        <v>45168</v>
      </c>
      <c r="H27" s="10">
        <v>45565</v>
      </c>
      <c r="I27" s="8" t="s">
        <v>1744</v>
      </c>
    </row>
    <row r="28" spans="1:9" x14ac:dyDescent="0.25">
      <c r="A28" s="8" t="s">
        <v>1087</v>
      </c>
      <c r="B28" s="8" t="s">
        <v>2168</v>
      </c>
      <c r="C28" s="8" t="s">
        <v>1805</v>
      </c>
      <c r="D28" s="8" t="s">
        <v>1808</v>
      </c>
      <c r="E28" s="8">
        <v>0.48699999999999999</v>
      </c>
      <c r="F28" s="8">
        <v>0.57199999999999995</v>
      </c>
      <c r="G28" s="10">
        <v>45636</v>
      </c>
      <c r="H28" s="10">
        <v>45879</v>
      </c>
      <c r="I28" s="8" t="s">
        <v>1747</v>
      </c>
    </row>
    <row r="29" spans="1:9" x14ac:dyDescent="0.25">
      <c r="A29" s="8" t="s">
        <v>1110</v>
      </c>
      <c r="B29" s="8" t="s">
        <v>2169</v>
      </c>
      <c r="C29" s="8" t="s">
        <v>1809</v>
      </c>
      <c r="D29" s="8" t="s">
        <v>1808</v>
      </c>
      <c r="E29" s="8">
        <v>0.17799999999999999</v>
      </c>
      <c r="F29" s="8">
        <v>9.4E-2</v>
      </c>
      <c r="G29" s="10">
        <v>45476</v>
      </c>
      <c r="H29" s="10">
        <v>45780</v>
      </c>
      <c r="I29" s="8" t="s">
        <v>1752</v>
      </c>
    </row>
    <row r="30" spans="1:9" x14ac:dyDescent="0.25">
      <c r="A30" s="8" t="s">
        <v>1133</v>
      </c>
      <c r="B30" s="8" t="s">
        <v>2170</v>
      </c>
      <c r="C30" s="8" t="s">
        <v>1809</v>
      </c>
      <c r="D30" s="8" t="s">
        <v>1808</v>
      </c>
      <c r="E30" s="8">
        <v>0.17499999999999999</v>
      </c>
      <c r="F30" s="8">
        <v>0.19900000000000001</v>
      </c>
      <c r="G30" s="10">
        <v>45409</v>
      </c>
      <c r="H30" s="10">
        <v>45835</v>
      </c>
      <c r="I30" s="8" t="s">
        <v>1747</v>
      </c>
    </row>
    <row r="31" spans="1:9" x14ac:dyDescent="0.25">
      <c r="A31" s="8" t="s">
        <v>1171</v>
      </c>
      <c r="B31" s="8" t="s">
        <v>2171</v>
      </c>
      <c r="C31" s="8" t="s">
        <v>1803</v>
      </c>
      <c r="D31" s="8" t="s">
        <v>1753</v>
      </c>
      <c r="E31" s="8">
        <v>0.29899999999999999</v>
      </c>
      <c r="F31" s="8">
        <v>0.27400000000000002</v>
      </c>
      <c r="G31" s="10">
        <v>45187</v>
      </c>
      <c r="H31" s="10">
        <v>45887</v>
      </c>
      <c r="I31" s="8" t="s">
        <v>1744</v>
      </c>
    </row>
    <row r="32" spans="1:9" x14ac:dyDescent="0.25">
      <c r="A32" s="8" t="s">
        <v>1232</v>
      </c>
      <c r="B32" s="8" t="s">
        <v>2172</v>
      </c>
      <c r="C32" s="8" t="s">
        <v>1807</v>
      </c>
      <c r="D32" s="8" t="s">
        <v>1806</v>
      </c>
      <c r="E32" s="8">
        <v>0.216</v>
      </c>
      <c r="F32" s="8">
        <v>0.20399999999999999</v>
      </c>
      <c r="G32" s="10">
        <v>45310</v>
      </c>
      <c r="H32" s="10">
        <v>45857</v>
      </c>
      <c r="I32" s="8" t="s">
        <v>1744</v>
      </c>
    </row>
    <row r="33" spans="1:9" x14ac:dyDescent="0.25">
      <c r="A33" s="8" t="s">
        <v>1280</v>
      </c>
      <c r="B33" s="8" t="s">
        <v>2173</v>
      </c>
      <c r="C33" s="8" t="s">
        <v>1805</v>
      </c>
      <c r="D33" s="8" t="s">
        <v>1808</v>
      </c>
      <c r="E33" s="8">
        <v>0.19400000000000001</v>
      </c>
      <c r="F33" s="8">
        <v>0.122</v>
      </c>
      <c r="G33" s="10">
        <v>45196</v>
      </c>
      <c r="H33" s="10">
        <v>45865</v>
      </c>
      <c r="I33" s="8" t="s">
        <v>1750</v>
      </c>
    </row>
    <row r="34" spans="1:9" x14ac:dyDescent="0.25">
      <c r="A34" s="8" t="s">
        <v>1338</v>
      </c>
      <c r="B34" s="8" t="s">
        <v>2174</v>
      </c>
      <c r="C34" s="8" t="s">
        <v>1807</v>
      </c>
      <c r="D34" s="8" t="s">
        <v>1804</v>
      </c>
      <c r="E34" s="8">
        <v>5.7000000000000002E-2</v>
      </c>
      <c r="F34" s="8">
        <v>4.9000000000000002E-2</v>
      </c>
      <c r="G34" s="10">
        <v>45171</v>
      </c>
      <c r="H34" s="10">
        <v>45567</v>
      </c>
      <c r="I34" s="8" t="s">
        <v>1742</v>
      </c>
    </row>
    <row r="35" spans="1:9" x14ac:dyDescent="0.25">
      <c r="A35" s="8" t="s">
        <v>1374</v>
      </c>
      <c r="B35" s="8" t="s">
        <v>2175</v>
      </c>
      <c r="C35" s="8" t="s">
        <v>1803</v>
      </c>
      <c r="D35" s="8" t="s">
        <v>1808</v>
      </c>
      <c r="E35" s="8">
        <v>0.47299999999999998</v>
      </c>
      <c r="F35" s="8">
        <v>0.36799999999999999</v>
      </c>
      <c r="G35" s="10">
        <v>45156</v>
      </c>
      <c r="H35" s="10">
        <v>45887</v>
      </c>
      <c r="I35" s="8" t="s">
        <v>1742</v>
      </c>
    </row>
    <row r="36" spans="1:9" x14ac:dyDescent="0.25">
      <c r="A36" s="8" t="s">
        <v>1397</v>
      </c>
      <c r="B36" s="8" t="s">
        <v>2176</v>
      </c>
      <c r="C36" s="8" t="s">
        <v>1805</v>
      </c>
      <c r="D36" s="8" t="s">
        <v>1808</v>
      </c>
      <c r="E36" s="8">
        <v>0.14399999999999999</v>
      </c>
      <c r="F36" s="8">
        <v>0.127</v>
      </c>
      <c r="G36" s="10">
        <v>45211</v>
      </c>
      <c r="H36" s="10">
        <v>45394</v>
      </c>
      <c r="I36" s="8" t="s">
        <v>1757</v>
      </c>
    </row>
    <row r="37" spans="1:9" x14ac:dyDescent="0.25">
      <c r="A37" s="8" t="s">
        <v>1415</v>
      </c>
      <c r="B37" s="8" t="s">
        <v>2177</v>
      </c>
      <c r="C37" s="8" t="s">
        <v>1807</v>
      </c>
      <c r="D37" s="8" t="s">
        <v>1804</v>
      </c>
      <c r="E37" s="8">
        <v>0.3</v>
      </c>
      <c r="F37" s="8">
        <v>0.26100000000000001</v>
      </c>
      <c r="G37" s="10">
        <v>45171</v>
      </c>
      <c r="H37" s="10">
        <v>45414</v>
      </c>
      <c r="I37" s="8" t="s">
        <v>1742</v>
      </c>
    </row>
    <row r="38" spans="1:9" x14ac:dyDescent="0.25">
      <c r="A38" s="8" t="s">
        <v>1438</v>
      </c>
      <c r="B38" s="8" t="s">
        <v>2178</v>
      </c>
      <c r="C38" s="8" t="s">
        <v>1807</v>
      </c>
      <c r="D38" s="8" t="s">
        <v>1806</v>
      </c>
      <c r="E38" s="8">
        <v>0.30099999999999999</v>
      </c>
      <c r="F38" s="8">
        <v>0.33600000000000002</v>
      </c>
      <c r="G38" s="10">
        <v>45169</v>
      </c>
      <c r="H38" s="10">
        <v>45838</v>
      </c>
      <c r="I38" s="8" t="s">
        <v>1752</v>
      </c>
    </row>
    <row r="39" spans="1:9" x14ac:dyDescent="0.25">
      <c r="A39" s="8" t="s">
        <v>1459</v>
      </c>
      <c r="B39" s="8" t="s">
        <v>2179</v>
      </c>
      <c r="C39" s="8" t="s">
        <v>1803</v>
      </c>
      <c r="D39" s="8" t="s">
        <v>1806</v>
      </c>
      <c r="E39" s="8">
        <v>0.43099999999999999</v>
      </c>
      <c r="F39" s="8">
        <v>0.47399999999999998</v>
      </c>
      <c r="G39" s="10">
        <v>45415</v>
      </c>
      <c r="H39" s="10">
        <v>45780</v>
      </c>
      <c r="I39" s="8" t="s">
        <v>1752</v>
      </c>
    </row>
    <row r="40" spans="1:9" x14ac:dyDescent="0.25">
      <c r="A40" s="8" t="s">
        <v>1492</v>
      </c>
      <c r="B40" s="8" t="s">
        <v>2180</v>
      </c>
      <c r="C40" s="8" t="s">
        <v>1809</v>
      </c>
      <c r="D40" s="8" t="s">
        <v>1808</v>
      </c>
      <c r="E40" s="8">
        <v>0.123</v>
      </c>
      <c r="F40" s="8">
        <v>0.13900000000000001</v>
      </c>
      <c r="G40" s="10">
        <v>45381</v>
      </c>
      <c r="H40" s="10">
        <v>45777</v>
      </c>
      <c r="I40" s="8" t="s">
        <v>1750</v>
      </c>
    </row>
    <row r="41" spans="1:9" x14ac:dyDescent="0.25">
      <c r="A41" s="8" t="s">
        <v>1528</v>
      </c>
      <c r="B41" s="8" t="s">
        <v>2181</v>
      </c>
      <c r="C41" s="8" t="s">
        <v>1809</v>
      </c>
      <c r="D41" s="8" t="s">
        <v>1753</v>
      </c>
      <c r="E41" s="8">
        <v>0.34899999999999998</v>
      </c>
      <c r="F41" s="8">
        <v>0.17599999999999999</v>
      </c>
      <c r="G41" s="10">
        <v>45188</v>
      </c>
      <c r="H41" s="10">
        <v>45462</v>
      </c>
      <c r="I41" s="8" t="s">
        <v>1752</v>
      </c>
    </row>
    <row r="42" spans="1:9" x14ac:dyDescent="0.25">
      <c r="A42" s="8" t="s">
        <v>1554</v>
      </c>
      <c r="B42" s="8" t="s">
        <v>2182</v>
      </c>
      <c r="C42" s="8" t="s">
        <v>1809</v>
      </c>
      <c r="D42" s="8" t="s">
        <v>1804</v>
      </c>
      <c r="E42" s="8">
        <v>0.34300000000000003</v>
      </c>
      <c r="F42" s="8">
        <v>0.22500000000000001</v>
      </c>
      <c r="G42" s="10">
        <v>45244</v>
      </c>
      <c r="H42" s="10">
        <v>45822</v>
      </c>
      <c r="I42" s="8" t="s">
        <v>1747</v>
      </c>
    </row>
    <row r="43" spans="1:9" x14ac:dyDescent="0.25">
      <c r="A43" s="8" t="s">
        <v>1580</v>
      </c>
      <c r="B43" s="8" t="s">
        <v>2183</v>
      </c>
      <c r="C43" s="8" t="s">
        <v>1805</v>
      </c>
      <c r="D43" s="8" t="s">
        <v>1806</v>
      </c>
      <c r="E43" s="8">
        <v>0.13</v>
      </c>
      <c r="F43" s="8">
        <v>9.8000000000000004E-2</v>
      </c>
      <c r="G43" s="10">
        <v>45139</v>
      </c>
      <c r="H43" s="10">
        <v>45900</v>
      </c>
      <c r="I43" s="8" t="s">
        <v>1747</v>
      </c>
    </row>
    <row r="44" spans="1:9" x14ac:dyDescent="0.25">
      <c r="A44" s="8" t="s">
        <v>1631</v>
      </c>
      <c r="B44" s="8" t="s">
        <v>2184</v>
      </c>
      <c r="C44" s="8" t="s">
        <v>1805</v>
      </c>
      <c r="D44" s="8" t="s">
        <v>1808</v>
      </c>
      <c r="E44" s="8">
        <v>9.1999999999999998E-2</v>
      </c>
      <c r="F44" s="8">
        <v>7.0000000000000007E-2</v>
      </c>
      <c r="G44" s="10">
        <v>45139</v>
      </c>
      <c r="H44" s="10">
        <v>45900</v>
      </c>
      <c r="I44" s="8" t="s">
        <v>1757</v>
      </c>
    </row>
    <row r="45" spans="1:9" x14ac:dyDescent="0.25">
      <c r="A45" s="8" t="s">
        <v>1652</v>
      </c>
      <c r="B45" s="8" t="s">
        <v>2185</v>
      </c>
      <c r="C45" s="8" t="s">
        <v>1809</v>
      </c>
      <c r="D45" s="8" t="s">
        <v>1808</v>
      </c>
      <c r="E45" s="8">
        <v>0.33400000000000002</v>
      </c>
      <c r="F45" s="8">
        <v>0.35299999999999998</v>
      </c>
      <c r="G45" s="10">
        <v>45236</v>
      </c>
      <c r="H45" s="10">
        <v>45602</v>
      </c>
      <c r="I45" s="8" t="s">
        <v>1742</v>
      </c>
    </row>
    <row r="46" spans="1:9" x14ac:dyDescent="0.25">
      <c r="A46" s="8" t="s">
        <v>1685</v>
      </c>
      <c r="B46" s="8" t="s">
        <v>2186</v>
      </c>
      <c r="C46" s="8" t="s">
        <v>1807</v>
      </c>
      <c r="D46" s="8" t="s">
        <v>1806</v>
      </c>
      <c r="E46" s="8">
        <v>0.439</v>
      </c>
      <c r="F46" s="8">
        <v>0.28999999999999998</v>
      </c>
      <c r="G46" s="10">
        <v>45185</v>
      </c>
      <c r="H46" s="10">
        <v>45763</v>
      </c>
      <c r="I46" s="8" t="s">
        <v>1752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53760-01E4-404B-800A-8C5E2A37EF98}">
  <dimension ref="A1:E26"/>
  <sheetViews>
    <sheetView workbookViewId="0">
      <selection activeCell="A2" sqref="A2"/>
    </sheetView>
  </sheetViews>
  <sheetFormatPr baseColWidth="10" defaultColWidth="9.1640625" defaultRowHeight="19" x14ac:dyDescent="0.25"/>
  <cols>
    <col min="1" max="1" width="11.33203125" style="2" bestFit="1" customWidth="1"/>
    <col min="2" max="2" width="28.5" style="2" bestFit="1" customWidth="1"/>
    <col min="3" max="3" width="13" style="2" bestFit="1" customWidth="1"/>
    <col min="4" max="4" width="16.6640625" style="2" bestFit="1" customWidth="1"/>
    <col min="5" max="5" width="11.5" style="2" bestFit="1" customWidth="1"/>
    <col min="6" max="16384" width="9.1640625" style="2"/>
  </cols>
  <sheetData>
    <row r="1" spans="1:5" x14ac:dyDescent="0.25">
      <c r="A1" s="8" t="s">
        <v>1810</v>
      </c>
      <c r="B1" s="8" t="s">
        <v>1811</v>
      </c>
      <c r="C1" s="8" t="s">
        <v>1812</v>
      </c>
      <c r="D1" s="8" t="s">
        <v>1813</v>
      </c>
      <c r="E1" s="8" t="s">
        <v>2244</v>
      </c>
    </row>
    <row r="2" spans="1:5" x14ac:dyDescent="0.25">
      <c r="A2" s="8" t="s">
        <v>33</v>
      </c>
      <c r="B2" s="8" t="s">
        <v>2187</v>
      </c>
      <c r="C2" s="8" t="s">
        <v>1814</v>
      </c>
      <c r="D2" s="8" t="s">
        <v>1815</v>
      </c>
      <c r="E2" s="2" t="str">
        <f>SUBSTITUTE(D2,"days","")</f>
        <v xml:space="preserve">30 </v>
      </c>
    </row>
    <row r="3" spans="1:5" x14ac:dyDescent="0.25">
      <c r="A3" s="8" t="s">
        <v>73</v>
      </c>
      <c r="B3" s="8" t="s">
        <v>2188</v>
      </c>
      <c r="C3" s="8" t="s">
        <v>1751</v>
      </c>
      <c r="D3" s="8" t="s">
        <v>1816</v>
      </c>
      <c r="E3" s="2" t="str">
        <f t="shared" ref="E3:E26" si="0">SUBSTITUTE(D3,"days","")</f>
        <v xml:space="preserve">60 </v>
      </c>
    </row>
    <row r="4" spans="1:5" x14ac:dyDescent="0.25">
      <c r="A4" s="8" t="s">
        <v>71</v>
      </c>
      <c r="B4" s="8" t="s">
        <v>2189</v>
      </c>
      <c r="C4" s="8" t="s">
        <v>1817</v>
      </c>
      <c r="D4" s="8" t="s">
        <v>1818</v>
      </c>
      <c r="E4" s="2" t="str">
        <f t="shared" si="0"/>
        <v xml:space="preserve">45 </v>
      </c>
    </row>
    <row r="5" spans="1:5" x14ac:dyDescent="0.25">
      <c r="A5" s="8" t="s">
        <v>110</v>
      </c>
      <c r="B5" s="8" t="s">
        <v>2190</v>
      </c>
      <c r="C5" s="8" t="s">
        <v>1817</v>
      </c>
      <c r="D5" s="8" t="s">
        <v>1815</v>
      </c>
      <c r="E5" s="2" t="str">
        <f t="shared" si="0"/>
        <v xml:space="preserve">30 </v>
      </c>
    </row>
    <row r="6" spans="1:5" x14ac:dyDescent="0.25">
      <c r="A6" s="8" t="s">
        <v>109</v>
      </c>
      <c r="B6" s="8" t="s">
        <v>2191</v>
      </c>
      <c r="C6" s="8" t="s">
        <v>1814</v>
      </c>
      <c r="D6" s="8" t="s">
        <v>1815</v>
      </c>
      <c r="E6" s="2" t="str">
        <f t="shared" si="0"/>
        <v xml:space="preserve">30 </v>
      </c>
    </row>
    <row r="7" spans="1:5" x14ac:dyDescent="0.25">
      <c r="A7" s="8" t="s">
        <v>14</v>
      </c>
      <c r="B7" s="8" t="s">
        <v>2192</v>
      </c>
      <c r="C7" s="8" t="s">
        <v>1819</v>
      </c>
      <c r="D7" s="8" t="s">
        <v>1820</v>
      </c>
      <c r="E7" s="2" t="str">
        <f>SUBSTITUTE(D7,"Net","")</f>
        <v xml:space="preserve"> 90</v>
      </c>
    </row>
    <row r="8" spans="1:5" x14ac:dyDescent="0.25">
      <c r="A8" s="8" t="s">
        <v>29</v>
      </c>
      <c r="B8" s="8" t="s">
        <v>2193</v>
      </c>
      <c r="C8" s="8" t="s">
        <v>1751</v>
      </c>
      <c r="D8" s="8" t="s">
        <v>1815</v>
      </c>
      <c r="E8" s="2" t="str">
        <f t="shared" si="0"/>
        <v xml:space="preserve">30 </v>
      </c>
    </row>
    <row r="9" spans="1:5" x14ac:dyDescent="0.25">
      <c r="A9" s="8" t="s">
        <v>19</v>
      </c>
      <c r="B9" s="8" t="s">
        <v>2194</v>
      </c>
      <c r="C9" s="8" t="s">
        <v>1751</v>
      </c>
      <c r="D9" s="8" t="s">
        <v>1818</v>
      </c>
      <c r="E9" s="2" t="str">
        <f t="shared" si="0"/>
        <v xml:space="preserve">45 </v>
      </c>
    </row>
    <row r="10" spans="1:5" x14ac:dyDescent="0.25">
      <c r="A10" s="8" t="s">
        <v>37</v>
      </c>
      <c r="B10" s="8" t="s">
        <v>2195</v>
      </c>
      <c r="C10" s="8" t="s">
        <v>1817</v>
      </c>
      <c r="D10" s="8" t="s">
        <v>1815</v>
      </c>
      <c r="E10" s="2" t="str">
        <f t="shared" si="0"/>
        <v xml:space="preserve">30 </v>
      </c>
    </row>
    <row r="11" spans="1:5" x14ac:dyDescent="0.25">
      <c r="A11" s="8" t="s">
        <v>17</v>
      </c>
      <c r="B11" s="8" t="s">
        <v>2196</v>
      </c>
      <c r="C11" s="8" t="s">
        <v>1819</v>
      </c>
      <c r="D11" s="8" t="s">
        <v>1818</v>
      </c>
      <c r="E11" s="2" t="str">
        <f t="shared" si="0"/>
        <v xml:space="preserve">45 </v>
      </c>
    </row>
    <row r="12" spans="1:5" x14ac:dyDescent="0.25">
      <c r="A12" s="8" t="s">
        <v>23</v>
      </c>
      <c r="B12" s="8" t="s">
        <v>2197</v>
      </c>
      <c r="C12" s="8" t="s">
        <v>1814</v>
      </c>
      <c r="D12" s="8" t="s">
        <v>1820</v>
      </c>
      <c r="E12" s="2" t="str">
        <f t="shared" ref="E12:E13" si="1">SUBSTITUTE(D12,"Net","")</f>
        <v xml:space="preserve"> 90</v>
      </c>
    </row>
    <row r="13" spans="1:5" x14ac:dyDescent="0.25">
      <c r="A13" s="8" t="s">
        <v>48</v>
      </c>
      <c r="B13" s="8" t="s">
        <v>2198</v>
      </c>
      <c r="C13" s="8" t="s">
        <v>1817</v>
      </c>
      <c r="D13" s="8" t="s">
        <v>1820</v>
      </c>
      <c r="E13" s="2" t="str">
        <f t="shared" si="1"/>
        <v xml:space="preserve"> 90</v>
      </c>
    </row>
    <row r="14" spans="1:5" x14ac:dyDescent="0.25">
      <c r="A14" s="8" t="s">
        <v>35</v>
      </c>
      <c r="B14" s="8" t="s">
        <v>2199</v>
      </c>
      <c r="C14" s="8" t="s">
        <v>1819</v>
      </c>
      <c r="D14" s="8" t="s">
        <v>1816</v>
      </c>
      <c r="E14" s="2" t="str">
        <f t="shared" si="0"/>
        <v xml:space="preserve">60 </v>
      </c>
    </row>
    <row r="15" spans="1:5" x14ac:dyDescent="0.25">
      <c r="A15" s="8" t="s">
        <v>44</v>
      </c>
      <c r="B15" s="8" t="s">
        <v>2200</v>
      </c>
      <c r="C15" s="8" t="s">
        <v>1751</v>
      </c>
      <c r="D15" s="8" t="s">
        <v>1818</v>
      </c>
      <c r="E15" s="2" t="str">
        <f t="shared" si="0"/>
        <v xml:space="preserve">45 </v>
      </c>
    </row>
    <row r="16" spans="1:5" x14ac:dyDescent="0.25">
      <c r="A16" s="8" t="s">
        <v>108</v>
      </c>
      <c r="B16" s="8" t="s">
        <v>2201</v>
      </c>
      <c r="C16" s="8" t="s">
        <v>1814</v>
      </c>
      <c r="D16" s="8" t="s">
        <v>1820</v>
      </c>
      <c r="E16" s="2" t="str">
        <f>SUBSTITUTE(D16,"Net","")</f>
        <v xml:space="preserve"> 90</v>
      </c>
    </row>
    <row r="17" spans="1:5" x14ac:dyDescent="0.25">
      <c r="A17" s="8" t="s">
        <v>6</v>
      </c>
      <c r="B17" s="8" t="s">
        <v>2202</v>
      </c>
      <c r="C17" s="8" t="s">
        <v>1745</v>
      </c>
      <c r="D17" s="8" t="s">
        <v>1816</v>
      </c>
      <c r="E17" s="2" t="str">
        <f t="shared" si="0"/>
        <v xml:space="preserve">60 </v>
      </c>
    </row>
    <row r="18" spans="1:5" x14ac:dyDescent="0.25">
      <c r="A18" s="8" t="s">
        <v>27</v>
      </c>
      <c r="B18" s="8" t="s">
        <v>2203</v>
      </c>
      <c r="C18" s="8" t="s">
        <v>1817</v>
      </c>
      <c r="D18" s="8" t="s">
        <v>1818</v>
      </c>
      <c r="E18" s="2" t="str">
        <f t="shared" si="0"/>
        <v xml:space="preserve">45 </v>
      </c>
    </row>
    <row r="19" spans="1:5" x14ac:dyDescent="0.25">
      <c r="A19" s="8" t="s">
        <v>25</v>
      </c>
      <c r="B19" s="8" t="s">
        <v>2204</v>
      </c>
      <c r="C19" s="8" t="s">
        <v>1745</v>
      </c>
      <c r="D19" s="8" t="s">
        <v>1815</v>
      </c>
      <c r="E19" s="2" t="str">
        <f t="shared" si="0"/>
        <v xml:space="preserve">30 </v>
      </c>
    </row>
    <row r="20" spans="1:5" x14ac:dyDescent="0.25">
      <c r="A20" s="8" t="s">
        <v>50</v>
      </c>
      <c r="B20" s="8" t="s">
        <v>2205</v>
      </c>
      <c r="C20" s="8" t="s">
        <v>1751</v>
      </c>
      <c r="D20" s="8" t="s">
        <v>1820</v>
      </c>
      <c r="E20" s="2" t="str">
        <f>SUBSTITUTE(D20,"Net","")</f>
        <v xml:space="preserve"> 90</v>
      </c>
    </row>
    <row r="21" spans="1:5" x14ac:dyDescent="0.25">
      <c r="A21" s="8" t="s">
        <v>91</v>
      </c>
      <c r="B21" s="8" t="s">
        <v>2206</v>
      </c>
      <c r="C21" s="8" t="s">
        <v>1751</v>
      </c>
      <c r="D21" s="8" t="s">
        <v>1816</v>
      </c>
      <c r="E21" s="2" t="str">
        <f t="shared" si="0"/>
        <v xml:space="preserve">60 </v>
      </c>
    </row>
    <row r="22" spans="1:5" x14ac:dyDescent="0.25">
      <c r="A22" s="8" t="s">
        <v>8</v>
      </c>
      <c r="B22" s="8" t="s">
        <v>2207</v>
      </c>
      <c r="C22" s="8" t="s">
        <v>1745</v>
      </c>
      <c r="D22" s="8" t="s">
        <v>1816</v>
      </c>
      <c r="E22" s="2" t="str">
        <f t="shared" si="0"/>
        <v xml:space="preserve">60 </v>
      </c>
    </row>
    <row r="23" spans="1:5" x14ac:dyDescent="0.25">
      <c r="A23" s="8" t="s">
        <v>21</v>
      </c>
      <c r="B23" s="8" t="s">
        <v>2208</v>
      </c>
      <c r="C23" s="8" t="s">
        <v>1751</v>
      </c>
      <c r="D23" s="8" t="s">
        <v>1820</v>
      </c>
      <c r="E23" s="2" t="str">
        <f>SUBSTITUTE(D23,"Net","")</f>
        <v xml:space="preserve"> 90</v>
      </c>
    </row>
    <row r="24" spans="1:5" x14ac:dyDescent="0.25">
      <c r="A24" s="8" t="s">
        <v>55</v>
      </c>
      <c r="B24" s="8" t="s">
        <v>2209</v>
      </c>
      <c r="C24" s="8" t="s">
        <v>1819</v>
      </c>
      <c r="D24" s="8" t="s">
        <v>1815</v>
      </c>
      <c r="E24" s="2" t="str">
        <f t="shared" si="0"/>
        <v xml:space="preserve">30 </v>
      </c>
    </row>
    <row r="25" spans="1:5" x14ac:dyDescent="0.25">
      <c r="A25" s="8" t="s">
        <v>12</v>
      </c>
      <c r="B25" s="8" t="s">
        <v>2210</v>
      </c>
      <c r="C25" s="8" t="s">
        <v>1821</v>
      </c>
      <c r="D25" s="8" t="s">
        <v>1815</v>
      </c>
      <c r="E25" s="2" t="str">
        <f t="shared" si="0"/>
        <v xml:space="preserve">30 </v>
      </c>
    </row>
    <row r="26" spans="1:5" x14ac:dyDescent="0.25">
      <c r="A26" s="8" t="s">
        <v>10</v>
      </c>
      <c r="B26" s="8" t="s">
        <v>2211</v>
      </c>
      <c r="C26" s="8" t="s">
        <v>1819</v>
      </c>
      <c r="D26" s="8" t="s">
        <v>1816</v>
      </c>
      <c r="E26" s="2" t="str">
        <f t="shared" si="0"/>
        <v xml:space="preserve">60 </v>
      </c>
    </row>
  </sheetData>
  <autoFilter ref="A1:E26" xr:uid="{61653760-01E4-404B-800A-8C5E2A37EF9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RACI_Chart</vt:lpstr>
      <vt:lpstr>Variance_Analysis</vt:lpstr>
      <vt:lpstr>Vendor_Analysis</vt:lpstr>
      <vt:lpstr>Scenario_Modelling</vt:lpstr>
      <vt:lpstr>Sheet4</vt:lpstr>
      <vt:lpstr>Capex_Actuals</vt:lpstr>
      <vt:lpstr>Capex_Budgets</vt:lpstr>
      <vt:lpstr>Capex_Forecast</vt:lpstr>
      <vt:lpstr>Departments</vt:lpstr>
      <vt:lpstr>Project_Master</vt:lpstr>
      <vt:lpstr>Vendors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Mpharma</dc:creator>
  <cp:lastModifiedBy>Microsoft Office User</cp:lastModifiedBy>
  <dcterms:created xsi:type="dcterms:W3CDTF">2025-09-15T11:12:58Z</dcterms:created>
  <dcterms:modified xsi:type="dcterms:W3CDTF">2026-01-15T18:29:29Z</dcterms:modified>
</cp:coreProperties>
</file>